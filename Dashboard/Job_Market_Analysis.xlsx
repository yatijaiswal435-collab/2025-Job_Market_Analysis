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200" tabRatio="600" firstSheet="0" activeTab="4" autoFilterDateGrouping="1"/>
  </bookViews>
  <sheets>
    <sheet xmlns:r="http://schemas.openxmlformats.org/officeDocument/2006/relationships" name="Instructions" sheetId="1" state="visible" r:id="rId1"/>
    <sheet xmlns:r="http://schemas.openxmlformats.org/officeDocument/2006/relationships" name="Raw_Data" sheetId="2" state="visible" r:id="rId2"/>
    <sheet xmlns:r="http://schemas.openxmlformats.org/officeDocument/2006/relationships" name="Cleaned_Data" sheetId="3" state="visible" r:id="rId3"/>
    <sheet xmlns:r="http://schemas.openxmlformats.org/officeDocument/2006/relationships" name="Analysis" sheetId="4" state="visible" r:id="rId4"/>
    <sheet xmlns:r="http://schemas.openxmlformats.org/officeDocument/2006/relationships" name="Dashboard" sheetId="5" state="visible" r:id="rId5"/>
    <sheet xmlns:r="http://schemas.openxmlformats.org/officeDocument/2006/relationships" name="Filter_Lists" sheetId="6" state="hidden" r:id="rId6"/>
  </sheets>
  <externalReferences>
    <externalReference xmlns:r="http://schemas.openxmlformats.org/officeDocument/2006/relationships" r:id="rId7"/>
  </externalReferences>
  <definedNames>
    <definedName name="NR_JobTitle">Cleaned_Data!$B$11:$B$444</definedName>
    <definedName name="NR_Location">Cleaned_Data!$D$11:$D$444</definedName>
    <definedName name="NR_Industry">Cleaned_Data!$E$11:$E$444</definedName>
    <definedName name="NR_ExpLevel">Cleaned_Data!$F$11:$F$444</definedName>
    <definedName name="NR_WorkMode">Cleaned_Data!$H$11:$H$444</definedName>
    <definedName name="NR_SalaryMin">Cleaned_Data!$I$11:$I$444</definedName>
    <definedName name="NR_SalaryMax">Cleaned_Data!$J$11:$J$444</definedName>
    <definedName name="NR_Skills">Cleaned_Data!$K$11:$K$444</definedName>
    <definedName name="NR_AvgSalary">Cleaned_Data!$M$11:$M$444</definedName>
    <definedName name="NR_RoleCategory">Cleaned_Data!$P$11:$P$444</definedName>
    <definedName name="NR_DupFlag">Cleaned_Data!$Q$11:$Q$444</definedName>
    <definedName name="NR_F_Role">Dashboard!$B$4</definedName>
    <definedName name="NR_F_Loc">Dashboard!$E$4</definedName>
    <definedName name="NR_F_Exp">Dashboard!$H$4</definedName>
    <definedName name="NR_F_WM">Dashboard!$K$4</definedName>
    <definedName name="NR_F_Ind">Dashboard!$N$4</definedName>
    <definedName name="_xlnm.Print_Area" localSheetId="4">'Dashboard'!$A$1:$R$42</definedName>
  </definedNames>
  <calcPr calcId="124519" calcMode="auto" fullCalcOnLoad="1" forceFullCalc="1"/>
</workbook>
</file>

<file path=xl/styles.xml><?xml version="1.0" encoding="utf-8"?>
<styleSheet xmlns="http://schemas.openxmlformats.org/spreadsheetml/2006/main">
  <numFmts count="3">
    <numFmt numFmtId="164" formatCode="0.00&quot; Lacs PA&quot;"/>
    <numFmt numFmtId="165" formatCode="0.0%"/>
    <numFmt numFmtId="166" formatCode="dd\-mmm\-yyyy"/>
  </numFmts>
  <fonts count="39">
    <font>
      <name val="Calibri"/>
      <charset val="134"/>
      <color theme="1"/>
      <sz val="11"/>
      <scheme val="minor"/>
    </font>
    <font>
      <name val="Calibri"/>
      <charset val="134"/>
      <b val="1"/>
      <color rgb="FFFFFFFF"/>
      <sz val="22"/>
    </font>
    <font>
      <name val="Calibri"/>
      <charset val="134"/>
      <b val="1"/>
      <color rgb="FF595959"/>
      <sz val="9"/>
    </font>
    <font>
      <name val="Calibri"/>
      <charset val="134"/>
      <b val="1"/>
      <color rgb="FFFFFFFF"/>
      <sz val="11"/>
    </font>
    <font>
      <name val="Calibri"/>
      <charset val="134"/>
      <b val="1"/>
      <color rgb="FF595959"/>
      <sz val="10"/>
    </font>
    <font>
      <name val="Calibri"/>
      <charset val="134"/>
      <b val="1"/>
      <color rgb="FF1F3864"/>
      <sz val="16"/>
    </font>
    <font>
      <name val="Calibri"/>
      <charset val="134"/>
      <b val="1"/>
      <color rgb="FF2CA58D"/>
      <sz val="16"/>
    </font>
    <font>
      <name val="Calibri"/>
      <charset val="134"/>
      <b val="1"/>
      <color rgb="FFE0A458"/>
      <sz val="16"/>
    </font>
    <font>
      <name val="Calibri"/>
      <charset val="134"/>
      <b val="1"/>
      <color rgb="FFD9705B"/>
      <sz val="16"/>
    </font>
    <font>
      <name val="Calibri"/>
      <charset val="134"/>
      <b val="1"/>
      <color rgb="FF7B6FA8"/>
      <sz val="16"/>
    </font>
    <font>
      <name val="Calibri"/>
      <charset val="134"/>
      <b val="1"/>
      <color rgb="FFFFFFFF"/>
      <sz val="13"/>
    </font>
    <font>
      <name val="Calibri"/>
      <charset val="134"/>
      <i val="1"/>
      <color rgb="FF595959"/>
      <sz val="9"/>
    </font>
    <font>
      <name val="Calibri"/>
      <charset val="134"/>
      <b val="1"/>
      <color rgb="FF1F3864"/>
      <sz val="11"/>
    </font>
    <font>
      <name val="Calibri"/>
      <charset val="134"/>
      <b val="1"/>
      <color rgb="FFFFFFFF"/>
      <sz val="10"/>
    </font>
    <font>
      <name val="Calibri"/>
      <charset val="134"/>
      <sz val="10"/>
    </font>
    <font>
      <name val="Calibri"/>
      <charset val="134"/>
      <i val="1"/>
      <color rgb="FF595959"/>
      <sz val="10"/>
    </font>
    <font>
      <name val="Calibri"/>
      <charset val="134"/>
      <b val="1"/>
      <color rgb="FFFFFFFF"/>
      <sz val="20"/>
    </font>
    <font>
      <name val="Calibri"/>
      <charset val="134"/>
      <b val="1"/>
      <color rgb="FF1F3864"/>
      <sz val="13"/>
    </font>
    <font>
      <name val="Calibri"/>
      <charset val="134"/>
      <color rgb="FF000000"/>
      <sz val="10.5"/>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font>
  </fonts>
  <fills count="41">
    <fill>
      <patternFill/>
    </fill>
    <fill>
      <patternFill patternType="gray125"/>
    </fill>
    <fill>
      <patternFill patternType="solid">
        <fgColor rgb="FF1F3864"/>
        <bgColor indexed="64"/>
      </patternFill>
    </fill>
    <fill>
      <patternFill patternType="solid">
        <fgColor rgb="FF2E75B6"/>
        <bgColor indexed="64"/>
      </patternFill>
    </fill>
    <fill>
      <patternFill patternType="solid">
        <fgColor rgb="FFD9E1F2"/>
        <bgColor indexed="64"/>
      </patternFill>
    </fill>
    <fill>
      <patternFill patternType="solid">
        <fgColor rgb="FFDAF0EB"/>
        <bgColor indexed="64"/>
      </patternFill>
    </fill>
    <fill>
      <patternFill patternType="solid">
        <fgColor rgb="FFFBEBDB"/>
        <bgColor indexed="64"/>
      </patternFill>
    </fill>
    <fill>
      <patternFill patternType="solid">
        <fgColor rgb="FFFAE1DC"/>
        <bgColor indexed="64"/>
      </patternFill>
    </fill>
    <fill>
      <patternFill patternType="solid">
        <fgColor rgb="FFE9E5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s>
  <borders count="64">
    <border>
      <left/>
      <right/>
      <top/>
      <bottom/>
      <diagonal/>
    </border>
    <border>
      <left style="thin">
        <color rgb="FF1F3864"/>
      </left>
      <right style="thin">
        <color rgb="FF1F3864"/>
      </right>
      <top style="thick">
        <color rgb="FF1F3864"/>
      </top>
      <bottom style="thin">
        <color rgb="FF1F3864"/>
      </bottom>
      <diagonal/>
    </border>
    <border>
      <left/>
      <right style="thin">
        <color rgb="FF1F3864"/>
      </right>
      <top style="thick">
        <color rgb="FF1F3864"/>
      </top>
      <bottom style="thin">
        <color rgb="FF1F3864"/>
      </bottom>
      <diagonal/>
    </border>
    <border>
      <left style="thin">
        <color rgb="FF2CA58D"/>
      </left>
      <right style="thin">
        <color rgb="FF2CA58D"/>
      </right>
      <top style="thick">
        <color rgb="FF2CA58D"/>
      </top>
      <bottom style="thin">
        <color rgb="FF2CA58D"/>
      </bottom>
      <diagonal/>
    </border>
    <border>
      <left/>
      <right style="thin">
        <color rgb="FF2CA58D"/>
      </right>
      <top style="thick">
        <color rgb="FF2CA58D"/>
      </top>
      <bottom style="thin">
        <color rgb="FF2CA58D"/>
      </bottom>
      <diagonal/>
    </border>
    <border>
      <left style="thin">
        <color rgb="FFE0A458"/>
      </left>
      <right style="thin">
        <color rgb="FFE0A458"/>
      </right>
      <top style="thick">
        <color rgb="FFE0A458"/>
      </top>
      <bottom style="thin">
        <color rgb="FFE0A458"/>
      </bottom>
      <diagonal/>
    </border>
    <border>
      <left/>
      <right style="thin">
        <color rgb="FFE0A458"/>
      </right>
      <top style="thick">
        <color rgb="FFE0A458"/>
      </top>
      <bottom style="thin">
        <color rgb="FFE0A458"/>
      </bottom>
      <diagonal/>
    </border>
    <border>
      <left style="thin">
        <color rgb="FFD9705B"/>
      </left>
      <right style="thin">
        <color rgb="FFD9705B"/>
      </right>
      <top style="thick">
        <color rgb="FFD9705B"/>
      </top>
      <bottom style="thin">
        <color rgb="FFD9705B"/>
      </bottom>
      <diagonal/>
    </border>
    <border>
      <left/>
      <right style="thin">
        <color rgb="FFD9705B"/>
      </right>
      <top style="thick">
        <color rgb="FFD9705B"/>
      </top>
      <bottom style="thin">
        <color rgb="FFD9705B"/>
      </bottom>
      <diagonal/>
    </border>
    <border>
      <left style="thin">
        <color rgb="FF7B6FA8"/>
      </left>
      <right style="thin">
        <color rgb="FF7B6FA8"/>
      </right>
      <top style="thick">
        <color rgb="FF7B6FA8"/>
      </top>
      <bottom style="thin">
        <color rgb="FF7B6FA8"/>
      </bottom>
      <diagonal/>
    </border>
    <border>
      <left/>
      <right style="thin">
        <color rgb="FF7B6FA8"/>
      </right>
      <top style="thick">
        <color rgb="FF7B6FA8"/>
      </top>
      <bottom style="thin">
        <color rgb="FF7B6FA8"/>
      </bottom>
      <diagonal/>
    </border>
    <border>
      <left style="thin">
        <color rgb="FF1F3864"/>
      </left>
      <right style="thin">
        <color rgb="FF1F3864"/>
      </right>
      <top style="thin">
        <color rgb="FF1F3864"/>
      </top>
      <bottom style="thin">
        <color rgb="FF1F3864"/>
      </bottom>
      <diagonal/>
    </border>
    <border>
      <left/>
      <right style="thin">
        <color rgb="FF1F3864"/>
      </right>
      <top style="thin">
        <color rgb="FF1F3864"/>
      </top>
      <bottom/>
      <diagonal/>
    </border>
    <border>
      <left style="thin">
        <color rgb="FF2CA58D"/>
      </left>
      <right style="thin">
        <color rgb="FF2CA58D"/>
      </right>
      <top style="thin">
        <color rgb="FF2CA58D"/>
      </top>
      <bottom style="thin">
        <color rgb="FF2CA58D"/>
      </bottom>
      <diagonal/>
    </border>
    <border>
      <left/>
      <right style="thin">
        <color rgb="FF2CA58D"/>
      </right>
      <top style="thin">
        <color rgb="FF2CA58D"/>
      </top>
      <bottom/>
      <diagonal/>
    </border>
    <border>
      <left style="thin">
        <color rgb="FFE0A458"/>
      </left>
      <right style="thin">
        <color rgb="FFE0A458"/>
      </right>
      <top style="thin">
        <color rgb="FFE0A458"/>
      </top>
      <bottom style="thin">
        <color rgb="FFE0A458"/>
      </bottom>
      <diagonal/>
    </border>
    <border>
      <left/>
      <right style="thin">
        <color rgb="FFE0A458"/>
      </right>
      <top style="thin">
        <color rgb="FFE0A458"/>
      </top>
      <bottom/>
      <diagonal/>
    </border>
    <border>
      <left style="thin">
        <color rgb="FFD9705B"/>
      </left>
      <right style="thin">
        <color rgb="FFD9705B"/>
      </right>
      <top style="thin">
        <color rgb="FFD9705B"/>
      </top>
      <bottom style="thin">
        <color rgb="FFD9705B"/>
      </bottom>
      <diagonal/>
    </border>
    <border>
      <left/>
      <right style="thin">
        <color rgb="FFD9705B"/>
      </right>
      <top style="thin">
        <color rgb="FFD9705B"/>
      </top>
      <bottom/>
      <diagonal/>
    </border>
    <border>
      <left style="thin">
        <color rgb="FF7B6FA8"/>
      </left>
      <right style="thin">
        <color rgb="FF7B6FA8"/>
      </right>
      <top style="thin">
        <color rgb="FF7B6FA8"/>
      </top>
      <bottom style="thin">
        <color rgb="FF7B6FA8"/>
      </bottom>
      <diagonal/>
    </border>
    <border>
      <left/>
      <right style="thin">
        <color rgb="FF7B6FA8"/>
      </right>
      <top style="thin">
        <color rgb="FF7B6FA8"/>
      </top>
      <bottom/>
      <diagonal/>
    </border>
    <border>
      <left style="thin">
        <color rgb="FF1F3864"/>
      </left>
      <right/>
      <top/>
      <bottom/>
      <diagonal/>
    </border>
    <border>
      <left/>
      <right style="thin">
        <color rgb="FF1F3864"/>
      </right>
      <top/>
      <bottom/>
      <diagonal/>
    </border>
    <border>
      <left style="thin">
        <color rgb="FF2CA58D"/>
      </left>
      <right/>
      <top/>
      <bottom/>
      <diagonal/>
    </border>
    <border>
      <left/>
      <right style="thin">
        <color rgb="FF2CA58D"/>
      </right>
      <top/>
      <bottom/>
      <diagonal/>
    </border>
    <border>
      <left style="thin">
        <color rgb="FFE0A458"/>
      </left>
      <right/>
      <top/>
      <bottom/>
      <diagonal/>
    </border>
    <border>
      <left/>
      <right style="thin">
        <color rgb="FFE0A458"/>
      </right>
      <top/>
      <bottom/>
      <diagonal/>
    </border>
    <border>
      <left style="thin">
        <color rgb="FFD9705B"/>
      </left>
      <right/>
      <top/>
      <bottom/>
      <diagonal/>
    </border>
    <border>
      <left/>
      <right style="thin">
        <color rgb="FFD9705B"/>
      </right>
      <top/>
      <bottom/>
      <diagonal/>
    </border>
    <border>
      <left style="thin">
        <color rgb="FF7B6FA8"/>
      </left>
      <right/>
      <top/>
      <bottom/>
      <diagonal/>
    </border>
    <border>
      <left/>
      <right style="thin">
        <color rgb="FF7B6FA8"/>
      </right>
      <top/>
      <bottom/>
      <diagonal/>
    </border>
    <border>
      <left style="thin">
        <color rgb="FF1F3864"/>
      </left>
      <right/>
      <top/>
      <bottom style="thin">
        <color rgb="FF1F3864"/>
      </bottom>
      <diagonal/>
    </border>
    <border>
      <left/>
      <right style="thin">
        <color rgb="FF1F3864"/>
      </right>
      <top/>
      <bottom style="thin">
        <color rgb="FF1F3864"/>
      </bottom>
      <diagonal/>
    </border>
    <border>
      <left style="thin">
        <color rgb="FF2CA58D"/>
      </left>
      <right/>
      <top/>
      <bottom style="thin">
        <color rgb="FF2CA58D"/>
      </bottom>
      <diagonal/>
    </border>
    <border>
      <left/>
      <right style="thin">
        <color rgb="FF2CA58D"/>
      </right>
      <top/>
      <bottom style="thin">
        <color rgb="FF2CA58D"/>
      </bottom>
      <diagonal/>
    </border>
    <border>
      <left style="thin">
        <color rgb="FFE0A458"/>
      </left>
      <right/>
      <top/>
      <bottom style="thin">
        <color rgb="FFE0A458"/>
      </bottom>
      <diagonal/>
    </border>
    <border>
      <left/>
      <right style="thin">
        <color rgb="FFE0A458"/>
      </right>
      <top/>
      <bottom style="thin">
        <color rgb="FFE0A458"/>
      </bottom>
      <diagonal/>
    </border>
    <border>
      <left style="thin">
        <color rgb="FFD9705B"/>
      </left>
      <right/>
      <top/>
      <bottom style="thin">
        <color rgb="FFD9705B"/>
      </bottom>
      <diagonal/>
    </border>
    <border>
      <left/>
      <right style="thin">
        <color rgb="FFD9705B"/>
      </right>
      <top/>
      <bottom style="thin">
        <color rgb="FFD9705B"/>
      </bottom>
      <diagonal/>
    </border>
    <border>
      <left style="thin">
        <color rgb="FF7B6FA8"/>
      </left>
      <right/>
      <top/>
      <bottom style="thin">
        <color rgb="FF7B6FA8"/>
      </bottom>
      <diagonal/>
    </border>
    <border>
      <left/>
      <right style="thin">
        <color rgb="FF7B6FA8"/>
      </right>
      <top/>
      <bottom style="thin">
        <color rgb="FF7B6FA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ck">
        <color rgb="FF1F3864"/>
      </top>
      <bottom/>
      <diagonal/>
    </border>
    <border>
      <left/>
      <right style="thin">
        <color rgb="FF1F3864"/>
      </right>
      <top style="thick">
        <color rgb="FF1F3864"/>
      </top>
      <bottom/>
      <diagonal/>
    </border>
    <border>
      <left/>
      <right/>
      <top style="thick">
        <color rgb="FF2CA58D"/>
      </top>
      <bottom/>
      <diagonal/>
    </border>
    <border>
      <left/>
      <right style="thin">
        <color rgb="FF2CA58D"/>
      </right>
      <top style="thick">
        <color rgb="FF2CA58D"/>
      </top>
      <bottom/>
      <diagonal/>
    </border>
    <border>
      <left/>
      <right/>
      <top style="thick">
        <color rgb="FFE0A458"/>
      </top>
      <bottom/>
      <diagonal/>
    </border>
    <border>
      <left/>
      <right style="thin">
        <color rgb="FFE0A458"/>
      </right>
      <top style="thick">
        <color rgb="FFE0A458"/>
      </top>
      <bottom/>
      <diagonal/>
    </border>
    <border>
      <left/>
      <right/>
      <top style="thick">
        <color rgb="FFD9705B"/>
      </top>
      <bottom/>
      <diagonal/>
    </border>
    <border>
      <left/>
      <right style="thin">
        <color rgb="FFD9705B"/>
      </right>
      <top style="thick">
        <color rgb="FFD9705B"/>
      </top>
      <bottom/>
      <diagonal/>
    </border>
    <border>
      <left/>
      <right/>
      <top style="thick">
        <color rgb="FF7B6FA8"/>
      </top>
      <bottom/>
      <diagonal/>
    </border>
    <border>
      <left/>
      <right style="thin">
        <color rgb="FF7B6FA8"/>
      </right>
      <top style="thick">
        <color rgb="FF7B6FA8"/>
      </top>
      <bottom/>
      <diagonal/>
    </border>
    <border>
      <left/>
      <right/>
      <top style="thin">
        <color rgb="FF1F3864"/>
      </top>
      <bottom/>
      <diagonal/>
    </border>
    <border>
      <left/>
      <right/>
      <top style="thin">
        <color rgb="FFE0A458"/>
      </top>
      <bottom/>
      <diagonal/>
    </border>
    <border>
      <left/>
      <right/>
      <top style="thin">
        <color rgb="FF7B6FA8"/>
      </top>
      <bottom/>
      <diagonal/>
    </border>
    <border>
      <left/>
      <right/>
      <top style="thin">
        <color rgb="FF2CA58D"/>
      </top>
      <bottom/>
      <diagonal/>
    </border>
    <border>
      <left/>
      <right/>
      <top style="thin">
        <color rgb="FFD9705B"/>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9" borderId="41"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42" applyAlignment="1">
      <alignment vertical="center"/>
    </xf>
    <xf numFmtId="0" fontId="25" fillId="0" borderId="42" applyAlignment="1">
      <alignment vertical="center"/>
    </xf>
    <xf numFmtId="0" fontId="26" fillId="0" borderId="43" applyAlignment="1">
      <alignment vertical="center"/>
    </xf>
    <xf numFmtId="0" fontId="26" fillId="0" borderId="0" applyAlignment="1">
      <alignment vertical="center"/>
    </xf>
    <xf numFmtId="0" fontId="27" fillId="10" borderId="44" applyAlignment="1">
      <alignment vertical="center"/>
    </xf>
    <xf numFmtId="0" fontId="28" fillId="11" borderId="45" applyAlignment="1">
      <alignment vertical="center"/>
    </xf>
    <xf numFmtId="0" fontId="29" fillId="11" borderId="44" applyAlignment="1">
      <alignment vertical="center"/>
    </xf>
    <xf numFmtId="0" fontId="30" fillId="12" borderId="46" applyAlignment="1">
      <alignment vertical="center"/>
    </xf>
    <xf numFmtId="0" fontId="31" fillId="0" borderId="47" applyAlignment="1">
      <alignment vertical="center"/>
    </xf>
    <xf numFmtId="0" fontId="32" fillId="0" borderId="48" applyAlignment="1">
      <alignment vertical="center"/>
    </xf>
    <xf numFmtId="0" fontId="33" fillId="13" borderId="0" applyAlignment="1">
      <alignment vertical="center"/>
    </xf>
    <xf numFmtId="0" fontId="34" fillId="14" borderId="0" applyAlignment="1">
      <alignment vertical="center"/>
    </xf>
    <xf numFmtId="0" fontId="35" fillId="15" borderId="0" applyAlignment="1">
      <alignment vertical="center"/>
    </xf>
    <xf numFmtId="0" fontId="36" fillId="16" borderId="0" applyAlignment="1">
      <alignment vertical="center"/>
    </xf>
    <xf numFmtId="0" fontId="37" fillId="17" borderId="0" applyAlignment="1">
      <alignment vertical="center"/>
    </xf>
    <xf numFmtId="0" fontId="37" fillId="18" borderId="0" applyAlignment="1">
      <alignment vertical="center"/>
    </xf>
    <xf numFmtId="0" fontId="36" fillId="19" borderId="0" applyAlignment="1">
      <alignment vertical="center"/>
    </xf>
    <xf numFmtId="0" fontId="36" fillId="20" borderId="0" applyAlignment="1">
      <alignment vertical="center"/>
    </xf>
    <xf numFmtId="0" fontId="37" fillId="21" borderId="0" applyAlignment="1">
      <alignment vertical="center"/>
    </xf>
    <xf numFmtId="0" fontId="37" fillId="22" borderId="0" applyAlignment="1">
      <alignment vertical="center"/>
    </xf>
    <xf numFmtId="0" fontId="36" fillId="23" borderId="0" applyAlignment="1">
      <alignment vertical="center"/>
    </xf>
    <xf numFmtId="0" fontId="36" fillId="24" borderId="0" applyAlignment="1">
      <alignment vertical="center"/>
    </xf>
    <xf numFmtId="0" fontId="37" fillId="25" borderId="0" applyAlignment="1">
      <alignment vertical="center"/>
    </xf>
    <xf numFmtId="0" fontId="37" fillId="26" borderId="0" applyAlignment="1">
      <alignment vertical="center"/>
    </xf>
    <xf numFmtId="0" fontId="36" fillId="27" borderId="0" applyAlignment="1">
      <alignment vertical="center"/>
    </xf>
    <xf numFmtId="0" fontId="36" fillId="28" borderId="0" applyAlignment="1">
      <alignment vertical="center"/>
    </xf>
    <xf numFmtId="0" fontId="37" fillId="29" borderId="0" applyAlignment="1">
      <alignment vertical="center"/>
    </xf>
    <xf numFmtId="0" fontId="37" fillId="30" borderId="0" applyAlignment="1">
      <alignment vertical="center"/>
    </xf>
    <xf numFmtId="0" fontId="36" fillId="31" borderId="0" applyAlignment="1">
      <alignment vertical="center"/>
    </xf>
    <xf numFmtId="0" fontId="36" fillId="32" borderId="0" applyAlignment="1">
      <alignment vertical="center"/>
    </xf>
    <xf numFmtId="0" fontId="37" fillId="33" borderId="0" applyAlignment="1">
      <alignment vertical="center"/>
    </xf>
    <xf numFmtId="0" fontId="37" fillId="34" borderId="0" applyAlignment="1">
      <alignment vertical="center"/>
    </xf>
    <xf numFmtId="0" fontId="36" fillId="35" borderId="0" applyAlignment="1">
      <alignment vertical="center"/>
    </xf>
    <xf numFmtId="0" fontId="36" fillId="36" borderId="0" applyAlignment="1">
      <alignment vertical="center"/>
    </xf>
    <xf numFmtId="0" fontId="37" fillId="37" borderId="0" applyAlignment="1">
      <alignment vertical="center"/>
    </xf>
    <xf numFmtId="0" fontId="37" fillId="38" borderId="0" applyAlignment="1">
      <alignment vertical="center"/>
    </xf>
    <xf numFmtId="0" fontId="36" fillId="39" borderId="0" applyAlignment="1">
      <alignment vertical="center"/>
    </xf>
  </cellStyleXfs>
  <cellXfs count="6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0" borderId="2" pivotButton="0" quotePrefix="0" xfId="0"/>
    <xf numFmtId="0" fontId="4" fillId="5" borderId="3" applyAlignment="1" pivotButton="0" quotePrefix="0" xfId="0">
      <alignment horizontal="center" vertical="center"/>
    </xf>
    <xf numFmtId="0" fontId="0" fillId="0" borderId="4" pivotButton="0" quotePrefix="0" xfId="0"/>
    <xf numFmtId="0" fontId="4" fillId="6" borderId="5" applyAlignment="1" pivotButton="0" quotePrefix="0" xfId="0">
      <alignment horizontal="center" vertical="center"/>
    </xf>
    <xf numFmtId="0" fontId="0" fillId="0" borderId="6" pivotButton="0" quotePrefix="0" xfId="0"/>
    <xf numFmtId="0" fontId="4" fillId="7" borderId="7" applyAlignment="1" pivotButton="0" quotePrefix="0" xfId="0">
      <alignment horizontal="center" vertical="center"/>
    </xf>
    <xf numFmtId="0" fontId="0" fillId="0" borderId="8" pivotButton="0" quotePrefix="0" xfId="0"/>
    <xf numFmtId="0" fontId="4" fillId="8" borderId="9" applyAlignment="1" pivotButton="0" quotePrefix="0" xfId="0">
      <alignment horizontal="center" vertical="center"/>
    </xf>
    <xf numFmtId="0" fontId="0" fillId="0" borderId="10" pivotButton="0" quotePrefix="0" xfId="0"/>
    <xf numFmtId="1" fontId="5" fillId="4" borderId="11" applyAlignment="1" pivotButton="0" quotePrefix="0" xfId="0">
      <alignment horizontal="center" vertical="center" wrapText="1"/>
    </xf>
    <xf numFmtId="0" fontId="0" fillId="0" borderId="12" pivotButton="0" quotePrefix="0" xfId="0"/>
    <xf numFmtId="164" fontId="6" fillId="5" borderId="13" applyAlignment="1" pivotButton="0" quotePrefix="0" xfId="0">
      <alignment horizontal="center" vertical="center" wrapText="1"/>
    </xf>
    <xf numFmtId="0" fontId="0" fillId="0" borderId="14" pivotButton="0" quotePrefix="0" xfId="0"/>
    <xf numFmtId="49" fontId="7" fillId="6" borderId="15" applyAlignment="1" pivotButton="0" quotePrefix="0" xfId="0">
      <alignment horizontal="center" vertical="center" wrapText="1"/>
    </xf>
    <xf numFmtId="0" fontId="0" fillId="0" borderId="16" pivotButton="0" quotePrefix="0" xfId="0"/>
    <xf numFmtId="49" fontId="8" fillId="7" borderId="17" applyAlignment="1" pivotButton="0" quotePrefix="0" xfId="0">
      <alignment horizontal="center" vertical="center" wrapText="1"/>
    </xf>
    <xf numFmtId="0" fontId="0" fillId="0" borderId="18" pivotButton="0" quotePrefix="0" xfId="0"/>
    <xf numFmtId="165" fontId="9" fillId="8" borderId="19" applyAlignment="1" pivotButton="0" quotePrefix="0" xfId="0">
      <alignment horizontal="center" vertical="center" wrapText="1"/>
    </xf>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10" fillId="2" borderId="0" applyAlignment="1" pivotButton="0" quotePrefix="0" xfId="0">
      <alignment horizontal="left" vertical="center" indent="1"/>
    </xf>
    <xf numFmtId="0" fontId="11" fillId="0" borderId="0" applyAlignment="1" pivotButton="0" quotePrefix="0" xfId="0">
      <alignment horizontal="left" wrapText="1" indent="1"/>
    </xf>
    <xf numFmtId="0" fontId="12" fillId="0" borderId="0" pivotButton="0" quotePrefix="0" xfId="0"/>
    <xf numFmtId="0" fontId="13" fillId="3" borderId="0" applyAlignment="1" pivotButton="0" quotePrefix="0" xfId="0">
      <alignment horizontal="center" vertical="center" wrapText="1"/>
    </xf>
    <xf numFmtId="0" fontId="14" fillId="0" borderId="0" pivotButton="0" quotePrefix="0" xfId="0"/>
    <xf numFmtId="2" fontId="14" fillId="0" borderId="0" pivotButton="0" quotePrefix="0" xfId="0"/>
    <xf numFmtId="0" fontId="15" fillId="0" borderId="0" applyAlignment="1" pivotButton="0" quotePrefix="0" xfId="0">
      <alignment horizontal="left" indent="1"/>
    </xf>
    <xf numFmtId="0" fontId="3" fillId="2" borderId="0" applyAlignment="1" pivotButton="0" quotePrefix="0" xfId="0">
      <alignment horizontal="center" vertical="center" wrapText="1"/>
    </xf>
    <xf numFmtId="166" fontId="14" fillId="0" borderId="0" pivotButton="0" quotePrefix="0" xfId="0"/>
    <xf numFmtId="0" fontId="16" fillId="2" borderId="0" applyAlignment="1" pivotButton="0" quotePrefix="0" xfId="0">
      <alignment horizontal="left" vertical="center" indent="1"/>
    </xf>
    <xf numFmtId="0" fontId="17" fillId="0" borderId="0" pivotButton="0" quotePrefix="0" xfId="0"/>
    <xf numFmtId="0" fontId="18" fillId="0" borderId="0" applyAlignment="1" pivotButton="0" quotePrefix="0" xfId="0">
      <alignment horizontal="left" vertical="top" wrapText="1"/>
    </xf>
    <xf numFmtId="166" fontId="14" fillId="0" borderId="0" pivotButton="0" quotePrefix="0" xfId="0"/>
    <xf numFmtId="0" fontId="38" fillId="40" borderId="0" applyAlignment="1" pivotButton="0" quotePrefix="0" xfId="0">
      <alignment horizontal="center" vertical="center"/>
    </xf>
    <xf numFmtId="164" fontId="6" fillId="5" borderId="13" applyAlignment="1" pivotButton="0" quotePrefix="0" xfId="0">
      <alignment horizontal="center" vertical="center" wrapText="1"/>
    </xf>
    <xf numFmtId="165" fontId="9" fillId="8" borderId="19" applyAlignment="1" pivotButton="0" quotePrefix="0" xfId="0">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ill>
        <patternFill patternType="solid">
          <fgColor rgb="FFFFF2CC"/>
        </patternFill>
      </fill>
    </dxf>
    <dxf>
      <fill>
        <patternFill patternType="solid">
          <fgColor rgb="FF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800" b="1" i="0" strike="noStrike" kern="1200" baseline="0">
                <a:solidFill>
                  <a:schemeClr val="tx1"/>
                </a:solidFill>
                <a:latin typeface="+mn-lt"/>
                <a:ea typeface="+mn-ea"/>
                <a:cs typeface="+mn-cs"/>
              </a:defRPr>
            </a:pPr>
            <a:r>
              <a:t>Jobs by Job Role</a:t>
            </a:r>
          </a:p>
        </rich>
      </tx>
      <layout/>
      <overlay val="0"/>
    </title>
    <plotArea>
      <layout/>
      <barChart>
        <barDir val="col"/>
        <grouping val="clustered"/>
        <varyColors val="0"/>
        <ser>
          <idx val="0"/>
          <order val="0"/>
          <tx>
            <strRef>
              <f>Analysis!$B$4</f>
              <strCache>
                <ptCount val="1"/>
                <pt idx="0">
                  <v>Job_Count</v>
                </pt>
              </strCache>
            </strRef>
          </tx>
          <spPr>
            <a:ln xmlns:a="http://schemas.openxmlformats.org/drawingml/2006/main">
              <a:noFill/>
              <a:prstDash val="solid"/>
            </a:ln>
          </spPr>
          <invertIfNegative val="0"/>
          <dPt>
            <idx val="0"/>
            <invertIfNegative val="0"/>
            <bubble3D val="0"/>
            <spPr>
              <a:solidFill xmlns:a="http://schemas.openxmlformats.org/drawingml/2006/main">
                <a:srgbClr val="1F3864"/>
              </a:solidFill>
              <a:ln xmlns:a="http://schemas.openxmlformats.org/drawingml/2006/main">
                <a:noFill/>
                <a:prstDash val="solid"/>
              </a:ln>
            </spPr>
          </dPt>
          <dPt>
            <idx val="1"/>
            <invertIfNegative val="0"/>
            <bubble3D val="0"/>
            <spPr>
              <a:solidFill xmlns:a="http://schemas.openxmlformats.org/drawingml/2006/main">
                <a:srgbClr val="2E75B6"/>
              </a:solidFill>
              <a:ln xmlns:a="http://schemas.openxmlformats.org/drawingml/2006/main">
                <a:noFill/>
                <a:prstDash val="solid"/>
              </a:ln>
            </spPr>
          </dPt>
          <dPt>
            <idx val="2"/>
            <invertIfNegative val="0"/>
            <bubble3D val="0"/>
            <spPr>
              <a:solidFill xmlns:a="http://schemas.openxmlformats.org/drawingml/2006/main">
                <a:srgbClr val="2CA58D"/>
              </a:solidFill>
              <a:ln xmlns:a="http://schemas.openxmlformats.org/drawingml/2006/main">
                <a:noFill/>
                <a:prstDash val="solid"/>
              </a:ln>
            </spPr>
          </dPt>
          <dPt>
            <idx val="3"/>
            <invertIfNegative val="0"/>
            <bubble3D val="0"/>
            <spPr>
              <a:solidFill xmlns:a="http://schemas.openxmlformats.org/drawingml/2006/main">
                <a:srgbClr val="E0A458"/>
              </a:solidFill>
              <a:ln xmlns:a="http://schemas.openxmlformats.org/drawingml/2006/main">
                <a:noFill/>
                <a:prstDash val="solid"/>
              </a:ln>
            </spPr>
          </dPt>
          <dPt>
            <idx val="4"/>
            <invertIfNegative val="0"/>
            <bubble3D val="0"/>
            <spPr>
              <a:solidFill xmlns:a="http://schemas.openxmlformats.org/drawingml/2006/main">
                <a:srgbClr val="D9705B"/>
              </a:solidFill>
              <a:ln xmlns:a="http://schemas.openxmlformats.org/drawingml/2006/main">
                <a:noFill/>
                <a:prstDash val="solid"/>
              </a:ln>
            </spPr>
          </dPt>
          <dPt>
            <idx val="5"/>
            <invertIfNegative val="0"/>
            <bubble3D val="0"/>
            <spPr>
              <a:solidFill xmlns:a="http://schemas.openxmlformats.org/drawingml/2006/main">
                <a:srgbClr val="7B6FA8"/>
              </a:solidFill>
              <a:ln xmlns:a="http://schemas.openxmlformats.org/drawingml/2006/main">
                <a:noFill/>
                <a:prstDash val="solid"/>
              </a:ln>
            </spPr>
          </dPt>
          <dPt>
            <idx val="6"/>
            <invertIfNegative val="0"/>
            <bubble3D val="0"/>
            <spPr>
              <a:solidFill xmlns:a="http://schemas.openxmlformats.org/drawingml/2006/main">
                <a:srgbClr val="5B9BD5"/>
              </a:solidFill>
              <a:ln xmlns:a="http://schemas.openxmlformats.org/drawingml/2006/main">
                <a:noFill/>
                <a:prstDash val="solid"/>
              </a:ln>
            </spPr>
          </dPt>
          <dPt>
            <idx val="7"/>
            <invertIfNegative val="0"/>
            <bubble3D val="0"/>
            <spPr>
              <a:solidFill xmlns:a="http://schemas.openxmlformats.org/drawingml/2006/main">
                <a:srgbClr val="8FAADC"/>
              </a:solidFill>
              <a:ln xmlns:a="http://schemas.openxmlformats.org/drawingml/2006/main">
                <a:noFill/>
                <a:prstDash val="solid"/>
              </a:ln>
            </spPr>
          </dPt>
          <dPt>
            <idx val="8"/>
            <invertIfNegative val="0"/>
            <bubble3D val="0"/>
            <spPr>
              <a:solidFill xmlns:a="http://schemas.openxmlformats.org/drawingml/2006/main">
                <a:srgbClr val="A9D18E"/>
              </a:solidFill>
              <a:ln xmlns:a="http://schemas.openxmlformats.org/drawingml/2006/main">
                <a:noFill/>
                <a:prstDash val="solid"/>
              </a:ln>
            </spPr>
          </dPt>
          <dPt>
            <idx val="9"/>
            <invertIfNegative val="0"/>
            <bubble3D val="0"/>
            <spPr>
              <a:solidFill xmlns:a="http://schemas.openxmlformats.org/drawingml/2006/main">
                <a:srgbClr val="F4B183"/>
              </a:solidFill>
              <a:ln xmlns:a="http://schemas.openxmlformats.org/drawingml/2006/main">
                <a:noFill/>
                <a:prstDash val="solid"/>
              </a:ln>
            </spPr>
          </dPt>
          <dPt>
            <idx val="10"/>
            <invertIfNegative val="0"/>
            <bubble3D val="0"/>
            <spPr>
              <a:solidFill xmlns:a="http://schemas.openxmlformats.org/drawingml/2006/main">
                <a:srgbClr val="9DC3E6"/>
              </a:solidFill>
              <a:ln xmlns:a="http://schemas.openxmlformats.org/drawingml/2006/main">
                <a:noFill/>
                <a:prstDash val="solid"/>
              </a:ln>
            </spPr>
          </dPt>
          <dLbls>
            <numFmt formatCode="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dLblPos val="outEnd"/>
            <showLegendKey val="0"/>
            <showVal val="1"/>
            <showCatName val="0"/>
            <showSerName val="0"/>
            <showPercent val="1"/>
            <showBubbleSize val="1"/>
            <showLeaderLines val="0"/>
          </dLbls>
          <cat>
            <strRef>
              <f>(Analysis!$A$5:$A$13,Analysis!$A$15:$A$16)</f>
              <strCache>
                <ptCount val="11"/>
                <pt idx="0">
                  <v>Sales Executive</v>
                </pt>
                <pt idx="1">
                  <v>Engineer (Technical)</v>
                </pt>
                <pt idx="2">
                  <v>Manager</v>
                </pt>
                <pt idx="3">
                  <v>Software Developer</v>
                </pt>
                <pt idx="4">
                  <v>Accountant / Finance</v>
                </pt>
                <pt idx="5">
                  <v>Customer Support</v>
                </pt>
                <pt idx="6">
                  <v>HR / Recruiter</v>
                </pt>
                <pt idx="7">
                  <v>Business Development</v>
                </pt>
                <pt idx="8">
                  <v>Teacher / Trainer</v>
                </pt>
                <pt idx="9">
                  <v>Healthcare</v>
                </pt>
                <pt idx="10">
                  <v>Data Analyst</v>
                </pt>
              </strCache>
            </strRef>
          </cat>
          <val>
            <numRef>
              <f>(Analysis!$B$5:$B$13,Analysis!$B$15:$B$16)</f>
              <numCache>
                <formatCode>General</formatCode>
                <ptCount val="11"/>
                <pt idx="0">
                  <v>50</v>
                </pt>
                <pt idx="1">
                  <v>49</v>
                </pt>
                <pt idx="2">
                  <v>38</v>
                </pt>
                <pt idx="3">
                  <v>35</v>
                </pt>
                <pt idx="4">
                  <v>26</v>
                </pt>
                <pt idx="5">
                  <v>23</v>
                </pt>
                <pt idx="6">
                  <v>14</v>
                </pt>
                <pt idx="7">
                  <v>8</v>
                </pt>
                <pt idx="8">
                  <v>7</v>
                </pt>
                <pt idx="9">
                  <v>5</v>
                </pt>
                <pt idx="10">
                  <v>1</v>
                </pt>
              </numCache>
            </numRef>
          </val>
        </ser>
        <dLbls>
          <showLegendKey val="0"/>
          <showVal val="1"/>
          <showCatName val="0"/>
          <showSerName val="0"/>
          <showPercent val="1"/>
          <showBubbleSize val="1"/>
        </dLbls>
        <gapWidth val="150"/>
        <axId val="10"/>
        <axId val="100"/>
      </barChart>
      <catAx>
        <axId val="10"/>
        <scaling>
          <orientation val="minMax"/>
        </scaling>
        <delete val="0"/>
        <axPos val="b"/>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en-US" sz="1000" b="1" i="0" strike="noStrike" kern="1200" baseline="0">
                    <a:solidFill>
                      <a:schemeClr val="tx1"/>
                    </a:solidFill>
                    <a:latin typeface="+mn-lt"/>
                    <a:ea typeface="+mn-ea"/>
                    <a:cs typeface="+mn-cs"/>
                  </a:defRPr>
                </a:pPr>
                <a:r>
                  <a:t>Number of Jobs</a:t>
                </a:r>
              </a:p>
            </rich>
          </tx>
          <layout/>
          <overlay val="0"/>
        </title>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2.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800" b="1" i="0" strike="noStrike" kern="1200" baseline="0">
                <a:solidFill>
                  <a:schemeClr val="tx1"/>
                </a:solidFill>
                <a:latin typeface="+mn-lt"/>
                <a:ea typeface="+mn-ea"/>
                <a:cs typeface="+mn-cs"/>
              </a:defRPr>
            </a:pPr>
            <a:r>
              <a:t>Jobs by Location (Top 10)</a:t>
            </a:r>
          </a:p>
        </rich>
      </tx>
      <layout/>
      <overlay val="0"/>
    </title>
    <plotArea>
      <layout/>
      <barChart>
        <barDir val="bar"/>
        <grouping val="clustered"/>
        <varyColors val="0"/>
        <ser>
          <idx val="0"/>
          <order val="0"/>
          <tx>
            <strRef>
              <f>Analysis!$E$4</f>
              <strCache>
                <ptCount val="1"/>
                <pt idx="0">
                  <v>Job_Count</v>
                </pt>
              </strCache>
            </strRef>
          </tx>
          <spPr>
            <a:ln xmlns:a="http://schemas.openxmlformats.org/drawingml/2006/main">
              <a:noFill/>
              <a:prstDash val="solid"/>
            </a:ln>
          </spPr>
          <invertIfNegative val="0"/>
          <dPt>
            <idx val="0"/>
            <invertIfNegative val="0"/>
            <bubble3D val="0"/>
            <spPr>
              <a:solidFill xmlns:a="http://schemas.openxmlformats.org/drawingml/2006/main">
                <a:srgbClr val="1F3864"/>
              </a:solidFill>
              <a:ln xmlns:a="http://schemas.openxmlformats.org/drawingml/2006/main">
                <a:noFill/>
                <a:prstDash val="solid"/>
              </a:ln>
            </spPr>
          </dPt>
          <dPt>
            <idx val="1"/>
            <invertIfNegative val="0"/>
            <bubble3D val="0"/>
            <spPr>
              <a:solidFill xmlns:a="http://schemas.openxmlformats.org/drawingml/2006/main">
                <a:srgbClr val="2E75B6"/>
              </a:solidFill>
              <a:ln xmlns:a="http://schemas.openxmlformats.org/drawingml/2006/main">
                <a:noFill/>
                <a:prstDash val="solid"/>
              </a:ln>
            </spPr>
          </dPt>
          <dPt>
            <idx val="2"/>
            <invertIfNegative val="0"/>
            <bubble3D val="0"/>
            <spPr>
              <a:solidFill xmlns:a="http://schemas.openxmlformats.org/drawingml/2006/main">
                <a:srgbClr val="2CA58D"/>
              </a:solidFill>
              <a:ln xmlns:a="http://schemas.openxmlformats.org/drawingml/2006/main">
                <a:noFill/>
                <a:prstDash val="solid"/>
              </a:ln>
            </spPr>
          </dPt>
          <dPt>
            <idx val="3"/>
            <invertIfNegative val="0"/>
            <bubble3D val="0"/>
            <spPr>
              <a:solidFill xmlns:a="http://schemas.openxmlformats.org/drawingml/2006/main">
                <a:srgbClr val="E0A458"/>
              </a:solidFill>
              <a:ln xmlns:a="http://schemas.openxmlformats.org/drawingml/2006/main">
                <a:noFill/>
                <a:prstDash val="solid"/>
              </a:ln>
            </spPr>
          </dPt>
          <dPt>
            <idx val="4"/>
            <invertIfNegative val="0"/>
            <bubble3D val="0"/>
            <spPr>
              <a:solidFill xmlns:a="http://schemas.openxmlformats.org/drawingml/2006/main">
                <a:srgbClr val="D9705B"/>
              </a:solidFill>
              <a:ln xmlns:a="http://schemas.openxmlformats.org/drawingml/2006/main">
                <a:noFill/>
                <a:prstDash val="solid"/>
              </a:ln>
            </spPr>
          </dPt>
          <dPt>
            <idx val="5"/>
            <invertIfNegative val="0"/>
            <bubble3D val="0"/>
            <spPr>
              <a:solidFill xmlns:a="http://schemas.openxmlformats.org/drawingml/2006/main">
                <a:srgbClr val="7B6FA8"/>
              </a:solidFill>
              <a:ln xmlns:a="http://schemas.openxmlformats.org/drawingml/2006/main">
                <a:noFill/>
                <a:prstDash val="solid"/>
              </a:ln>
            </spPr>
          </dPt>
          <dPt>
            <idx val="6"/>
            <invertIfNegative val="0"/>
            <bubble3D val="0"/>
            <spPr>
              <a:solidFill xmlns:a="http://schemas.openxmlformats.org/drawingml/2006/main">
                <a:srgbClr val="5B9BD5"/>
              </a:solidFill>
              <a:ln xmlns:a="http://schemas.openxmlformats.org/drawingml/2006/main">
                <a:noFill/>
                <a:prstDash val="solid"/>
              </a:ln>
            </spPr>
          </dPt>
          <dPt>
            <idx val="7"/>
            <invertIfNegative val="0"/>
            <bubble3D val="0"/>
            <spPr>
              <a:solidFill xmlns:a="http://schemas.openxmlformats.org/drawingml/2006/main">
                <a:srgbClr val="8FAADC"/>
              </a:solidFill>
              <a:ln xmlns:a="http://schemas.openxmlformats.org/drawingml/2006/main">
                <a:noFill/>
                <a:prstDash val="solid"/>
              </a:ln>
            </spPr>
          </dPt>
          <dPt>
            <idx val="8"/>
            <invertIfNegative val="0"/>
            <bubble3D val="0"/>
            <spPr>
              <a:solidFill xmlns:a="http://schemas.openxmlformats.org/drawingml/2006/main">
                <a:srgbClr val="A9D18E"/>
              </a:solidFill>
              <a:ln xmlns:a="http://schemas.openxmlformats.org/drawingml/2006/main">
                <a:noFill/>
                <a:prstDash val="solid"/>
              </a:ln>
            </spPr>
          </dPt>
          <dPt>
            <idx val="9"/>
            <invertIfNegative val="0"/>
            <bubble3D val="0"/>
            <spPr>
              <a:solidFill xmlns:a="http://schemas.openxmlformats.org/drawingml/2006/main">
                <a:srgbClr val="F4B183"/>
              </a:solidFill>
              <a:ln xmlns:a="http://schemas.openxmlformats.org/drawingml/2006/main">
                <a:noFill/>
                <a:prstDash val="solid"/>
              </a:ln>
            </spPr>
          </dPt>
          <dLbls>
            <numFmt formatCode="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dLblPos val="outEnd"/>
            <showLegendKey val="0"/>
            <showVal val="1"/>
            <showCatName val="0"/>
            <showSerName val="0"/>
            <showPercent val="1"/>
            <showBubbleSize val="1"/>
            <showLeaderLines val="0"/>
          </dLbls>
          <cat>
            <strRef>
              <f>Analysis!$D$5:$D$14</f>
              <strCache>
                <ptCount val="10"/>
                <pt idx="0">
                  <v>Bengaluru</v>
                </pt>
                <pt idx="1">
                  <v>Pune</v>
                </pt>
                <pt idx="2">
                  <v>Hyderabad</v>
                </pt>
                <pt idx="3">
                  <v>Chennai</v>
                </pt>
                <pt idx="4">
                  <v>Gurugram</v>
                </pt>
                <pt idx="5">
                  <v>Mumbai</v>
                </pt>
                <pt idx="6">
                  <v>Noida</v>
                </pt>
                <pt idx="7">
                  <v>Ahmedabad</v>
                </pt>
                <pt idx="8">
                  <v>Thane</v>
                </pt>
                <pt idx="9">
                  <v>Remote</v>
                </pt>
              </strCache>
            </strRef>
          </cat>
          <val>
            <numRef>
              <f>Analysis!$E$5:$E$14</f>
              <numCache>
                <formatCode>General</formatCode>
                <ptCount val="10"/>
                <pt idx="0">
                  <v>53</v>
                </pt>
                <pt idx="1">
                  <v>42</v>
                </pt>
                <pt idx="2">
                  <v>42</v>
                </pt>
                <pt idx="3">
                  <v>26</v>
                </pt>
                <pt idx="4">
                  <v>22</v>
                </pt>
                <pt idx="5">
                  <v>19</v>
                </pt>
                <pt idx="6">
                  <v>19</v>
                </pt>
                <pt idx="7">
                  <v>16</v>
                </pt>
                <pt idx="8">
                  <v>11</v>
                </pt>
                <pt idx="9">
                  <v>10</v>
                </pt>
              </numCache>
            </numRef>
          </val>
        </ser>
        <dLbls>
          <showLegendKey val="0"/>
          <showVal val="1"/>
          <showCatName val="0"/>
          <showSerName val="0"/>
          <showPercent val="1"/>
          <showBubbleSize val="1"/>
        </dLbls>
        <gapWidth val="150"/>
        <axId val="10"/>
        <axId val="100"/>
      </barChart>
      <catAx>
        <axId val="10"/>
        <scaling>
          <orientation val="minMax"/>
        </scaling>
        <delete val="0"/>
        <axPos val="l"/>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en-US" sz="1000" b="1" i="0" strike="noStrike" kern="1200" baseline="0">
                    <a:solidFill>
                      <a:schemeClr val="tx1"/>
                    </a:solidFill>
                    <a:latin typeface="+mn-lt"/>
                    <a:ea typeface="+mn-ea"/>
                    <a:cs typeface="+mn-cs"/>
                  </a:defRPr>
                </a:pPr>
                <a:r>
                  <a:t>Number of Jobs</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b"/>
        <majorGridlines/>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3.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800" b="1" i="0" strike="noStrike" kern="1200" baseline="0">
                <a:solidFill>
                  <a:schemeClr val="tx1"/>
                </a:solidFill>
                <a:latin typeface="+mn-lt"/>
                <a:ea typeface="+mn-ea"/>
                <a:cs typeface="+mn-cs"/>
              </a:defRPr>
            </a:pPr>
            <a:r>
              <a:t>Remote vs On-site vs Hybrid</a:t>
            </a:r>
          </a:p>
        </rich>
      </tx>
      <layout/>
      <overlay val="0"/>
    </title>
    <plotArea>
      <layout/>
      <doughnutChart>
        <varyColors val="1"/>
        <ser>
          <idx val="0"/>
          <order val="0"/>
          <tx>
            <strRef>
              <f>Analysis!$E$28</f>
              <strCache>
                <ptCount val="1"/>
                <pt idx="0">
                  <v>Job_Count</v>
                </pt>
              </strCache>
            </strRef>
          </tx>
          <spPr>
            <a:ln xmlns:a="http://schemas.openxmlformats.org/drawingml/2006/main">
              <a:noFill/>
              <a:prstDash val="solid"/>
            </a:ln>
          </spPr>
          <explosion val="0"/>
          <dPt>
            <idx val="0"/>
            <bubble3D val="0"/>
            <spPr>
              <a:solidFill xmlns:a="http://schemas.openxmlformats.org/drawingml/2006/main">
                <a:srgbClr val="1F3864"/>
              </a:solidFill>
              <a:ln xmlns:a="http://schemas.openxmlformats.org/drawingml/2006/main">
                <a:noFill/>
                <a:prstDash val="solid"/>
              </a:ln>
            </spPr>
          </dPt>
          <dPt>
            <idx val="1"/>
            <bubble3D val="0"/>
            <spPr>
              <a:solidFill xmlns:a="http://schemas.openxmlformats.org/drawingml/2006/main">
                <a:srgbClr val="2CA58D"/>
              </a:solidFill>
              <a:ln xmlns:a="http://schemas.openxmlformats.org/drawingml/2006/main">
                <a:noFill/>
                <a:prstDash val="solid"/>
              </a:ln>
            </spPr>
          </dPt>
          <dPt>
            <idx val="2"/>
            <bubble3D val="0"/>
            <spPr>
              <a:solidFill xmlns:a="http://schemas.openxmlformats.org/drawingml/2006/main">
                <a:srgbClr val="E0A458"/>
              </a:solidFill>
              <a:ln xmlns:a="http://schemas.openxmlformats.org/drawingml/2006/main">
                <a:noFill/>
                <a:prstDash val="solid"/>
              </a:ln>
            </spPr>
          </dPt>
          <dLbls>
            <numFmt formatCode="General"/>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showLegendKey val="0"/>
            <showVal val="0"/>
            <showCatName val="0"/>
            <showSerName val="0"/>
            <showPercent val="1"/>
            <showBubbleSize val="1"/>
            <showLeaderLines val="1"/>
          </dLbls>
          <cat>
            <strRef>
              <f>Analysis!$D$29:$D$31</f>
              <strCache>
                <ptCount val="3"/>
                <pt idx="0">
                  <v>On-site</v>
                </pt>
                <pt idx="1">
                  <v>Hybrid</v>
                </pt>
                <pt idx="2">
                  <v>Remote</v>
                </pt>
              </strCache>
            </strRef>
          </cat>
          <val>
            <numRef>
              <f>Analysis!$E$29:$E$31</f>
              <numCache>
                <formatCode>General</formatCode>
                <ptCount val="3"/>
                <pt idx="0">
                  <v>383</v>
                </pt>
                <pt idx="1">
                  <v>27</v>
                </pt>
                <pt idx="2">
                  <v>10</v>
                </pt>
              </numCache>
            </numRef>
          </val>
        </ser>
        <dLbls>
          <showLegendKey val="0"/>
          <showVal val="0"/>
          <showCatName val="0"/>
          <showSerName val="0"/>
          <showPercent val="1"/>
          <showBubbleSize val="1"/>
          <showLeaderLines val="1"/>
        </dLbls>
        <firstSliceAng val="0"/>
        <holeSize val="10"/>
      </doughnutChart>
    </plotArea>
    <legend>
      <legendPos val="r"/>
      <layout/>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legend>
    <plotVisOnly val="1"/>
    <dispBlanksAs val="gap"/>
  </chart>
</chartSpace>
</file>

<file path=xl/charts/chart4.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800" b="1" i="0" strike="noStrike" kern="1200" baseline="0">
                <a:solidFill>
                  <a:schemeClr val="tx1"/>
                </a:solidFill>
                <a:latin typeface="+mn-lt"/>
                <a:ea typeface="+mn-ea"/>
                <a:cs typeface="+mn-cs"/>
              </a:defRPr>
            </a:pPr>
            <a:r>
              <a:t>Average Salary by Experience Level (Lacs PA)</a:t>
            </a:r>
          </a:p>
        </rich>
      </tx>
      <layout/>
      <overlay val="0"/>
    </title>
    <plotArea>
      <layout/>
      <barChart>
        <barDir val="col"/>
        <grouping val="clustered"/>
        <varyColors val="0"/>
        <ser>
          <idx val="0"/>
          <order val="0"/>
          <tx>
            <strRef>
              <f>Analysis!$H$28</f>
              <strCache>
                <ptCount val="1"/>
                <pt idx="0">
                  <v>Avg_Salary</v>
                </pt>
              </strCache>
            </strRef>
          </tx>
          <spPr>
            <a:ln xmlns:a="http://schemas.openxmlformats.org/drawingml/2006/main">
              <a:noFill/>
              <a:prstDash val="solid"/>
            </a:ln>
          </spPr>
          <invertIfNegative val="0"/>
          <dPt>
            <idx val="0"/>
            <invertIfNegative val="0"/>
            <bubble3D val="0"/>
            <spPr>
              <a:solidFill xmlns:a="http://schemas.openxmlformats.org/drawingml/2006/main">
                <a:srgbClr val="2CA58D"/>
              </a:solidFill>
              <a:ln xmlns:a="http://schemas.openxmlformats.org/drawingml/2006/main">
                <a:noFill/>
                <a:prstDash val="solid"/>
              </a:ln>
            </spPr>
          </dPt>
          <dPt>
            <idx val="1"/>
            <invertIfNegative val="0"/>
            <bubble3D val="0"/>
            <spPr>
              <a:solidFill xmlns:a="http://schemas.openxmlformats.org/drawingml/2006/main">
                <a:srgbClr val="2E75B6"/>
              </a:solidFill>
              <a:ln xmlns:a="http://schemas.openxmlformats.org/drawingml/2006/main">
                <a:noFill/>
                <a:prstDash val="solid"/>
              </a:ln>
            </spPr>
          </dPt>
          <dPt>
            <idx val="2"/>
            <invertIfNegative val="0"/>
            <bubble3D val="0"/>
            <spPr>
              <a:solidFill xmlns:a="http://schemas.openxmlformats.org/drawingml/2006/main">
                <a:srgbClr val="1F3864"/>
              </a:solidFill>
              <a:ln xmlns:a="http://schemas.openxmlformats.org/drawingml/2006/main">
                <a:noFill/>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dLblPos val="outEnd"/>
            <showLegendKey val="0"/>
            <showVal val="1"/>
            <showCatName val="0"/>
            <showSerName val="0"/>
            <showPercent val="1"/>
            <showBubbleSize val="1"/>
            <showLeaderLines val="0"/>
          </dLbls>
          <cat>
            <strRef>
              <f>Analysis!$G$29:$G$31</f>
              <strCache>
                <ptCount val="3"/>
                <pt idx="0">
                  <v>Entry Level (0-2 yrs)</v>
                </pt>
                <pt idx="1">
                  <v>Mid Level (3-6 yrs)</v>
                </pt>
                <pt idx="2">
                  <v>Senior Level (7+ yrs)</v>
                </pt>
              </strCache>
            </strRef>
          </cat>
          <val>
            <numRef>
              <f>Analysis!$H$29:$H$31</f>
              <numCache>
                <formatCode>0.00</formatCode>
                <ptCount val="3"/>
                <pt idx="0">
                  <v>4.15314917127072</v>
                </pt>
                <pt idx="1">
                  <v>9.854403669724769</v>
                </pt>
                <pt idx="2">
                  <v>17.6825581395349</v>
                </pt>
              </numCache>
            </numRef>
          </val>
        </ser>
        <dLbls>
          <showLegendKey val="0"/>
          <showVal val="1"/>
          <showCatName val="0"/>
          <showSerName val="0"/>
          <showPercent val="1"/>
          <showBubbleSize val="1"/>
        </dLbls>
        <gapWidth val="150"/>
        <axId val="10"/>
        <axId val="100"/>
      </barChart>
      <catAx>
        <axId val="10"/>
        <scaling>
          <orientation val="minMax"/>
        </scaling>
        <delete val="0"/>
        <axPos val="b"/>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en-US" sz="1000" b="1" i="0" strike="noStrike" kern="1200" baseline="0">
                    <a:solidFill>
                      <a:schemeClr val="tx1"/>
                    </a:solidFill>
                    <a:latin typeface="+mn-lt"/>
                    <a:ea typeface="+mn-ea"/>
                    <a:cs typeface="+mn-cs"/>
                  </a:defRPr>
                </a:pPr>
                <a:r>
                  <a:t>Average Salary (Lacs PA)</a:t>
                </a:r>
              </a:p>
            </rich>
          </tx>
          <layout/>
          <overlay val="0"/>
        </title>
        <numFmt formatCode="0.00"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5.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800" b="1" i="0" strike="noStrike" kern="1200" baseline="0">
                <a:solidFill>
                  <a:schemeClr val="tx1"/>
                </a:solidFill>
                <a:latin typeface="+mn-lt"/>
                <a:ea typeface="+mn-ea"/>
                <a:cs typeface="+mn-cs"/>
              </a:defRPr>
            </a:pPr>
            <a:r>
              <a:t>Jobs by Industry (Top 10)</a:t>
            </a:r>
          </a:p>
        </rich>
      </tx>
      <layout/>
      <overlay val="0"/>
    </title>
    <plotArea>
      <layout/>
      <barChart>
        <barDir val="bar"/>
        <grouping val="clustered"/>
        <varyColors val="0"/>
        <ser>
          <idx val="0"/>
          <order val="0"/>
          <tx>
            <strRef>
              <f>Analysis!$H$4</f>
              <strCache>
                <ptCount val="1"/>
                <pt idx="0">
                  <v>Job_Count</v>
                </pt>
              </strCache>
            </strRef>
          </tx>
          <spPr>
            <a:ln xmlns:a="http://schemas.openxmlformats.org/drawingml/2006/main">
              <a:noFill/>
              <a:prstDash val="solid"/>
            </a:ln>
          </spPr>
          <invertIfNegative val="0"/>
          <dPt>
            <idx val="0"/>
            <invertIfNegative val="0"/>
            <bubble3D val="0"/>
            <spPr>
              <a:solidFill xmlns:a="http://schemas.openxmlformats.org/drawingml/2006/main">
                <a:srgbClr val="1F3864"/>
              </a:solidFill>
              <a:ln xmlns:a="http://schemas.openxmlformats.org/drawingml/2006/main">
                <a:noFill/>
                <a:prstDash val="solid"/>
              </a:ln>
            </spPr>
          </dPt>
          <dPt>
            <idx val="1"/>
            <invertIfNegative val="0"/>
            <bubble3D val="0"/>
            <spPr>
              <a:solidFill xmlns:a="http://schemas.openxmlformats.org/drawingml/2006/main">
                <a:srgbClr val="2E75B6"/>
              </a:solidFill>
              <a:ln xmlns:a="http://schemas.openxmlformats.org/drawingml/2006/main">
                <a:noFill/>
                <a:prstDash val="solid"/>
              </a:ln>
            </spPr>
          </dPt>
          <dPt>
            <idx val="2"/>
            <invertIfNegative val="0"/>
            <bubble3D val="0"/>
            <spPr>
              <a:solidFill xmlns:a="http://schemas.openxmlformats.org/drawingml/2006/main">
                <a:srgbClr val="2CA58D"/>
              </a:solidFill>
              <a:ln xmlns:a="http://schemas.openxmlformats.org/drawingml/2006/main">
                <a:noFill/>
                <a:prstDash val="solid"/>
              </a:ln>
            </spPr>
          </dPt>
          <dPt>
            <idx val="3"/>
            <invertIfNegative val="0"/>
            <bubble3D val="0"/>
            <spPr>
              <a:solidFill xmlns:a="http://schemas.openxmlformats.org/drawingml/2006/main">
                <a:srgbClr val="E0A458"/>
              </a:solidFill>
              <a:ln xmlns:a="http://schemas.openxmlformats.org/drawingml/2006/main">
                <a:noFill/>
                <a:prstDash val="solid"/>
              </a:ln>
            </spPr>
          </dPt>
          <dPt>
            <idx val="4"/>
            <invertIfNegative val="0"/>
            <bubble3D val="0"/>
            <spPr>
              <a:solidFill xmlns:a="http://schemas.openxmlformats.org/drawingml/2006/main">
                <a:srgbClr val="D9705B"/>
              </a:solidFill>
              <a:ln xmlns:a="http://schemas.openxmlformats.org/drawingml/2006/main">
                <a:noFill/>
                <a:prstDash val="solid"/>
              </a:ln>
            </spPr>
          </dPt>
          <dPt>
            <idx val="5"/>
            <invertIfNegative val="0"/>
            <bubble3D val="0"/>
            <spPr>
              <a:solidFill xmlns:a="http://schemas.openxmlformats.org/drawingml/2006/main">
                <a:srgbClr val="7B6FA8"/>
              </a:solidFill>
              <a:ln xmlns:a="http://schemas.openxmlformats.org/drawingml/2006/main">
                <a:noFill/>
                <a:prstDash val="solid"/>
              </a:ln>
            </spPr>
          </dPt>
          <dPt>
            <idx val="6"/>
            <invertIfNegative val="0"/>
            <bubble3D val="0"/>
            <spPr>
              <a:solidFill xmlns:a="http://schemas.openxmlformats.org/drawingml/2006/main">
                <a:srgbClr val="5B9BD5"/>
              </a:solidFill>
              <a:ln xmlns:a="http://schemas.openxmlformats.org/drawingml/2006/main">
                <a:noFill/>
                <a:prstDash val="solid"/>
              </a:ln>
            </spPr>
          </dPt>
          <dPt>
            <idx val="7"/>
            <invertIfNegative val="0"/>
            <bubble3D val="0"/>
            <spPr>
              <a:solidFill xmlns:a="http://schemas.openxmlformats.org/drawingml/2006/main">
                <a:srgbClr val="8FAADC"/>
              </a:solidFill>
              <a:ln xmlns:a="http://schemas.openxmlformats.org/drawingml/2006/main">
                <a:noFill/>
                <a:prstDash val="solid"/>
              </a:ln>
            </spPr>
          </dPt>
          <dPt>
            <idx val="8"/>
            <invertIfNegative val="0"/>
            <bubble3D val="0"/>
            <spPr>
              <a:solidFill xmlns:a="http://schemas.openxmlformats.org/drawingml/2006/main">
                <a:srgbClr val="A9D18E"/>
              </a:solidFill>
              <a:ln xmlns:a="http://schemas.openxmlformats.org/drawingml/2006/main">
                <a:noFill/>
                <a:prstDash val="solid"/>
              </a:ln>
            </spPr>
          </dPt>
          <dPt>
            <idx val="9"/>
            <invertIfNegative val="0"/>
            <bubble3D val="0"/>
            <spPr>
              <a:solidFill xmlns:a="http://schemas.openxmlformats.org/drawingml/2006/main">
                <a:srgbClr val="F4B183"/>
              </a:solidFill>
              <a:ln xmlns:a="http://schemas.openxmlformats.org/drawingml/2006/main">
                <a:noFill/>
                <a:prstDash val="solid"/>
              </a:ln>
            </spPr>
          </dPt>
          <dLbls>
            <numFmt formatCode="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dLblPos val="outEnd"/>
            <showLegendKey val="0"/>
            <showVal val="1"/>
            <showCatName val="0"/>
            <showSerName val="0"/>
            <showPercent val="1"/>
            <showBubbleSize val="1"/>
            <showLeaderLines val="0"/>
          </dLbls>
          <cat>
            <strRef>
              <f>Analysis!$G$5:$G$14</f>
              <strCache>
                <ptCount val="10"/>
                <pt idx="0">
                  <v>IT / Software</v>
                </pt>
                <pt idx="1">
                  <v>Other / General Business</v>
                </pt>
                <pt idx="2">
                  <v>BFSI (Banking/Finance/Insurance)</v>
                </pt>
                <pt idx="3">
                  <v>Manufacturing &amp; Engineering</v>
                </pt>
                <pt idx="4">
                  <v>Marketing &amp; Advertising</v>
                </pt>
                <pt idx="5">
                  <v>Customer Service &amp; BPO</v>
                </pt>
                <pt idx="6">
                  <v>Sales &amp; Business Development</v>
                </pt>
                <pt idx="7">
                  <v>Healthcare &amp; Pharma</v>
                </pt>
                <pt idx="8">
                  <v>Education &amp; Training</v>
                </pt>
                <pt idx="9">
                  <v>HR &amp; Staffing</v>
                </pt>
              </strCache>
            </strRef>
          </cat>
          <val>
            <numRef>
              <f>Analysis!$H$5:$H$14</f>
              <numCache>
                <formatCode>General</formatCode>
                <ptCount val="10"/>
                <pt idx="0">
                  <v>108</v>
                </pt>
                <pt idx="1">
                  <v>68</v>
                </pt>
                <pt idx="2">
                  <v>60</v>
                </pt>
                <pt idx="3">
                  <v>39</v>
                </pt>
                <pt idx="4">
                  <v>27</v>
                </pt>
                <pt idx="5">
                  <v>26</v>
                </pt>
                <pt idx="6">
                  <v>25</v>
                </pt>
                <pt idx="7">
                  <v>23</v>
                </pt>
                <pt idx="8">
                  <v>10</v>
                </pt>
                <pt idx="9">
                  <v>8</v>
                </pt>
              </numCache>
            </numRef>
          </val>
        </ser>
        <dLbls>
          <showLegendKey val="0"/>
          <showVal val="1"/>
          <showCatName val="0"/>
          <showSerName val="0"/>
          <showPercent val="1"/>
          <showBubbleSize val="1"/>
        </dLbls>
        <gapWidth val="150"/>
        <axId val="10"/>
        <axId val="100"/>
      </barChart>
      <catAx>
        <axId val="10"/>
        <scaling>
          <orientation val="minMax"/>
        </scaling>
        <delete val="0"/>
        <axPos val="l"/>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en-US" sz="1000" b="1" i="0" strike="noStrike" kern="1200" baseline="0">
                    <a:solidFill>
                      <a:schemeClr val="tx1"/>
                    </a:solidFill>
                    <a:latin typeface="+mn-lt"/>
                    <a:ea typeface="+mn-ea"/>
                    <a:cs typeface="+mn-cs"/>
                  </a:defRPr>
                </a:pPr>
                <a:r>
                  <a:t>Number of Jobs</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b"/>
        <majorGridlines/>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6.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en-US" sz="1800" b="1" i="0" strike="noStrike" kern="1200" baseline="0">
                <a:solidFill>
                  <a:schemeClr val="tx1"/>
                </a:solidFill>
                <a:latin typeface="+mn-lt"/>
                <a:ea typeface="+mn-ea"/>
                <a:cs typeface="+mn-cs"/>
              </a:defRPr>
            </a:pPr>
            <a:r>
              <a:t>Most Requested Skills (Top 10)</a:t>
            </a:r>
          </a:p>
        </rich>
      </tx>
      <layout/>
      <overlay val="0"/>
    </title>
    <plotArea>
      <layout/>
      <barChart>
        <barDir val="bar"/>
        <grouping val="clustered"/>
        <varyColors val="0"/>
        <ser>
          <idx val="0"/>
          <order val="0"/>
          <tx>
            <strRef>
              <f>Analysis!$G$36</f>
              <strCache>
                <ptCount val="1"/>
                <pt idx="0">
                  <v>Mentions</v>
                </pt>
              </strCache>
            </strRef>
          </tx>
          <spPr>
            <a:ln xmlns:a="http://schemas.openxmlformats.org/drawingml/2006/main">
              <a:noFill/>
              <a:prstDash val="solid"/>
            </a:ln>
          </spPr>
          <invertIfNegative val="0"/>
          <dPt>
            <idx val="0"/>
            <invertIfNegative val="0"/>
            <bubble3D val="0"/>
            <spPr>
              <a:solidFill xmlns:a="http://schemas.openxmlformats.org/drawingml/2006/main">
                <a:srgbClr val="1F3864"/>
              </a:solidFill>
              <a:ln xmlns:a="http://schemas.openxmlformats.org/drawingml/2006/main">
                <a:noFill/>
                <a:prstDash val="solid"/>
              </a:ln>
            </spPr>
          </dPt>
          <dPt>
            <idx val="1"/>
            <invertIfNegative val="0"/>
            <bubble3D val="0"/>
            <spPr>
              <a:solidFill xmlns:a="http://schemas.openxmlformats.org/drawingml/2006/main">
                <a:srgbClr val="2E75B6"/>
              </a:solidFill>
              <a:ln xmlns:a="http://schemas.openxmlformats.org/drawingml/2006/main">
                <a:noFill/>
                <a:prstDash val="solid"/>
              </a:ln>
            </spPr>
          </dPt>
          <dPt>
            <idx val="2"/>
            <invertIfNegative val="0"/>
            <bubble3D val="0"/>
            <spPr>
              <a:solidFill xmlns:a="http://schemas.openxmlformats.org/drawingml/2006/main">
                <a:srgbClr val="2CA58D"/>
              </a:solidFill>
              <a:ln xmlns:a="http://schemas.openxmlformats.org/drawingml/2006/main">
                <a:noFill/>
                <a:prstDash val="solid"/>
              </a:ln>
            </spPr>
          </dPt>
          <dPt>
            <idx val="3"/>
            <invertIfNegative val="0"/>
            <bubble3D val="0"/>
            <spPr>
              <a:solidFill xmlns:a="http://schemas.openxmlformats.org/drawingml/2006/main">
                <a:srgbClr val="E0A458"/>
              </a:solidFill>
              <a:ln xmlns:a="http://schemas.openxmlformats.org/drawingml/2006/main">
                <a:noFill/>
                <a:prstDash val="solid"/>
              </a:ln>
            </spPr>
          </dPt>
          <dPt>
            <idx val="4"/>
            <invertIfNegative val="0"/>
            <bubble3D val="0"/>
            <spPr>
              <a:solidFill xmlns:a="http://schemas.openxmlformats.org/drawingml/2006/main">
                <a:srgbClr val="D9705B"/>
              </a:solidFill>
              <a:ln xmlns:a="http://schemas.openxmlformats.org/drawingml/2006/main">
                <a:noFill/>
                <a:prstDash val="solid"/>
              </a:ln>
            </spPr>
          </dPt>
          <dPt>
            <idx val="5"/>
            <invertIfNegative val="0"/>
            <bubble3D val="0"/>
            <spPr>
              <a:solidFill xmlns:a="http://schemas.openxmlformats.org/drawingml/2006/main">
                <a:srgbClr val="7B6FA8"/>
              </a:solidFill>
              <a:ln xmlns:a="http://schemas.openxmlformats.org/drawingml/2006/main">
                <a:noFill/>
                <a:prstDash val="solid"/>
              </a:ln>
            </spPr>
          </dPt>
          <dPt>
            <idx val="6"/>
            <invertIfNegative val="0"/>
            <bubble3D val="0"/>
            <spPr>
              <a:solidFill xmlns:a="http://schemas.openxmlformats.org/drawingml/2006/main">
                <a:srgbClr val="5B9BD5"/>
              </a:solidFill>
              <a:ln xmlns:a="http://schemas.openxmlformats.org/drawingml/2006/main">
                <a:noFill/>
                <a:prstDash val="solid"/>
              </a:ln>
            </spPr>
          </dPt>
          <dPt>
            <idx val="7"/>
            <invertIfNegative val="0"/>
            <bubble3D val="0"/>
            <spPr>
              <a:solidFill xmlns:a="http://schemas.openxmlformats.org/drawingml/2006/main">
                <a:srgbClr val="8FAADC"/>
              </a:solidFill>
              <a:ln xmlns:a="http://schemas.openxmlformats.org/drawingml/2006/main">
                <a:noFill/>
                <a:prstDash val="solid"/>
              </a:ln>
            </spPr>
          </dPt>
          <dPt>
            <idx val="8"/>
            <invertIfNegative val="0"/>
            <bubble3D val="0"/>
            <spPr>
              <a:solidFill xmlns:a="http://schemas.openxmlformats.org/drawingml/2006/main">
                <a:srgbClr val="A9D18E"/>
              </a:solidFill>
              <a:ln xmlns:a="http://schemas.openxmlformats.org/drawingml/2006/main">
                <a:noFill/>
                <a:prstDash val="solid"/>
              </a:ln>
            </spPr>
          </dPt>
          <dPt>
            <idx val="9"/>
            <invertIfNegative val="0"/>
            <bubble3D val="0"/>
            <spPr>
              <a:solidFill xmlns:a="http://schemas.openxmlformats.org/drawingml/2006/main">
                <a:srgbClr val="F4B183"/>
              </a:solidFill>
              <a:ln xmlns:a="http://schemas.openxmlformats.org/drawingml/2006/main">
                <a:noFill/>
                <a:prstDash val="solid"/>
              </a:ln>
            </spPr>
          </dPt>
          <dLbls>
            <numFmt formatCode="0"/>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dLblPos val="outEnd"/>
            <showLegendKey val="0"/>
            <showVal val="1"/>
            <showCatName val="0"/>
            <showSerName val="0"/>
            <showPercent val="1"/>
            <showBubbleSize val="1"/>
            <showLeaderLines val="0"/>
          </dLbls>
          <cat>
            <strRef>
              <f>Analysis!$F$37:$F$46</f>
              <strCache>
                <ptCount val="10"/>
                <pt idx="0">
                  <v>Sales</v>
                </pt>
                <pt idx="1">
                  <v>Customer Service</v>
                </pt>
                <pt idx="2">
                  <v>Accounting</v>
                </pt>
                <pt idx="3">
                  <v>Lead Generation</v>
                </pt>
                <pt idx="4">
                  <v>Java</v>
                </pt>
                <pt idx="5">
                  <v>Marketing</v>
                </pt>
                <pt idx="6">
                  <v>Business Development</v>
                </pt>
                <pt idx="7">
                  <v>Team Handling</v>
                </pt>
                <pt idx="8">
                  <v>Communication Skills</v>
                </pt>
                <pt idx="9">
                  <v>BPO</v>
                </pt>
              </strCache>
            </strRef>
          </cat>
          <val>
            <numRef>
              <f>Analysis!$G$37:$G$46</f>
              <numCache>
                <formatCode>General</formatCode>
                <ptCount val="10"/>
                <pt idx="0">
                  <v>77</v>
                </pt>
                <pt idx="1">
                  <v>14</v>
                </pt>
                <pt idx="2">
                  <v>11</v>
                </pt>
                <pt idx="3">
                  <v>8</v>
                </pt>
                <pt idx="4">
                  <v>14</v>
                </pt>
                <pt idx="5">
                  <v>18</v>
                </pt>
                <pt idx="6">
                  <v>9</v>
                </pt>
                <pt idx="7">
                  <v>7</v>
                </pt>
                <pt idx="8">
                  <v>9</v>
                </pt>
                <pt idx="9">
                  <v>14</v>
                </pt>
              </numCache>
            </numRef>
          </val>
        </ser>
        <dLbls>
          <showLegendKey val="0"/>
          <showVal val="1"/>
          <showCatName val="0"/>
          <showSerName val="0"/>
          <showPercent val="1"/>
          <showBubbleSize val="1"/>
        </dLbls>
        <gapWidth val="150"/>
        <axId val="10"/>
        <axId val="100"/>
      </barChart>
      <catAx>
        <axId val="10"/>
        <scaling>
          <orientation val="minMax"/>
        </scaling>
        <delete val="0"/>
        <axPos val="l"/>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en-US" sz="1000" b="1" i="0" strike="noStrike" kern="1200" baseline="0">
                    <a:solidFill>
                      <a:schemeClr val="tx1"/>
                    </a:solidFill>
                    <a:latin typeface="+mn-lt"/>
                    <a:ea typeface="+mn-ea"/>
                    <a:cs typeface="+mn-cs"/>
                  </a:defRPr>
                </a:pPr>
                <a:r>
                  <a:t>Mentions</a:t>
                </a:r>
              </a:p>
            </rich>
          </tx>
          <layout/>
          <overlay val="0"/>
        </title>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b"/>
        <majorGridlines/>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en-US"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10</row>
      <rowOff>0</rowOff>
    </from>
    <ext cx="3708000" cy="25094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10</row>
      <rowOff>0</rowOff>
    </from>
    <ext cx="3708000" cy="25094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12</col>
      <colOff>0</colOff>
      <row>10</row>
      <rowOff>0</rowOff>
    </from>
    <ext cx="3708000" cy="250945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26</row>
      <rowOff>0</rowOff>
    </from>
    <ext cx="3708000" cy="250945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6</col>
      <colOff>0</colOff>
      <row>26</row>
      <rowOff>0</rowOff>
    </from>
    <ext cx="3708000" cy="250945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12</col>
      <colOff>0</colOff>
      <row>26</row>
      <rowOff>0</rowOff>
    </from>
    <ext cx="3708000" cy="250945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externalLinks/_rels/externalLink1.xml.rels><Relationships xmlns="http://schemas.openxmlformats.org/package/2006/relationships"><Relationship Type="http://schemas.microsoft.com/office/2006/relationships/xlExternalLinkPath/xlPathMissing" Target="List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tables/table1.xml><?xml version="1.0" encoding="utf-8"?>
<table xmlns="http://schemas.openxmlformats.org/spreadsheetml/2006/main" id="1" name="Raw_Data_Tbl" displayName="Raw_Data_Tbl" ref="A1:L435" headerRowCount="1">
  <autoFilter ref="A1:L435"/>
  <tableColumns count="12">
    <tableColumn id="1" name="Job_ID"/>
    <tableColumn id="2" name="Job_Title"/>
    <tableColumn id="3" name="Company"/>
    <tableColumn id="4" name="Location"/>
    <tableColumn id="5" name="Industry"/>
    <tableColumn id="6" name="Experience_Level"/>
    <tableColumn id="7" name="Employment_Type"/>
    <tableColumn id="8" name="Work_Mode"/>
    <tableColumn id="9" name="Salary_Min"/>
    <tableColumn id="10" name="Salary_Max"/>
    <tableColumn id="11" name="Required_Skills"/>
    <tableColumn id="12" name="Posting_Date"/>
  </tableColumns>
  <tableStyleInfo name="TableStyleMedium2" showFirstColumn="0" showLastColumn="0" showRowStripes="1" showColumnStripes="0"/>
</table>
</file>

<file path=xl/tables/table2.xml><?xml version="1.0" encoding="utf-8"?>
<table xmlns="http://schemas.openxmlformats.org/spreadsheetml/2006/main" id="2" name="Cleaned_Data_Tbl" displayName="Cleaned_Data_Tbl" ref="A10:Q444" headerRowCount="1">
  <autoFilter ref="A10:Q444"/>
  <tableColumns count="17">
    <tableColumn id="1" name="Job_ID"/>
    <tableColumn id="2" name="Job_Title"/>
    <tableColumn id="3" name="Company"/>
    <tableColumn id="4" name="Location"/>
    <tableColumn id="5" name="Industry"/>
    <tableColumn id="6" name="Experience_Level"/>
    <tableColumn id="7" name="Employment_Type"/>
    <tableColumn id="8" name="Work_Mode"/>
    <tableColumn id="9" name="Salary_Min"/>
    <tableColumn id="10" name="Salary_Max"/>
    <tableColumn id="11" name="Required_Skills"/>
    <tableColumn id="12" name="Posting_Date"/>
    <tableColumn id="13" name="Average_Salary"/>
    <tableColumn id="14" name="Salary_Range"/>
    <tableColumn id="15" name="Posting_Month"/>
    <tableColumn id="16" name="Job_Role_Category"/>
    <tableColumn id="17" name="Duplicate_Flag"/>
  </tableColumns>
  <tableStyleInfo name="TableStyleMedium2" showFirstColumn="0" showLastColumn="0" showRowStripes="1" showColumnStripes="0"/>
</table>
</file>

<file path=xl/tables/table3.xml><?xml version="1.0" encoding="utf-8"?>
<table xmlns="http://schemas.openxmlformats.org/spreadsheetml/2006/main" id="3" name="Tbl_JobsByRole" displayName="Tbl_JobsByRole" ref="A4:B17" headerRowCount="1">
  <autoFilter ref="A4:B17"/>
  <tableColumns count="2">
    <tableColumn id="1" name="Job_Role"/>
    <tableColumn id="2" name="Job_Count"/>
  </tableColumns>
  <tableStyleInfo name="TableStyleMedium9" showFirstColumn="0" showLastColumn="0" showRowStripes="1" showColumnStripes="0"/>
</table>
</file>

<file path=xl/tables/table4.xml><?xml version="1.0" encoding="utf-8"?>
<table xmlns="http://schemas.openxmlformats.org/spreadsheetml/2006/main" id="4" name="Tbl_JobsByLocation" displayName="Tbl_JobsByLocation" ref="D4:E24" headerRowCount="1">
  <autoFilter ref="D4:E24"/>
  <tableColumns count="2">
    <tableColumn id="4" name="Location"/>
    <tableColumn id="5" name="Job_Count"/>
  </tableColumns>
  <tableStyleInfo name="TableStyleMedium9" showFirstColumn="0" showLastColumn="0" showRowStripes="1" showColumnStripes="0"/>
</table>
</file>

<file path=xl/tables/table5.xml><?xml version="1.0" encoding="utf-8"?>
<table xmlns="http://schemas.openxmlformats.org/spreadsheetml/2006/main" id="5" name="Tbl_JobsByIndustry" displayName="Tbl_JobsByIndustry" ref="G4:H20" headerRowCount="1">
  <autoFilter ref="G4:H20"/>
  <tableColumns count="2">
    <tableColumn id="7" name="Industry"/>
    <tableColumn id="8" name="Job_Count"/>
  </tableColumns>
  <tableStyleInfo name="TableStyleMedium9" showFirstColumn="0" showLastColumn="0" showRowStripes="1" showColumnStripes="0"/>
</table>
</file>

<file path=xl/tables/table6.xml><?xml version="1.0" encoding="utf-8"?>
<table xmlns="http://schemas.openxmlformats.org/spreadsheetml/2006/main" id="6" name="Tbl_JobsByExp" displayName="Tbl_JobsByExp" ref="A28:B32" headerRowCount="1">
  <autoFilter ref="A28:B32"/>
  <tableColumns count="2">
    <tableColumn id="1" name="Experience_Level"/>
    <tableColumn id="2" name="Job_Count"/>
  </tableColumns>
  <tableStyleInfo name="TableStyleMedium9" showFirstColumn="0" showLastColumn="0" showRowStripes="1" showColumnStripes="0"/>
</table>
</file>

<file path=xl/tables/table7.xml><?xml version="1.0" encoding="utf-8"?>
<table xmlns="http://schemas.openxmlformats.org/spreadsheetml/2006/main" id="7" name="Tbl_JobsByWorkMode" displayName="Tbl_JobsByWorkMode" ref="D28:E31" headerRowCount="1">
  <autoFilter ref="D28:E31"/>
  <tableColumns count="2">
    <tableColumn id="4" name="Work_Mode"/>
    <tableColumn id="5" name="Job_Count"/>
  </tableColumns>
  <tableStyleInfo name="TableStyleMedium9" showFirstColumn="0" showLastColumn="0" showRowStripes="1" showColumnStripes="0"/>
</table>
</file>

<file path=xl/tables/table8.xml><?xml version="1.0" encoding="utf-8"?>
<table xmlns="http://schemas.openxmlformats.org/spreadsheetml/2006/main" id="8" name="Tbl_AvgSalaryByExp" displayName="Tbl_AvgSalaryByExp" ref="G28:H32" headerRowCount="1">
  <autoFilter ref="G28:H32"/>
  <tableColumns count="2">
    <tableColumn id="7" name="Experience_Level"/>
    <tableColumn id="8" name="Avg_Salary"/>
  </tableColumns>
  <tableStyleInfo name="TableStyleMedium9" showFirstColumn="0" showLastColumn="0" showRowStripes="1" showColumnStripes="0"/>
</table>
</file>

<file path=xl/tables/table9.xml><?xml version="1.0" encoding="utf-8"?>
<table xmlns="http://schemas.openxmlformats.org/spreadsheetml/2006/main" id="9" name="Tbl_AvgSalaryByRole" displayName="Tbl_AvgSalaryByRole" ref="A36:D49" headerRowCount="1">
  <autoFilter ref="A36:D49"/>
  <tableColumns count="4">
    <tableColumn id="1" name="Job_Role"/>
    <tableColumn id="2" name="Avg_Salary_Min"/>
    <tableColumn id="3" name="Avg_Salary_Max"/>
    <tableColumn id="4" name="Avg_Salary"/>
  </tableColumns>
  <tableStyleInfo name="TableStyleMedium9" showFirstColumn="0" showLastColumn="0" showRowStripes="1" showColumnStripes="0"/>
</table>
</file>

<file path=xl/tables/table10.xml><?xml version="1.0" encoding="utf-8"?>
<table xmlns="http://schemas.openxmlformats.org/spreadsheetml/2006/main" id="10" name="Tbl_TopSkills" displayName="Tbl_TopSkills" ref="F36:G48" headerRowCount="1">
  <autoFilter ref="F36:G48"/>
  <tableColumns count="2">
    <tableColumn id="6" name="Skill"/>
    <tableColumn id="7" name="Men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 Type="http://schemas.openxmlformats.org/officeDocument/2006/relationships/table" Target="/xl/tables/table7.xml" Id="rId5"/><Relationship Type="http://schemas.openxmlformats.org/officeDocument/2006/relationships/table" Target="/xl/tables/table8.xml" Id="rId6"/><Relationship Type="http://schemas.openxmlformats.org/officeDocument/2006/relationships/table" Target="/xl/tables/table9.xml" Id="rId7"/><Relationship Type="http://schemas.openxmlformats.org/officeDocument/2006/relationships/table" Target="/xl/tables/table10.xml" Id="rId8"/></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1F3864"/>
    <outlinePr summaryBelow="1" summaryRight="1"/>
    <pageSetUpPr fitToPage="1"/>
  </sheetPr>
  <dimension ref="A1:H23"/>
  <sheetViews>
    <sheetView showGridLines="0" workbookViewId="0">
      <selection activeCell="A1" sqref="A1:H2"/>
    </sheetView>
  </sheetViews>
  <sheetFormatPr baseColWidth="8" defaultColWidth="9" defaultRowHeight="14.5"/>
  <cols>
    <col width="14" customWidth="1" min="1" max="1"/>
    <col width="12" customWidth="1" min="2" max="8"/>
  </cols>
  <sheetData>
    <row r="1" ht="20" customHeight="1">
      <c r="A1" s="53" t="inlineStr">
        <is>
          <t>Job Market Analysis Dashboard</t>
        </is>
      </c>
    </row>
    <row r="2" ht="20" customHeight="1"/>
    <row r="4" ht="17" customHeight="1">
      <c r="A4" s="54" t="inlineStr">
        <is>
          <t>Project Objective</t>
        </is>
      </c>
    </row>
    <row r="5" ht="64" customHeight="1">
      <c r="A5" s="55" t="inlineStr">
        <is>
          <t>Analyze a real sample of Indian job postings and build an interactive Excel dashboard covering demand by role and location, salary ranges, experience levels, top skills, work mode split, and industry mix — the kind of first analysis a Data Analyst / Business Analyst / MIS Executive is asked to do.</t>
        </is>
      </c>
    </row>
    <row r="7" ht="17" customHeight="1">
      <c r="A7" s="54" t="inlineStr">
        <is>
          <t>How This Workbook Is Organised</t>
        </is>
      </c>
    </row>
    <row r="8" ht="49" customHeight="1">
      <c r="A8" s="55" t="inlineStr">
        <is>
          <t>1. Raw_Data — the original, unprocessed job posting records (intentionally contains a few duplicates, inconsistent spellings, extra spaces and missing values, exactly as raw data usually arrives).</t>
        </is>
      </c>
    </row>
    <row r="9" ht="49" customHeight="1">
      <c r="A9" s="55" t="inlineStr">
        <is>
          <t>2. Cleaned_Data — the same data cleaned with formulas (TRIM, PROPER, IF, IFS, SEARCH), plus calculated columns: Average_Salary, Salary_Range, Posting_Month, Job_Role_Category and Duplicate_Flag.</t>
        </is>
      </c>
    </row>
    <row r="10" ht="34" customHeight="1">
      <c r="A10" s="55" t="inlineStr">
        <is>
          <t>3. Analysis — pivot-style summary tables built with COUNTIFS / SUMIFS / AVERAGEIFS that answer each business question the dashboard needs.</t>
        </is>
      </c>
    </row>
    <row r="11" ht="34" customHeight="1">
      <c r="A11" s="55" t="inlineStr">
        <is>
          <t>4. Dashboard — one-page view with 5 live filter dropdowns, 5 KPI cards and 6 charts, all linked live to the Analysis sheet.</t>
        </is>
      </c>
    </row>
    <row r="13" ht="17" customHeight="1">
      <c r="A13" s="54" t="inlineStr">
        <is>
          <t>Dataset Note</t>
        </is>
      </c>
    </row>
    <row r="14" ht="79" customHeight="1">
      <c r="A14" s="55" t="inlineStr">
        <is>
          <t>Records are a real, de-identified sample of job postings collected from a public Indian job-search platform (title, company, location, experience, salary and skills fields), narrowed down to ~420 usable postings for this project. Fields not present in the source (Industry, Experience_Level bucket, Work_Mode, Job_Role_Category) were derived using simple keyword rules so the data could be grouped and charted.</t>
        </is>
      </c>
    </row>
    <row r="16" ht="17" customHeight="1">
      <c r="A16" s="54" t="inlineStr">
        <is>
          <t>How the Interactive Filters Work</t>
        </is>
      </c>
    </row>
    <row r="17" ht="94" customHeight="1">
      <c r="A17" s="55" t="inlineStr">
        <is>
          <t>The 5 dropdowns at the top of the Dashboard (Job Role, Location, Experience, Work Mode, Industry) are Data Validation lists pointing at the hidden Lists sheet. Every KPI and summary table formula includes an extra IF(filter="All","*",filter) condition for each dropdown, so a wildcard "*" matches everything when a filter is set to "All", and an exact match narrows the results the moment you pick a specific value — no macros required, just COUNTIFS/AVERAGEIFS reading a cell.</t>
        </is>
      </c>
    </row>
    <row r="19" ht="17" customHeight="1">
      <c r="A19" s="54" t="inlineStr">
        <is>
          <t>Adding Native PivotTables &amp; Slicers (optional, 2 minutes)</t>
        </is>
      </c>
    </row>
    <row r="20" ht="79" customHeight="1">
      <c r="A20" s="55" t="inlineStr">
        <is>
          <t>The dropdown filters above already make the dashboard interactive. To also practice the click-based PivotTable/Slicer workflow: select any cell inside the Cleaned_Data table → Insert tab → PivotTable → New Worksheet. Drag Job_Role_Category, Location, Experience_Level, Work_Mode or Industry to Rows, and Job_ID to Values (set to Count). Then, with the PivotTable selected, go to Insert tab → Slicer, and tick the fields you want as clickable filter buttons.</t>
        </is>
      </c>
    </row>
    <row r="22" ht="17" customHeight="1">
      <c r="A22" s="54" t="inlineStr">
        <is>
          <t>Excel Skills Demonstrated</t>
        </is>
      </c>
    </row>
    <row r="23" ht="79" customHeight="1">
      <c r="A23" s="55" t="inlineStr">
        <is>
          <t>Data cleaning (TRIM, PROPER, IF/IFS text standardization) • Excel Tables • Sorting &amp; filtering • Data Validation dropdown filters • IF / COUNTIF / COUNTIFS / SUMIFS / AVERAGEIFS • SEARCH &amp; TEXT functions • Calculated columns • Pivot-style summary tables • Native Excel charts (bar, column, doughnut) with custom color coding • KPI cards • Conditional formatting • Clean, colorful one-page dashboard design.</t>
        </is>
      </c>
    </row>
  </sheetData>
  <mergeCells count="16">
    <mergeCell ref="A9:H9"/>
    <mergeCell ref="A4:H4"/>
    <mergeCell ref="A7:H7"/>
    <mergeCell ref="A20:H20"/>
    <mergeCell ref="A16:H16"/>
    <mergeCell ref="A10:H10"/>
    <mergeCell ref="A13:H13"/>
    <mergeCell ref="A11:H11"/>
    <mergeCell ref="A14:H14"/>
    <mergeCell ref="A19:H19"/>
    <mergeCell ref="A5:H5"/>
    <mergeCell ref="A23:H23"/>
    <mergeCell ref="A1:H2"/>
    <mergeCell ref="A8:H8"/>
    <mergeCell ref="A22:H22"/>
    <mergeCell ref="A17:H17"/>
  </mergeCells>
  <pageMargins left="0.75" right="0.75" top="1" bottom="1" header="0.5" footer="0.5"/>
  <pageSetup orientation="landscape" paperSize="1"/>
</worksheet>
</file>

<file path=xl/worksheets/sheet2.xml><?xml version="1.0" encoding="utf-8"?>
<worksheet xmlns="http://schemas.openxmlformats.org/spreadsheetml/2006/main">
  <sheetPr>
    <tabColor rgb="FF1F3864"/>
    <outlinePr summaryBelow="1" summaryRight="1"/>
    <pageSetUpPr fitToPage="1"/>
  </sheetPr>
  <dimension ref="A1:L435"/>
  <sheetViews>
    <sheetView workbookViewId="0">
      <pane ySplit="1" topLeftCell="A142" activePane="bottomLeft" state="frozen"/>
      <selection activeCell="A1" sqref="A1"/>
      <selection pane="bottomLeft" activeCell="A1" sqref="A1"/>
    </sheetView>
  </sheetViews>
  <sheetFormatPr baseColWidth="8" defaultColWidth="9" defaultRowHeight="14.5"/>
  <cols>
    <col width="10" customWidth="1" min="1" max="1"/>
    <col width="34" customWidth="1" min="2" max="2"/>
    <col width="26" customWidth="1" min="3" max="3"/>
    <col width="16" customWidth="1" min="4" max="4"/>
    <col width="24" customWidth="1" min="5" max="5"/>
    <col width="20" customWidth="1" min="6" max="6"/>
    <col width="15" customWidth="1" min="7" max="7"/>
    <col width="11" customWidth="1" min="8" max="10"/>
    <col width="40" customWidth="1" min="11" max="11"/>
    <col width="14" customWidth="1" min="12" max="12"/>
  </cols>
  <sheetData>
    <row r="1" ht="30" customHeight="1">
      <c r="A1" s="51" t="inlineStr">
        <is>
          <t>Job_ID</t>
        </is>
      </c>
      <c r="B1" s="51" t="inlineStr">
        <is>
          <t>Job_Title</t>
        </is>
      </c>
      <c r="C1" s="51" t="inlineStr">
        <is>
          <t>Company</t>
        </is>
      </c>
      <c r="D1" s="51" t="inlineStr">
        <is>
          <t>Location</t>
        </is>
      </c>
      <c r="E1" s="51" t="inlineStr">
        <is>
          <t>Industry</t>
        </is>
      </c>
      <c r="F1" s="51" t="inlineStr">
        <is>
          <t>Experience_Level</t>
        </is>
      </c>
      <c r="G1" s="51" t="inlineStr">
        <is>
          <t>Employment_Type</t>
        </is>
      </c>
      <c r="H1" s="51" t="inlineStr">
        <is>
          <t>Work_Mode</t>
        </is>
      </c>
      <c r="I1" s="51" t="inlineStr">
        <is>
          <t>Salary_Min</t>
        </is>
      </c>
      <c r="J1" s="51" t="inlineStr">
        <is>
          <t>Salary_Max</t>
        </is>
      </c>
      <c r="K1" s="51" t="inlineStr">
        <is>
          <t>Required_Skills</t>
        </is>
      </c>
      <c r="L1" s="51" t="inlineStr">
        <is>
          <t>Posting_Date</t>
        </is>
      </c>
    </row>
    <row r="2">
      <c r="A2" s="48" t="inlineStr">
        <is>
          <t>J0375</t>
        </is>
      </c>
      <c r="B2" s="48" t="inlineStr">
        <is>
          <t>Assistant Highway Maintenance Engineer</t>
        </is>
      </c>
      <c r="C2" s="48" t="inlineStr">
        <is>
          <t>Theme Engineering Services</t>
        </is>
      </c>
      <c r="D2" s="48" t="inlineStr">
        <is>
          <t>Chennai</t>
        </is>
      </c>
      <c r="E2" s="48" t="inlineStr">
        <is>
          <t>Manufacturing &amp; Engineering</t>
        </is>
      </c>
      <c r="F2" s="48" t="inlineStr">
        <is>
          <t>Mid Level (3-6 yrs)</t>
        </is>
      </c>
      <c r="G2" s="48" t="inlineStr">
        <is>
          <t>Full-time</t>
        </is>
      </c>
      <c r="H2" s="48" t="inlineStr">
        <is>
          <t>On-site</t>
        </is>
      </c>
      <c r="I2" s="49" t="n">
        <v>2.5</v>
      </c>
      <c r="J2" s="49" t="n">
        <v>3.5</v>
      </c>
      <c r="K2" s="48" t="inlineStr">
        <is>
          <t>inspecting and maintaining, Project Handling, Coordination, Nhai</t>
        </is>
      </c>
      <c r="L2" s="56" t="n">
        <v>45966</v>
      </c>
    </row>
    <row r="3">
      <c r="A3" s="48" t="inlineStr">
        <is>
          <t>J0133</t>
        </is>
      </c>
      <c r="B3" s="48" t="inlineStr">
        <is>
          <t>Site Engineer - Track</t>
        </is>
      </c>
      <c r="C3" s="48" t="inlineStr">
        <is>
          <t>Consulting Engineers Group (CEG)</t>
        </is>
      </c>
      <c r="D3" s="48" t="inlineStr">
        <is>
          <t>Surat</t>
        </is>
      </c>
      <c r="E3" s="48" t="inlineStr">
        <is>
          <t>Real Estate &amp; Construction</t>
        </is>
      </c>
      <c r="F3" s="48" t="inlineStr">
        <is>
          <t>Mid Level (3-6 yrs)</t>
        </is>
      </c>
      <c r="G3" s="48" t="inlineStr">
        <is>
          <t>Full-time</t>
        </is>
      </c>
      <c r="H3" s="48" t="inlineStr">
        <is>
          <t>On-site</t>
        </is>
      </c>
      <c r="I3" s="49" t="n">
        <v>6</v>
      </c>
      <c r="J3" s="49" t="n">
        <v>9.5</v>
      </c>
      <c r="K3" s="48" t="n"/>
      <c r="L3" s="56" t="n">
        <v>45966</v>
      </c>
    </row>
    <row r="4">
      <c r="A4" s="48" t="inlineStr">
        <is>
          <t>J0344</t>
        </is>
      </c>
      <c r="B4" s="48" t="inlineStr">
        <is>
          <t>Trainer (9 Positions)- Eletrical / Welder / Fittter / Computer (AMLOH)</t>
        </is>
      </c>
      <c r="C4" s="48" t="inlineStr">
        <is>
          <t>Kaamkaaj  India</t>
        </is>
      </c>
      <c r="D4" s="48" t="inlineStr">
        <is>
          <t>Khanna</t>
        </is>
      </c>
      <c r="E4" s="48" t="inlineStr">
        <is>
          <t>IT / Software</t>
        </is>
      </c>
      <c r="F4" s="48" t="inlineStr">
        <is>
          <t>Entry Level (0-2 yrs)</t>
        </is>
      </c>
      <c r="G4" s="48" t="inlineStr">
        <is>
          <t>Full-time</t>
        </is>
      </c>
      <c r="H4" s="48" t="inlineStr">
        <is>
          <t>On-site</t>
        </is>
      </c>
      <c r="I4" s="49" t="n">
        <v>1</v>
      </c>
      <c r="J4" s="49" t="n">
        <v>4</v>
      </c>
      <c r="K4" s="48" t="inlineStr">
        <is>
          <t>trainer, welder, computer, teacher</t>
        </is>
      </c>
      <c r="L4" s="56" t="n">
        <v>45970</v>
      </c>
    </row>
    <row r="5">
      <c r="A5" s="48" t="inlineStr">
        <is>
          <t>J0033</t>
        </is>
      </c>
      <c r="B5" s="48" t="inlineStr">
        <is>
          <t>Business Development Manager</t>
        </is>
      </c>
      <c r="C5" s="48" t="inlineStr">
        <is>
          <t>Scintilla Kreations</t>
        </is>
      </c>
      <c r="D5" s="48" t="inlineStr">
        <is>
          <t>Hyderabad</t>
        </is>
      </c>
      <c r="E5" s="48" t="inlineStr">
        <is>
          <t>IT / Software</t>
        </is>
      </c>
      <c r="F5" s="48" t="inlineStr">
        <is>
          <t>Mid Level (3-6 yrs)</t>
        </is>
      </c>
      <c r="G5" s="48" t="inlineStr">
        <is>
          <t>Full-time</t>
        </is>
      </c>
      <c r="H5" s="48" t="inlineStr">
        <is>
          <t>On-site</t>
        </is>
      </c>
      <c r="I5" s="49" t="n">
        <v>4.5</v>
      </c>
      <c r="J5" s="49" t="n">
        <v>6</v>
      </c>
      <c r="K5" s="48" t="inlineStr">
        <is>
          <t>Business Development, Business Development And Marketing, Branding And Marketing, It Services Sales</t>
        </is>
      </c>
      <c r="L5" s="56" t="n">
        <v>45966</v>
      </c>
    </row>
    <row r="6">
      <c r="A6" s="48" t="inlineStr">
        <is>
          <t>J0061</t>
        </is>
      </c>
      <c r="B6" s="48" t="inlineStr">
        <is>
          <t>B2B Sales Executive</t>
        </is>
      </c>
      <c r="C6" s="48" t="inlineStr">
        <is>
          <t>ANK Solar Energy</t>
        </is>
      </c>
      <c r="D6" s="48" t="inlineStr">
        <is>
          <t>Surat</t>
        </is>
      </c>
      <c r="E6" s="48" t="inlineStr">
        <is>
          <t>Sales &amp; Business Development</t>
        </is>
      </c>
      <c r="F6" s="48" t="inlineStr">
        <is>
          <t>Entry Level (0-2 yrs)</t>
        </is>
      </c>
      <c r="G6" s="48" t="inlineStr">
        <is>
          <t>Full-time</t>
        </is>
      </c>
      <c r="H6" s="48" t="inlineStr">
        <is>
          <t>On-site</t>
        </is>
      </c>
      <c r="I6" s="49" t="n">
        <v>2.5</v>
      </c>
      <c r="J6" s="49" t="n">
        <v>4.5</v>
      </c>
      <c r="K6" s="48" t="inlineStr">
        <is>
          <t>B2B Sales, B2B, B2B Business Development, Business To Business</t>
        </is>
      </c>
      <c r="L6" s="56" t="n">
        <v>45973</v>
      </c>
    </row>
    <row r="7">
      <c r="A7" s="48" t="inlineStr">
        <is>
          <t>J0005</t>
        </is>
      </c>
      <c r="B7" s="48" t="inlineStr">
        <is>
          <t>maintenance engineer</t>
        </is>
      </c>
      <c r="C7" s="48" t="inlineStr">
        <is>
          <t>Talent Surge</t>
        </is>
      </c>
      <c r="D7" s="48" t="inlineStr">
        <is>
          <t>Pune</t>
        </is>
      </c>
      <c r="E7" s="48" t="inlineStr">
        <is>
          <t>Manufacturing &amp; Engineering</t>
        </is>
      </c>
      <c r="F7" s="48" t="inlineStr">
        <is>
          <t>Mid Level (3-6 yrs)</t>
        </is>
      </c>
      <c r="G7" s="48" t="inlineStr">
        <is>
          <t>Full-time</t>
        </is>
      </c>
      <c r="H7" s="48" t="inlineStr">
        <is>
          <t>On-site</t>
        </is>
      </c>
      <c r="I7" s="49" t="n">
        <v>4</v>
      </c>
      <c r="J7" s="49" t="n">
        <v>4.5</v>
      </c>
      <c r="K7" s="48" t="inlineStr">
        <is>
          <t>Electrical Maintenance, Pneumatic System, Breakdown Maintenance, Preventive Maintenance</t>
        </is>
      </c>
      <c r="L7" s="56" t="n">
        <v>45970</v>
      </c>
    </row>
    <row r="8">
      <c r="A8" s="48" t="inlineStr">
        <is>
          <t>J0386</t>
        </is>
      </c>
      <c r="B8" s="48" t="inlineStr">
        <is>
          <t>Delivery Excellence - ITIL - SA- Professional</t>
        </is>
      </c>
      <c r="C8" s="48" t="inlineStr">
        <is>
          <t>Golden Opportunities</t>
        </is>
      </c>
      <c r="D8" s="48" t="inlineStr">
        <is>
          <t>Pune</t>
        </is>
      </c>
      <c r="E8" s="48" t="inlineStr">
        <is>
          <t>Other / General Business</t>
        </is>
      </c>
      <c r="F8" s="48" t="inlineStr">
        <is>
          <t>Mid Level (3-6 yrs)</t>
        </is>
      </c>
      <c r="G8" s="48" t="inlineStr">
        <is>
          <t>Full-time</t>
        </is>
      </c>
      <c r="H8" s="48" t="inlineStr">
        <is>
          <t>On-site</t>
        </is>
      </c>
      <c r="I8" s="49" t="n"/>
      <c r="J8" s="49" t="n"/>
      <c r="K8" s="48" t="inlineStr">
        <is>
          <t>ITIL, Delivery Excellence, Program Management, Value stream mapping</t>
        </is>
      </c>
      <c r="L8" s="56" t="n">
        <v>45973</v>
      </c>
    </row>
    <row r="9">
      <c r="A9" s="48" t="inlineStr">
        <is>
          <t>J0255</t>
        </is>
      </c>
      <c r="B9" s="48" t="inlineStr">
        <is>
          <t>Civil Engineer</t>
        </is>
      </c>
      <c r="C9" s="48" t="inlineStr">
        <is>
          <t>PRO Hr Complete Solutions</t>
        </is>
      </c>
      <c r="D9" s="48" t="inlineStr">
        <is>
          <t>Jaipur</t>
        </is>
      </c>
      <c r="E9" s="48" t="inlineStr">
        <is>
          <t>Manufacturing &amp; Engineering</t>
        </is>
      </c>
      <c r="F9" s="48" t="inlineStr">
        <is>
          <t>Entry Level (0-2 yrs)</t>
        </is>
      </c>
      <c r="G9" s="48" t="inlineStr">
        <is>
          <t>Full-time</t>
        </is>
      </c>
      <c r="H9" s="48" t="inlineStr">
        <is>
          <t>On-site</t>
        </is>
      </c>
      <c r="I9" s="49" t="n">
        <v>1.75</v>
      </c>
      <c r="J9" s="49" t="n">
        <v>3</v>
      </c>
      <c r="K9" s="48" t="inlineStr">
        <is>
          <t>Design Engineering, Drawing, Structural Design, Technical Reports</t>
        </is>
      </c>
      <c r="L9" s="56" t="n">
        <v>45973</v>
      </c>
    </row>
    <row r="10">
      <c r="A10" s="48" t="inlineStr">
        <is>
          <t>J0107</t>
        </is>
      </c>
      <c r="B10" s="48" t="inlineStr">
        <is>
          <t>Senior Cloud Engineer</t>
        </is>
      </c>
      <c r="C10" s="48" t="inlineStr">
        <is>
          <t>ZS</t>
        </is>
      </c>
      <c r="D10" s="48" t="inlineStr">
        <is>
          <t>Pune</t>
        </is>
      </c>
      <c r="E10" s="48" t="inlineStr">
        <is>
          <t>IT / Software</t>
        </is>
      </c>
      <c r="F10" s="48" t="inlineStr">
        <is>
          <t>Mid Level (3-6 yrs)</t>
        </is>
      </c>
      <c r="G10" s="48" t="inlineStr">
        <is>
          <t>Full-time</t>
        </is>
      </c>
      <c r="H10" s="48" t="inlineStr">
        <is>
          <t>On-site</t>
        </is>
      </c>
      <c r="I10" s="49" t="n">
        <v>18</v>
      </c>
      <c r="J10" s="49" t="n">
        <v>33</v>
      </c>
      <c r="K10" s="48" t="inlineStr">
        <is>
          <t>kubernetes, security compliance, microsoft azure, devops</t>
        </is>
      </c>
      <c r="L10" s="56" t="n">
        <v>45968</v>
      </c>
    </row>
    <row r="11">
      <c r="A11" s="48" t="inlineStr">
        <is>
          <t>J0160</t>
        </is>
      </c>
      <c r="B11" s="48" t="inlineStr">
        <is>
          <t>Customer Service Executive</t>
        </is>
      </c>
      <c r="C11" s="48" t="inlineStr">
        <is>
          <t>Bangalore Watch Company</t>
        </is>
      </c>
      <c r="D11" s="48" t="inlineStr">
        <is>
          <t>Bangalore</t>
        </is>
      </c>
      <c r="E11" s="48" t="inlineStr">
        <is>
          <t>Customer Service &amp; BPO</t>
        </is>
      </c>
      <c r="F11" s="48" t="inlineStr">
        <is>
          <t>Mid Level (3-6 yrs)</t>
        </is>
      </c>
      <c r="G11" s="48" t="inlineStr">
        <is>
          <t>Full-time</t>
        </is>
      </c>
      <c r="H11" s="48" t="inlineStr">
        <is>
          <t>On-site</t>
        </is>
      </c>
      <c r="I11" s="49" t="n">
        <v>3.6</v>
      </c>
      <c r="J11" s="49" t="n">
        <v>6</v>
      </c>
      <c r="K11" s="48" t="inlineStr">
        <is>
          <t>Customer Relationship, Customer Management, Customer Handling, Handling</t>
        </is>
      </c>
      <c r="L11" s="56" t="n">
        <v>45972</v>
      </c>
    </row>
    <row r="12">
      <c r="A12" s="48" t="inlineStr">
        <is>
          <t>J0339</t>
        </is>
      </c>
      <c r="B12" s="48" t="inlineStr">
        <is>
          <t>Interior Designer</t>
        </is>
      </c>
      <c r="C12" s="48" t="inlineStr">
        <is>
          <t>Reflections Designs</t>
        </is>
      </c>
      <c r="D12" s="48" t="inlineStr">
        <is>
          <t>Mumbai Suburban</t>
        </is>
      </c>
      <c r="E12" s="48" t="inlineStr">
        <is>
          <t>Other / General Business</t>
        </is>
      </c>
      <c r="F12" s="48" t="inlineStr">
        <is>
          <t>Entry Level (0-2 yrs)</t>
        </is>
      </c>
      <c r="G12" s="48" t="inlineStr">
        <is>
          <t>Full-time</t>
        </is>
      </c>
      <c r="H12" s="48" t="inlineStr">
        <is>
          <t>On-site</t>
        </is>
      </c>
      <c r="I12" s="49" t="n">
        <v>26.4</v>
      </c>
      <c r="J12" s="49" t="n">
        <v>64.8</v>
      </c>
      <c r="K12" s="48" t="n"/>
      <c r="L12" s="56" t="n">
        <v>45974</v>
      </c>
    </row>
    <row r="13">
      <c r="A13" s="48" t="inlineStr">
        <is>
          <t>J0161</t>
        </is>
      </c>
      <c r="B13" s="48" t="inlineStr">
        <is>
          <t>Corporate Sales Manager</t>
        </is>
      </c>
      <c r="C13" s="48" t="inlineStr">
        <is>
          <t>Next Vision Business Solution</t>
        </is>
      </c>
      <c r="D13" s="48" t="inlineStr">
        <is>
          <t>Hyderabad</t>
        </is>
      </c>
      <c r="E13" s="48" t="inlineStr">
        <is>
          <t>BFSI (Banking/Finance/Insurance)</t>
        </is>
      </c>
      <c r="F13" s="48" t="inlineStr">
        <is>
          <t>Entry Level (0-2 yrs)</t>
        </is>
      </c>
      <c r="G13" s="48" t="inlineStr">
        <is>
          <t>Full-time</t>
        </is>
      </c>
      <c r="H13" s="48" t="inlineStr">
        <is>
          <t>On-site</t>
        </is>
      </c>
      <c r="I13" s="49" t="n">
        <v>4</v>
      </c>
      <c r="J13" s="49" t="n">
        <v>4.75</v>
      </c>
      <c r="K13" s="48" t="inlineStr">
        <is>
          <t>Sales, Agency Channel, Life Insurance, Broking</t>
        </is>
      </c>
      <c r="L13" s="56" t="n">
        <v>45976</v>
      </c>
    </row>
    <row r="14">
      <c r="A14" s="48" t="inlineStr">
        <is>
          <t>J0245</t>
        </is>
      </c>
      <c r="B14" s="48" t="inlineStr">
        <is>
          <t>Education Counsellor</t>
        </is>
      </c>
      <c r="C14" s="48" t="inlineStr">
        <is>
          <t>PRO Hr Complete Solutions</t>
        </is>
      </c>
      <c r="D14" s="48" t="inlineStr">
        <is>
          <t>Kolkata</t>
        </is>
      </c>
      <c r="E14" s="48" t="inlineStr">
        <is>
          <t>Marketing &amp; Advertising</t>
        </is>
      </c>
      <c r="F14" s="48" t="inlineStr">
        <is>
          <t>Entry Level (0-2 yrs)</t>
        </is>
      </c>
      <c r="G14" s="48" t="inlineStr">
        <is>
          <t>Full-time</t>
        </is>
      </c>
      <c r="H14" s="48" t="inlineStr">
        <is>
          <t>On-site</t>
        </is>
      </c>
      <c r="I14" s="49" t="n">
        <v>1.75</v>
      </c>
      <c r="J14" s="49" t="n">
        <v>2.5</v>
      </c>
      <c r="K14" s="48" t="inlineStr">
        <is>
          <t>Admission Counselling, Educational Sales, Lead Generation, Telesales</t>
        </is>
      </c>
      <c r="L14" s="56" t="n">
        <v>45974</v>
      </c>
    </row>
    <row r="15">
      <c r="A15" s="48" t="inlineStr">
        <is>
          <t>J0048</t>
        </is>
      </c>
      <c r="B15" s="48" t="inlineStr">
        <is>
          <t>Senior Web / Full-Stack Developer</t>
        </is>
      </c>
      <c r="C15" s="48" t="inlineStr">
        <is>
          <t>Kiya.ai</t>
        </is>
      </c>
      <c r="D15" s="48" t="inlineStr">
        <is>
          <t>Chennai</t>
        </is>
      </c>
      <c r="E15" s="48" t="inlineStr">
        <is>
          <t>IT / Software</t>
        </is>
      </c>
      <c r="F15" s="48" t="inlineStr">
        <is>
          <t>Mid Level (3-6 yrs)</t>
        </is>
      </c>
      <c r="G15" s="48" t="inlineStr">
        <is>
          <t>Full-time</t>
        </is>
      </c>
      <c r="H15" s="48" t="inlineStr">
        <is>
          <t>Hybrid</t>
        </is>
      </c>
      <c r="I15" s="49" t="n">
        <v>15</v>
      </c>
      <c r="J15" s="49" t="n">
        <v>25</v>
      </c>
      <c r="K15" s="48" t="inlineStr">
        <is>
          <t>Frontend Development Skills, Full-Stack Integration, Performance tuning, CSS</t>
        </is>
      </c>
      <c r="L15" s="56" t="n">
        <v>45969</v>
      </c>
    </row>
    <row r="16">
      <c r="A16" s="48" t="inlineStr">
        <is>
          <t>J0003</t>
        </is>
      </c>
      <c r="B16" s="48" t="inlineStr">
        <is>
          <t>AI Automation Professional</t>
        </is>
      </c>
      <c r="C16" s="48" t="inlineStr">
        <is>
          <t>Cognizant</t>
        </is>
      </c>
      <c r="D16" s="48" t="inlineStr">
        <is>
          <t>Chennai</t>
        </is>
      </c>
      <c r="E16" s="48" t="inlineStr">
        <is>
          <t>Other / General Business</t>
        </is>
      </c>
      <c r="F16" s="48" t="inlineStr">
        <is>
          <t>Senior Level (7+ yrs)</t>
        </is>
      </c>
      <c r="G16" s="48" t="inlineStr">
        <is>
          <t>Full-time</t>
        </is>
      </c>
      <c r="H16" s="48" t="inlineStr">
        <is>
          <t>On-site</t>
        </is>
      </c>
      <c r="I16" s="49" t="n"/>
      <c r="J16" s="49" t="n"/>
      <c r="K16" s="48" t="inlineStr">
        <is>
          <t>AI Automation, AI Services, project execution, Automation Gen AI</t>
        </is>
      </c>
      <c r="L16" s="56" t="n">
        <v>45976</v>
      </c>
    </row>
    <row r="17">
      <c r="A17" s="48" t="inlineStr">
        <is>
          <t>J0247</t>
        </is>
      </c>
      <c r="B17" s="48" t="inlineStr">
        <is>
          <t>ASSOCIATE SOFTWARE ENGINEER</t>
        </is>
      </c>
      <c r="C17" s="48" t="inlineStr">
        <is>
          <t>Orcapod Consulting Services</t>
        </is>
      </c>
      <c r="D17" s="48" t="inlineStr">
        <is>
          <t>Pune</t>
        </is>
      </c>
      <c r="E17" s="48" t="inlineStr">
        <is>
          <t>IT / Software</t>
        </is>
      </c>
      <c r="F17" s="48" t="inlineStr">
        <is>
          <t>Mid Level (3-6 yrs)</t>
        </is>
      </c>
      <c r="G17" s="48" t="inlineStr">
        <is>
          <t>Full-time</t>
        </is>
      </c>
      <c r="H17" s="48" t="inlineStr">
        <is>
          <t>On-site</t>
        </is>
      </c>
      <c r="I17" s="49" t="n">
        <v>4</v>
      </c>
      <c r="J17" s="49" t="n">
        <v>9</v>
      </c>
      <c r="K17" s="48" t="inlineStr">
        <is>
          <t>MVVM, WPF, Desktop Application, c#</t>
        </is>
      </c>
      <c r="L17" s="56" t="n">
        <v>45976</v>
      </c>
    </row>
    <row r="18">
      <c r="A18" s="48" t="inlineStr">
        <is>
          <t>J0019</t>
        </is>
      </c>
      <c r="B18" s="48" t="inlineStr">
        <is>
          <t>Node Js Developer</t>
        </is>
      </c>
      <c r="C18" s="48" t="inlineStr">
        <is>
          <t>V2soft</t>
        </is>
      </c>
      <c r="D18" s="48" t="inlineStr">
        <is>
          <t>Bengaluru</t>
        </is>
      </c>
      <c r="E18" s="48" t="inlineStr">
        <is>
          <t>IT / Software</t>
        </is>
      </c>
      <c r="F18" s="48" t="inlineStr">
        <is>
          <t>Mid Level (3-6 yrs)</t>
        </is>
      </c>
      <c r="G18" s="48" t="inlineStr">
        <is>
          <t>Full-time</t>
        </is>
      </c>
      <c r="H18" s="48" t="inlineStr">
        <is>
          <t>On-site</t>
        </is>
      </c>
      <c r="I18" s="49" t="n">
        <v>8</v>
      </c>
      <c r="J18" s="49" t="n">
        <v>18</v>
      </c>
      <c r="K18" s="48" t="inlineStr">
        <is>
          <t>Node.Js, Microservices, NoSQL, Docker</t>
        </is>
      </c>
      <c r="L18" s="56" t="n">
        <v>45972</v>
      </c>
    </row>
    <row r="19">
      <c r="A19" s="48" t="inlineStr">
        <is>
          <t>J0167</t>
        </is>
      </c>
      <c r="B19" s="48" t="inlineStr">
        <is>
          <t>Uregently Required - Sales Executive</t>
        </is>
      </c>
      <c r="C19" s="48" t="inlineStr">
        <is>
          <t>Tekpillar</t>
        </is>
      </c>
      <c r="D19" s="48" t="inlineStr">
        <is>
          <t>Jamnagar</t>
        </is>
      </c>
      <c r="E19" s="48" t="inlineStr">
        <is>
          <t>IT / Software</t>
        </is>
      </c>
      <c r="F19" s="48" t="inlineStr">
        <is>
          <t>Entry Level (0-2 yrs)</t>
        </is>
      </c>
      <c r="G19" s="48" t="inlineStr">
        <is>
          <t>Full-time</t>
        </is>
      </c>
      <c r="H19" s="48" t="inlineStr">
        <is>
          <t>On-site</t>
        </is>
      </c>
      <c r="I19" s="49" t="n">
        <v>3.5</v>
      </c>
      <c r="J19" s="49" t="n">
        <v>4</v>
      </c>
      <c r="K19" s="48" t="inlineStr">
        <is>
          <t>Sales, Field Sales, Banking And Insurance, B2C Sales</t>
        </is>
      </c>
      <c r="L19" s="56" t="n">
        <v>45976</v>
      </c>
    </row>
    <row r="20">
      <c r="A20" s="48" t="inlineStr">
        <is>
          <t>J0081</t>
        </is>
      </c>
      <c r="B20" s="48" t="inlineStr">
        <is>
          <t>Customer Care Executive</t>
        </is>
      </c>
      <c r="C20" s="48" t="inlineStr">
        <is>
          <t>Talent Corner Hr Services</t>
        </is>
      </c>
      <c r="D20" s="48" t="inlineStr">
        <is>
          <t>Ahmedabad</t>
        </is>
      </c>
      <c r="E20" s="48" t="inlineStr">
        <is>
          <t>Other / General Business</t>
        </is>
      </c>
      <c r="F20" s="48" t="inlineStr">
        <is>
          <t>Entry Level (0-2 yrs)</t>
        </is>
      </c>
      <c r="G20" s="48" t="inlineStr">
        <is>
          <t>Full-time</t>
        </is>
      </c>
      <c r="H20" s="48" t="inlineStr">
        <is>
          <t>On-site</t>
        </is>
      </c>
      <c r="I20" s="49" t="n">
        <v>1.5</v>
      </c>
      <c r="J20" s="49" t="n">
        <v>2.5</v>
      </c>
      <c r="K20" s="48" t="inlineStr">
        <is>
          <t>Handling Customer Queries, Complaint Handling, Complaint Management, Customer Complaints</t>
        </is>
      </c>
      <c r="L20" s="56" t="n">
        <v>45973</v>
      </c>
    </row>
    <row r="21">
      <c r="A21" s="48" t="inlineStr">
        <is>
          <t>J0234</t>
        </is>
      </c>
      <c r="B21" s="48" t="inlineStr">
        <is>
          <t>Desktop/ Network Engineer (POS application) (Meerut- Agra)</t>
        </is>
      </c>
      <c r="C21" s="48" t="inlineStr">
        <is>
          <t>Team Computers</t>
        </is>
      </c>
      <c r="D21" s="48" t="inlineStr">
        <is>
          <t>Meerut</t>
        </is>
      </c>
      <c r="E21" s="48" t="inlineStr">
        <is>
          <t>IT / Software</t>
        </is>
      </c>
      <c r="F21" s="48" t="inlineStr">
        <is>
          <t>Mid Level (3-6 yrs)</t>
        </is>
      </c>
      <c r="G21" s="48" t="inlineStr">
        <is>
          <t>Full-time</t>
        </is>
      </c>
      <c r="H21" s="48" t="inlineStr">
        <is>
          <t>On-site</t>
        </is>
      </c>
      <c r="I21" s="49" t="n">
        <v>0.5</v>
      </c>
      <c r="J21" s="49" t="n">
        <v>2.75</v>
      </c>
      <c r="K21" s="48" t="inlineStr">
        <is>
          <t>Desktop Support, Network Support, OS Installation, Outlook Configuration</t>
        </is>
      </c>
      <c r="L21" s="56" t="n">
        <v>45966</v>
      </c>
    </row>
    <row r="22">
      <c r="A22" s="48" t="inlineStr">
        <is>
          <t>J0096</t>
        </is>
      </c>
      <c r="B22" s="48" t="inlineStr">
        <is>
          <t>Technical/ Service Desk Engineer - chennai</t>
        </is>
      </c>
      <c r="C22" s="48" t="inlineStr">
        <is>
          <t>Nsquare It Solutions</t>
        </is>
      </c>
      <c r="D22" s="48" t="inlineStr">
        <is>
          <t>Chennai</t>
        </is>
      </c>
      <c r="E22" s="48" t="inlineStr">
        <is>
          <t>IT / Software</t>
        </is>
      </c>
      <c r="F22" s="48" t="inlineStr">
        <is>
          <t>Entry Level (0-2 yrs)</t>
        </is>
      </c>
      <c r="G22" s="48" t="inlineStr">
        <is>
          <t>Full-time</t>
        </is>
      </c>
      <c r="H22" s="48" t="inlineStr">
        <is>
          <t>On-site</t>
        </is>
      </c>
      <c r="I22" s="49" t="n">
        <v>1.5</v>
      </c>
      <c r="J22" s="49" t="n">
        <v>4</v>
      </c>
      <c r="K22" s="48" t="inlineStr">
        <is>
          <t>Desktop Administration, System Administration, fresher, Desktop Support</t>
        </is>
      </c>
      <c r="L22" s="56" t="n">
        <v>45968</v>
      </c>
    </row>
    <row r="23">
      <c r="A23" s="48" t="inlineStr">
        <is>
          <t>J0098</t>
        </is>
      </c>
      <c r="B23" s="48" t="inlineStr">
        <is>
          <t>Solution Architect</t>
        </is>
      </c>
      <c r="C23" s="48" t="inlineStr">
        <is>
          <t>Nitor</t>
        </is>
      </c>
      <c r="D23" s="48" t="inlineStr">
        <is>
          <t>Pune</t>
        </is>
      </c>
      <c r="E23" s="48" t="inlineStr">
        <is>
          <t>IT / Software</t>
        </is>
      </c>
      <c r="F23" s="48" t="inlineStr">
        <is>
          <t>Senior Level (7+ yrs)</t>
        </is>
      </c>
      <c r="G23" s="48" t="inlineStr">
        <is>
          <t>Full-time</t>
        </is>
      </c>
      <c r="H23" s="48" t="inlineStr">
        <is>
          <t>Hybrid</t>
        </is>
      </c>
      <c r="I23" s="49" t="n">
        <v>18</v>
      </c>
      <c r="J23" s="49" t="n">
        <v>33</v>
      </c>
      <c r="K23" s="48" t="inlineStr">
        <is>
          <t>Solution Architecting, Java, Microservices, Architecting</t>
        </is>
      </c>
      <c r="L23" s="56" t="n">
        <v>45973</v>
      </c>
    </row>
    <row r="24">
      <c r="A24" s="48" t="inlineStr">
        <is>
          <t>J0299</t>
        </is>
      </c>
      <c r="B24" s="48" t="inlineStr">
        <is>
          <t>HR compliance</t>
        </is>
      </c>
      <c r="C24" s="48" t="inlineStr">
        <is>
          <t>Executives Corridor</t>
        </is>
      </c>
      <c r="D24" s="48" t="inlineStr">
        <is>
          <t>Mumbai</t>
        </is>
      </c>
      <c r="E24" s="48" t="inlineStr">
        <is>
          <t>Education &amp; Training</t>
        </is>
      </c>
      <c r="F24" s="48" t="inlineStr">
        <is>
          <t>Mid Level (3-6 yrs)</t>
        </is>
      </c>
      <c r="G24" s="48" t="inlineStr">
        <is>
          <t>Full-time</t>
        </is>
      </c>
      <c r="H24" s="48" t="inlineStr">
        <is>
          <t>On-site</t>
        </is>
      </c>
      <c r="I24" s="49" t="n"/>
      <c r="J24" s="49" t="n"/>
      <c r="K24" s="48" t="inlineStr">
        <is>
          <t>Payroll, statutory compliance, challan, Uan</t>
        </is>
      </c>
      <c r="L24" s="56" t="n">
        <v>45966</v>
      </c>
    </row>
    <row r="25">
      <c r="A25" s="48" t="inlineStr">
        <is>
          <t>J0233</t>
        </is>
      </c>
      <c r="B25" s="48" t="inlineStr">
        <is>
          <t>URGENT HIRING MUSIC TEACHER (ANDHRA PRADESH)</t>
        </is>
      </c>
      <c r="C25" s="48" t="inlineStr">
        <is>
          <t>Mdn Edify Education</t>
        </is>
      </c>
      <c r="D25" s="48" t="inlineStr">
        <is>
          <t>Anantapur</t>
        </is>
      </c>
      <c r="E25" s="48" t="inlineStr">
        <is>
          <t>Education &amp; Training</t>
        </is>
      </c>
      <c r="F25" s="48" t="inlineStr">
        <is>
          <t>Entry Level (0-2 yrs)</t>
        </is>
      </c>
      <c r="G25" s="48" t="inlineStr">
        <is>
          <t>Full-time</t>
        </is>
      </c>
      <c r="H25" s="48" t="inlineStr">
        <is>
          <t>On-site</t>
        </is>
      </c>
      <c r="I25" s="49" t="n">
        <v>1.75</v>
      </c>
      <c r="J25" s="49" t="n">
        <v>3.25</v>
      </c>
      <c r="K25" s="48" t="inlineStr">
        <is>
          <t>Singing, Music, Classical, Composing</t>
        </is>
      </c>
      <c r="L25" s="56" t="n">
        <v>45972</v>
      </c>
    </row>
    <row r="26">
      <c r="A26" s="48" t="inlineStr">
        <is>
          <t>J0089</t>
        </is>
      </c>
      <c r="B26" s="48" t="inlineStr">
        <is>
          <t>Sales Manager - Indiamart || Gujarat</t>
        </is>
      </c>
      <c r="C26" s="48" t="inlineStr">
        <is>
          <t>IndiaMART</t>
        </is>
      </c>
      <c r="D26" s="48" t="inlineStr">
        <is>
          <t>Rajkot</t>
        </is>
      </c>
      <c r="E26" s="48" t="inlineStr">
        <is>
          <t>Sales &amp; Business Development</t>
        </is>
      </c>
      <c r="F26" s="48" t="inlineStr">
        <is>
          <t>Mid Level (3-6 yrs)</t>
        </is>
      </c>
      <c r="G26" s="48" t="inlineStr">
        <is>
          <t>Full-time</t>
        </is>
      </c>
      <c r="H26" s="48" t="inlineStr">
        <is>
          <t>On-site</t>
        </is>
      </c>
      <c r="I26" s="49" t="n"/>
      <c r="J26" s="49" t="n"/>
      <c r="K26" s="48" t="inlineStr">
        <is>
          <t>Sales, Team Handling, Territory Sales, New Client Acquisition</t>
        </is>
      </c>
      <c r="L26" s="56" t="n">
        <v>45969</v>
      </c>
    </row>
    <row r="27">
      <c r="A27" s="48" t="inlineStr">
        <is>
          <t>J0432</t>
        </is>
      </c>
      <c r="B27" s="48" t="inlineStr">
        <is>
          <t>Business Development Executive</t>
        </is>
      </c>
      <c r="C27" s="48" t="inlineStr">
        <is>
          <t>Wenger &amp; Watson</t>
        </is>
      </c>
      <c r="D27" s="48" t="inlineStr">
        <is>
          <t>Pune</t>
        </is>
      </c>
      <c r="E27" s="48" t="inlineStr">
        <is>
          <t>HR &amp; Staffing</t>
        </is>
      </c>
      <c r="F27" s="48" t="inlineStr">
        <is>
          <t>Entry Level (0-2 yrs)</t>
        </is>
      </c>
      <c r="G27" s="48" t="inlineStr">
        <is>
          <t>Full-time</t>
        </is>
      </c>
      <c r="H27" s="48" t="inlineStr">
        <is>
          <t>On-site</t>
        </is>
      </c>
      <c r="I27" s="49" t="n">
        <v>1.25</v>
      </c>
      <c r="J27" s="49" t="n">
        <v>3</v>
      </c>
      <c r="K27" s="48" t="inlineStr">
        <is>
          <t>Lead Generation, Business Development, B2B, New Client Acquisition</t>
        </is>
      </c>
      <c r="L27" s="56" t="n">
        <v>45968</v>
      </c>
    </row>
    <row r="28">
      <c r="A28" s="48" t="inlineStr">
        <is>
          <t>J0229</t>
        </is>
      </c>
      <c r="B28" s="48" t="inlineStr">
        <is>
          <t>Digital Marketing Executive</t>
        </is>
      </c>
      <c r="C28" s="48" t="inlineStr">
        <is>
          <t>Verve Global Services</t>
        </is>
      </c>
      <c r="D28" s="48" t="inlineStr">
        <is>
          <t>Pune</t>
        </is>
      </c>
      <c r="E28" s="48" t="inlineStr">
        <is>
          <t>Marketing &amp; Advertising</t>
        </is>
      </c>
      <c r="F28" s="48" t="inlineStr">
        <is>
          <t>Entry Level (0-2 yrs)</t>
        </is>
      </c>
      <c r="G28" s="48" t="inlineStr">
        <is>
          <t>Full-time</t>
        </is>
      </c>
      <c r="H28" s="48" t="inlineStr">
        <is>
          <t>On-site</t>
        </is>
      </c>
      <c r="I28" s="49" t="n">
        <v>2.4</v>
      </c>
      <c r="J28" s="49" t="n">
        <v>3</v>
      </c>
      <c r="K28" s="48" t="inlineStr">
        <is>
          <t>Content Marketing, Social Media Marketing, SEO, Marketing</t>
        </is>
      </c>
      <c r="L28" s="56" t="n">
        <v>45973</v>
      </c>
    </row>
    <row r="29">
      <c r="A29" s="48" t="inlineStr">
        <is>
          <t>J0403</t>
        </is>
      </c>
      <c r="B29" s="48" t="inlineStr">
        <is>
          <t>Zonal Head Sales</t>
        </is>
      </c>
      <c r="C29" s="48" t="inlineStr">
        <is>
          <t>Workex</t>
        </is>
      </c>
      <c r="D29" s="48" t="inlineStr">
        <is>
          <t>Ahmedabad</t>
        </is>
      </c>
      <c r="E29" s="48" t="inlineStr">
        <is>
          <t>Sales &amp; Business Development</t>
        </is>
      </c>
      <c r="F29" s="48" t="inlineStr">
        <is>
          <t>Mid Level (3-6 yrs)</t>
        </is>
      </c>
      <c r="G29" s="48" t="inlineStr">
        <is>
          <t>Full-time</t>
        </is>
      </c>
      <c r="H29" s="48" t="inlineStr">
        <is>
          <t>On-site</t>
        </is>
      </c>
      <c r="I29" s="49" t="n">
        <v>5</v>
      </c>
      <c r="J29" s="49" t="n">
        <v>10</v>
      </c>
      <c r="K29" s="48" t="inlineStr">
        <is>
          <t>Dealer Sales, Distributor Sales, Channel Sales, HVAC</t>
        </is>
      </c>
      <c r="L29" s="56" t="n">
        <v>45967</v>
      </c>
    </row>
    <row r="30">
      <c r="A30" s="48" t="inlineStr">
        <is>
          <t>J0387</t>
        </is>
      </c>
      <c r="B30" s="48" t="inlineStr">
        <is>
          <t>Quality &amp; MR -CNC &amp; VMC Production line , Pune Chakan</t>
        </is>
      </c>
      <c r="C30" s="48" t="inlineStr">
        <is>
          <t>HR Innovation Group</t>
        </is>
      </c>
      <c r="D30" s="48" t="inlineStr">
        <is>
          <t>Pune</t>
        </is>
      </c>
      <c r="E30" s="48" t="inlineStr">
        <is>
          <t>Manufacturing &amp; Engineering</t>
        </is>
      </c>
      <c r="F30" s="48" t="inlineStr">
        <is>
          <t>Senior Level (7+ yrs)</t>
        </is>
      </c>
      <c r="G30" s="48" t="inlineStr">
        <is>
          <t>Full-time</t>
        </is>
      </c>
      <c r="H30" s="48" t="inlineStr">
        <is>
          <t>On-site</t>
        </is>
      </c>
      <c r="I30" s="49" t="n">
        <v>5</v>
      </c>
      <c r="J30" s="49" t="n">
        <v>6</v>
      </c>
      <c r="K30" s="48" t="inlineStr">
        <is>
          <t>ISO, IATF, QMS, Quality System Management</t>
        </is>
      </c>
      <c r="L30" s="56" t="n">
        <v>45973</v>
      </c>
    </row>
    <row r="31">
      <c r="A31" s="48" t="inlineStr">
        <is>
          <t>J0221</t>
        </is>
      </c>
      <c r="B31" s="48" t="inlineStr">
        <is>
          <t>Operations Executive</t>
        </is>
      </c>
      <c r="C31" s="48" t="inlineStr">
        <is>
          <t>Indian Institute of Emergency Medical Services(IIEMS)</t>
        </is>
      </c>
      <c r="D31" s="48" t="inlineStr">
        <is>
          <t>Kottayam</t>
        </is>
      </c>
      <c r="E31" s="48" t="inlineStr">
        <is>
          <t>Customer Service &amp; BPO</t>
        </is>
      </c>
      <c r="F31" s="48" t="inlineStr">
        <is>
          <t>Entry Level (0-2 yrs)</t>
        </is>
      </c>
      <c r="G31" s="48" t="inlineStr">
        <is>
          <t>Full-time</t>
        </is>
      </c>
      <c r="H31" s="48" t="inlineStr">
        <is>
          <t>On-site</t>
        </is>
      </c>
      <c r="I31" s="49" t="n"/>
      <c r="J31" s="49" t="n"/>
      <c r="K31" s="48" t="inlineStr">
        <is>
          <t>back office, back office operations, customer service, pivot table</t>
        </is>
      </c>
      <c r="L31" s="56" t="n">
        <v>45968</v>
      </c>
    </row>
    <row r="32">
      <c r="A32" s="48" t="inlineStr">
        <is>
          <t>J0395</t>
        </is>
      </c>
      <c r="B32" s="48" t="inlineStr">
        <is>
          <t>Civil Site Engineer</t>
        </is>
      </c>
      <c r="C32" s="48" t="inlineStr">
        <is>
          <t>Workart Hr Solutions</t>
        </is>
      </c>
      <c r="D32" s="48" t="inlineStr">
        <is>
          <t>Palitana</t>
        </is>
      </c>
      <c r="E32" s="48" t="inlineStr">
        <is>
          <t>Manufacturing &amp; Engineering</t>
        </is>
      </c>
      <c r="F32" s="48" t="inlineStr">
        <is>
          <t>Mid Level (3-6 yrs)</t>
        </is>
      </c>
      <c r="G32" s="48" t="inlineStr">
        <is>
          <t>Full-time</t>
        </is>
      </c>
      <c r="H32" s="48" t="inlineStr">
        <is>
          <t>On-site</t>
        </is>
      </c>
      <c r="I32" s="49" t="n">
        <v>3</v>
      </c>
      <c r="J32" s="49" t="n">
        <v>7</v>
      </c>
      <c r="K32" s="48" t="inlineStr">
        <is>
          <t>Site Engineering, Site Planning, Site Management, Site Supervision</t>
        </is>
      </c>
      <c r="L32" s="56" t="n">
        <v>45969</v>
      </c>
    </row>
    <row r="33">
      <c r="A33" s="48" t="inlineStr">
        <is>
          <t>J0100</t>
        </is>
      </c>
      <c r="B33" s="48" t="inlineStr">
        <is>
          <t>Urgent Hiring - Relationship Manager</t>
        </is>
      </c>
      <c r="C33" s="48" t="inlineStr">
        <is>
          <t>Supro Consulting</t>
        </is>
      </c>
      <c r="D33" s="48" t="inlineStr">
        <is>
          <t>Haldwani</t>
        </is>
      </c>
      <c r="E33" s="48" t="inlineStr">
        <is>
          <t>IT / Software</t>
        </is>
      </c>
      <c r="F33" s="48" t="inlineStr">
        <is>
          <t>Entry Level (0-2 yrs)</t>
        </is>
      </c>
      <c r="G33" s="48" t="inlineStr">
        <is>
          <t>Full-time</t>
        </is>
      </c>
      <c r="H33" s="48" t="inlineStr">
        <is>
          <t>On-site</t>
        </is>
      </c>
      <c r="I33" s="49" t="n">
        <v>3</v>
      </c>
      <c r="J33" s="49" t="n">
        <v>3.75</v>
      </c>
      <c r="K33" s="48" t="inlineStr">
        <is>
          <t>Sales, Team Handling, Credit Card Sales, Telesales</t>
        </is>
      </c>
      <c r="L33" s="56" t="n">
        <v>45970</v>
      </c>
    </row>
    <row r="34">
      <c r="A34" s="48" t="inlineStr">
        <is>
          <t>J0365</t>
        </is>
      </c>
      <c r="B34" s="48" t="inlineStr">
        <is>
          <t>Accounts Officer</t>
        </is>
      </c>
      <c r="C34" s="48" t="inlineStr">
        <is>
          <t>DMart</t>
        </is>
      </c>
      <c r="D34" s="48" t="inlineStr">
        <is>
          <t>Rajpura</t>
        </is>
      </c>
      <c r="E34" s="48" t="inlineStr">
        <is>
          <t>BFSI (Banking/Finance/Insurance)</t>
        </is>
      </c>
      <c r="F34" s="48" t="inlineStr">
        <is>
          <t>Mid Level (3-6 yrs)</t>
        </is>
      </c>
      <c r="G34" s="48" t="inlineStr">
        <is>
          <t>Full-time</t>
        </is>
      </c>
      <c r="H34" s="48" t="inlineStr">
        <is>
          <t>On-site</t>
        </is>
      </c>
      <c r="I34" s="49" t="n">
        <v>3</v>
      </c>
      <c r="J34" s="49" t="n">
        <v>4.75</v>
      </c>
      <c r="K34" s="48" t="inlineStr">
        <is>
          <t>MIS, Daily Expense, Bank Reconciliation, Accounting</t>
        </is>
      </c>
      <c r="L34" s="56" t="n">
        <v>45976</v>
      </c>
    </row>
    <row r="35">
      <c r="A35" s="48" t="inlineStr">
        <is>
          <t>J0423</t>
        </is>
      </c>
      <c r="B35" s="48" t="inlineStr">
        <is>
          <t>Technical/ Service Desk Engineer - chennai</t>
        </is>
      </c>
      <c r="C35" s="48" t="inlineStr">
        <is>
          <t>Nsquare It Solutions</t>
        </is>
      </c>
      <c r="D35" s="48" t="inlineStr">
        <is>
          <t>Chennai</t>
        </is>
      </c>
      <c r="E35" s="48" t="inlineStr">
        <is>
          <t>IT / Software</t>
        </is>
      </c>
      <c r="F35" s="48" t="inlineStr">
        <is>
          <t>Entry Level (0-2 yrs)</t>
        </is>
      </c>
      <c r="G35" s="48" t="inlineStr">
        <is>
          <t>Full-time</t>
        </is>
      </c>
      <c r="H35" s="48" t="inlineStr">
        <is>
          <t>On-site</t>
        </is>
      </c>
      <c r="I35" s="49" t="n">
        <v>1.5</v>
      </c>
      <c r="J35" s="49" t="n">
        <v>4</v>
      </c>
      <c r="K35" s="48" t="inlineStr">
        <is>
          <t>Desktop Administration, System Administration, fresher, Desktop Support</t>
        </is>
      </c>
      <c r="L35" s="56" t="n">
        <v>45968</v>
      </c>
    </row>
    <row r="36">
      <c r="A36" s="48" t="inlineStr">
        <is>
          <t>J0340</t>
        </is>
      </c>
      <c r="B36" s="48" t="inlineStr">
        <is>
          <t>Placement Coordinator</t>
        </is>
      </c>
      <c r="C36" s="48" t="inlineStr">
        <is>
          <t>The World Of Automation</t>
        </is>
      </c>
      <c r="D36" s="48" t="inlineStr">
        <is>
          <t>Pune</t>
        </is>
      </c>
      <c r="E36" s="48" t="inlineStr">
        <is>
          <t>Sales &amp; Business Development</t>
        </is>
      </c>
      <c r="F36" s="48" t="inlineStr">
        <is>
          <t>Entry Level (0-2 yrs)</t>
        </is>
      </c>
      <c r="G36" s="48" t="inlineStr">
        <is>
          <t>Full-time</t>
        </is>
      </c>
      <c r="H36" s="48" t="inlineStr">
        <is>
          <t>On-site</t>
        </is>
      </c>
      <c r="I36" s="49" t="n">
        <v>1.8</v>
      </c>
      <c r="J36" s="49" t="n">
        <v>3.6</v>
      </c>
      <c r="K36" s="48" t="inlineStr">
        <is>
          <t>Placement Coordination, Business Tie Ups, Corporate Relations, Skill Development</t>
        </is>
      </c>
      <c r="L36" s="56" t="n">
        <v>45970</v>
      </c>
    </row>
    <row r="37">
      <c r="A37" s="48" t="inlineStr">
        <is>
          <t>J0195</t>
        </is>
      </c>
      <c r="B37" s="48" t="inlineStr">
        <is>
          <t>Logistics In charge - Fly Ash</t>
        </is>
      </c>
      <c r="C37" s="48" t="inlineStr">
        <is>
          <t>Refex Industries</t>
        </is>
      </c>
      <c r="D37" s="48" t="inlineStr">
        <is>
          <t>Ramagundam</t>
        </is>
      </c>
      <c r="E37" s="48" t="inlineStr">
        <is>
          <t>Logistics &amp; Supply Chain</t>
        </is>
      </c>
      <c r="F37" s="48" t="inlineStr">
        <is>
          <t>Mid Level (3-6 yrs)</t>
        </is>
      </c>
      <c r="G37" s="48" t="inlineStr">
        <is>
          <t>Full-time</t>
        </is>
      </c>
      <c r="H37" s="48" t="inlineStr">
        <is>
          <t>On-site</t>
        </is>
      </c>
      <c r="I37" s="49" t="n">
        <v>4</v>
      </c>
      <c r="J37" s="49" t="n">
        <v>7</v>
      </c>
      <c r="K37" s="48" t="inlineStr">
        <is>
          <t>Fleet Management, Logistics Operations, Logistics, Management</t>
        </is>
      </c>
      <c r="L37" s="56" t="n">
        <v>45973</v>
      </c>
    </row>
    <row r="38">
      <c r="A38" s="48" t="inlineStr">
        <is>
          <t>J0376</t>
        </is>
      </c>
      <c r="B38" s="48" t="inlineStr">
        <is>
          <t>WFH, French Voice process, sal up To 5.4 lpa</t>
        </is>
      </c>
      <c r="C38" s="48" t="inlineStr">
        <is>
          <t>Creative Hands HR</t>
        </is>
      </c>
      <c r="D38" s="48" t="inlineStr">
        <is>
          <t>Remote</t>
        </is>
      </c>
      <c r="E38" s="48" t="inlineStr">
        <is>
          <t>Customer Service &amp; BPO</t>
        </is>
      </c>
      <c r="F38" s="48" t="inlineStr">
        <is>
          <t>Entry Level (0-2 yrs)</t>
        </is>
      </c>
      <c r="G38" s="48" t="inlineStr">
        <is>
          <t>Full-time</t>
        </is>
      </c>
      <c r="H38" s="48" t="inlineStr">
        <is>
          <t>Remote</t>
        </is>
      </c>
      <c r="I38" s="49" t="n">
        <v>3.5</v>
      </c>
      <c r="J38" s="49" t="n">
        <v>5.5</v>
      </c>
      <c r="K38" s="48" t="inlineStr">
        <is>
          <t>Marathi, Assamese, Bengali, voice process</t>
        </is>
      </c>
      <c r="L38" s="56" t="n">
        <v>45968</v>
      </c>
    </row>
    <row r="39">
      <c r="A39" s="48" t="inlineStr">
        <is>
          <t>J0346</t>
        </is>
      </c>
      <c r="B39" s="48" t="inlineStr">
        <is>
          <t>SQL Developer</t>
        </is>
      </c>
      <c r="C39" s="48" t="inlineStr">
        <is>
          <t>F&amp;F Consulting Services</t>
        </is>
      </c>
      <c r="D39" s="48" t="inlineStr">
        <is>
          <t>Panchkula</t>
        </is>
      </c>
      <c r="E39" s="48" t="inlineStr">
        <is>
          <t>IT / Software</t>
        </is>
      </c>
      <c r="F39" s="48" t="inlineStr">
        <is>
          <t>Mid Level (3-6 yrs)</t>
        </is>
      </c>
      <c r="G39" s="48" t="inlineStr">
        <is>
          <t>Full-time</t>
        </is>
      </c>
      <c r="H39" s="48" t="inlineStr">
        <is>
          <t>On-site</t>
        </is>
      </c>
      <c r="I39" s="49" t="n">
        <v>6</v>
      </c>
      <c r="J39" s="49" t="n">
        <v>7</v>
      </c>
      <c r="K39" s="48" t="inlineStr">
        <is>
          <t>SQL Development, optimizing database, complex SQL queries, SQL queries</t>
        </is>
      </c>
      <c r="L39" s="56" t="n">
        <v>45967</v>
      </c>
    </row>
    <row r="40">
      <c r="A40" s="48" t="inlineStr">
        <is>
          <t>J0128</t>
        </is>
      </c>
      <c r="B40" s="48" t="inlineStr">
        <is>
          <t xml:space="preserve">  SR FrontEnd Developer (Angular)  </t>
        </is>
      </c>
      <c r="C40" s="48" t="inlineStr">
        <is>
          <t>Seven N Consulting</t>
        </is>
      </c>
      <c r="D40" s="48" t="inlineStr">
        <is>
          <t>Pune</t>
        </is>
      </c>
      <c r="E40" s="48" t="inlineStr">
        <is>
          <t>IT / Software</t>
        </is>
      </c>
      <c r="F40" s="48" t="inlineStr">
        <is>
          <t>Mid Level (3-6 yrs)</t>
        </is>
      </c>
      <c r="G40" s="48" t="inlineStr">
        <is>
          <t>Full-time</t>
        </is>
      </c>
      <c r="H40" s="48" t="inlineStr">
        <is>
          <t>On-site</t>
        </is>
      </c>
      <c r="I40" s="49" t="n"/>
      <c r="J40" s="49" t="n"/>
      <c r="K40" s="48" t="inlineStr">
        <is>
          <t>IT services, CSS, Web technologies, Front end</t>
        </is>
      </c>
      <c r="L40" s="56" t="n">
        <v>45973</v>
      </c>
    </row>
    <row r="41">
      <c r="A41" s="48" t="inlineStr">
        <is>
          <t>J0016</t>
        </is>
      </c>
      <c r="B41" s="48" t="inlineStr">
        <is>
          <t>Relationship Manager-AGRI-FIN-TRACTOR LOANS AND RETAIL(TFE)</t>
        </is>
      </c>
      <c r="C41" s="48" t="inlineStr">
        <is>
          <t>Kotak Mahindra Bank</t>
        </is>
      </c>
      <c r="D41" s="48" t="inlineStr">
        <is>
          <t>Udaipur</t>
        </is>
      </c>
      <c r="E41" s="48" t="inlineStr">
        <is>
          <t>BFSI (Banking/Finance/Insurance)</t>
        </is>
      </c>
      <c r="F41" s="48" t="inlineStr">
        <is>
          <t>Entry Level (0-2 yrs)</t>
        </is>
      </c>
      <c r="G41" s="48" t="inlineStr">
        <is>
          <t>Full-time</t>
        </is>
      </c>
      <c r="H41" s="48" t="inlineStr">
        <is>
          <t>On-site</t>
        </is>
      </c>
      <c r="I41" s="49" t="n"/>
      <c r="J41" s="49" t="n"/>
      <c r="K41" s="48" t="inlineStr">
        <is>
          <t>Service delivery, Loans, Interpersonal skills, Ticketing</t>
        </is>
      </c>
      <c r="L41" s="56" t="n">
        <v>45969</v>
      </c>
    </row>
    <row r="42">
      <c r="A42" s="48" t="inlineStr">
        <is>
          <t>J0140</t>
        </is>
      </c>
      <c r="B42" s="48" t="inlineStr">
        <is>
          <t>Production Chemist</t>
        </is>
      </c>
      <c r="C42" s="48" t="inlineStr">
        <is>
          <t>Sun Chem</t>
        </is>
      </c>
      <c r="D42" s="48" t="inlineStr">
        <is>
          <t>Palghar</t>
        </is>
      </c>
      <c r="E42" s="48" t="inlineStr">
        <is>
          <t>Manufacturing &amp; Engineering</t>
        </is>
      </c>
      <c r="F42" s="48" t="inlineStr">
        <is>
          <t>Entry Level (0-2 yrs)</t>
        </is>
      </c>
      <c r="G42" s="48" t="inlineStr">
        <is>
          <t>Full-time</t>
        </is>
      </c>
      <c r="H42" s="48" t="inlineStr">
        <is>
          <t>On-site</t>
        </is>
      </c>
      <c r="I42" s="49" t="n">
        <v>0.5</v>
      </c>
      <c r="J42" s="49" t="n">
        <v>3</v>
      </c>
      <c r="K42" s="48" t="inlineStr">
        <is>
          <t>Chemistry, Production, GMP, production chemist</t>
        </is>
      </c>
      <c r="L42" s="56" t="n">
        <v>45969</v>
      </c>
    </row>
    <row r="43">
      <c r="A43" s="48" t="inlineStr">
        <is>
          <t>J0378</t>
        </is>
      </c>
      <c r="B43" s="48" t="inlineStr">
        <is>
          <t>Looking For B.Tech Graduate Candidates.</t>
        </is>
      </c>
      <c r="C43" s="48" t="inlineStr">
        <is>
          <t>Krezig Consultants</t>
        </is>
      </c>
      <c r="D43" s="48" t="inlineStr">
        <is>
          <t>Noida</t>
        </is>
      </c>
      <c r="E43" s="48" t="inlineStr">
        <is>
          <t>IT / Software</t>
        </is>
      </c>
      <c r="F43" s="48" t="inlineStr">
        <is>
          <t>Entry Level (0-2 yrs)</t>
        </is>
      </c>
      <c r="G43" s="48" t="inlineStr">
        <is>
          <t>Full-time</t>
        </is>
      </c>
      <c r="H43" s="48" t="inlineStr">
        <is>
          <t>On-site</t>
        </is>
      </c>
      <c r="I43" s="49" t="n">
        <v>4</v>
      </c>
      <c r="J43" s="49" t="n">
        <v>8</v>
      </c>
      <c r="K43" s="48" t="inlineStr">
        <is>
          <t>Data Science, Data Analytics, data analyst, Power Bi</t>
        </is>
      </c>
      <c r="L43" s="56" t="n">
        <v>45974</v>
      </c>
    </row>
    <row r="44">
      <c r="A44" s="48" t="inlineStr">
        <is>
          <t>J0058</t>
        </is>
      </c>
      <c r="B44" s="48" t="inlineStr">
        <is>
          <t>Quality Head Paint Shop  , chakan</t>
        </is>
      </c>
      <c r="C44" s="48" t="inlineStr">
        <is>
          <t>HR Innovation Group</t>
        </is>
      </c>
      <c r="D44" s="48" t="inlineStr">
        <is>
          <t>Nashik</t>
        </is>
      </c>
      <c r="E44" s="48" t="inlineStr">
        <is>
          <t>IT / Software</t>
        </is>
      </c>
      <c r="F44" s="48" t="inlineStr">
        <is>
          <t>Senior Level (7+ yrs)</t>
        </is>
      </c>
      <c r="G44" s="48" t="inlineStr">
        <is>
          <t>Full-time</t>
        </is>
      </c>
      <c r="H44" s="48" t="inlineStr">
        <is>
          <t>On-site</t>
        </is>
      </c>
      <c r="I44" s="49" t="n">
        <v>8</v>
      </c>
      <c r="J44" s="49" t="n">
        <v>11</v>
      </c>
      <c r="K44" s="48" t="inlineStr">
        <is>
          <t>Paint Quality, ISO, Paint Technology, IATF</t>
        </is>
      </c>
      <c r="L44" s="56" t="n">
        <v>45972</v>
      </c>
    </row>
    <row r="45">
      <c r="A45" s="48" t="inlineStr">
        <is>
          <t>J0433</t>
        </is>
      </c>
      <c r="B45" s="48" t="inlineStr">
        <is>
          <t>Lawyer (Chandigarh)</t>
        </is>
      </c>
      <c r="C45" s="48" t="inlineStr">
        <is>
          <t>Research Development Office</t>
        </is>
      </c>
      <c r="D45" s="48" t="inlineStr">
        <is>
          <t>Chandigarh</t>
        </is>
      </c>
      <c r="E45" s="48" t="inlineStr">
        <is>
          <t>Other / General Business</t>
        </is>
      </c>
      <c r="F45" s="48" t="inlineStr">
        <is>
          <t>Entry Level (0-2 yrs)</t>
        </is>
      </c>
      <c r="G45" s="48" t="inlineStr">
        <is>
          <t>Full-time</t>
        </is>
      </c>
      <c r="H45" s="48" t="inlineStr">
        <is>
          <t>On-site</t>
        </is>
      </c>
      <c r="I45" s="49" t="n">
        <v>6.5</v>
      </c>
      <c r="J45" s="49" t="n">
        <v>7.5</v>
      </c>
      <c r="K45" s="48" t="inlineStr">
        <is>
          <t>Legal, Law, Llb, Legal Advice</t>
        </is>
      </c>
      <c r="L45" s="56" t="n">
        <v>45969</v>
      </c>
    </row>
    <row r="46">
      <c r="A46" s="48" t="inlineStr">
        <is>
          <t>J0382</t>
        </is>
      </c>
      <c r="B46" s="48" t="inlineStr">
        <is>
          <t>Workday Finance- Manager</t>
        </is>
      </c>
      <c r="C46" s="48" t="inlineStr">
        <is>
          <t>Vision Beyond Resources India Private Limited</t>
        </is>
      </c>
      <c r="D46" s="48" t="inlineStr">
        <is>
          <t>Bangalore</t>
        </is>
      </c>
      <c r="E46" s="48" t="inlineStr">
        <is>
          <t>BFSI (Banking/Finance/Insurance)</t>
        </is>
      </c>
      <c r="F46" s="48" t="inlineStr">
        <is>
          <t>Mid Level (3-6 yrs)</t>
        </is>
      </c>
      <c r="G46" s="48" t="inlineStr">
        <is>
          <t>Full-time</t>
        </is>
      </c>
      <c r="H46" s="48" t="inlineStr">
        <is>
          <t>On-site</t>
        </is>
      </c>
      <c r="I46" s="49" t="n"/>
      <c r="J46" s="49" t="n"/>
      <c r="K46" s="48" t="inlineStr">
        <is>
          <t>Business process, Strategy consulting, ERP, Networking</t>
        </is>
      </c>
      <c r="L46" s="56" t="n">
        <v>45969</v>
      </c>
    </row>
    <row r="47">
      <c r="A47" s="48" t="inlineStr">
        <is>
          <t>J0018</t>
        </is>
      </c>
      <c r="B47" s="48" t="inlineStr">
        <is>
          <t xml:space="preserve">  Quality Engineer - Machine Shop  </t>
        </is>
      </c>
      <c r="C47" s="48" t="inlineStr">
        <is>
          <t>Motherson</t>
        </is>
      </c>
      <c r="D47" s="48" t="inlineStr">
        <is>
          <t>Kanchipuram</t>
        </is>
      </c>
      <c r="E47" s="48" t="inlineStr">
        <is>
          <t>Manufacturing &amp; Engineering</t>
        </is>
      </c>
      <c r="F47" s="48" t="inlineStr">
        <is>
          <t>Entry Level (0-2 yrs)</t>
        </is>
      </c>
      <c r="G47" s="48" t="inlineStr">
        <is>
          <t>Full-time</t>
        </is>
      </c>
      <c r="H47" s="48" t="inlineStr">
        <is>
          <t>On-site</t>
        </is>
      </c>
      <c r="I47" s="49" t="n">
        <v>3.5</v>
      </c>
      <c r="J47" s="49" t="n">
        <v>5.5</v>
      </c>
      <c r="K47" s="48" t="inlineStr">
        <is>
          <t>Machine Shop Quality, CNC Machines, VMC Machine, Line Inspection</t>
        </is>
      </c>
      <c r="L47" s="56" t="n">
        <v>45969</v>
      </c>
    </row>
    <row r="48">
      <c r="A48" s="48" t="inlineStr">
        <is>
          <t>J0198</t>
        </is>
      </c>
      <c r="B48" s="48" t="inlineStr">
        <is>
          <t>Lawyer (Chandigarh)</t>
        </is>
      </c>
      <c r="C48" s="48" t="inlineStr">
        <is>
          <t>Research Development Office</t>
        </is>
      </c>
      <c r="D48" s="48" t="inlineStr">
        <is>
          <t>Chandigarh</t>
        </is>
      </c>
      <c r="E48" s="48" t="inlineStr">
        <is>
          <t>Other / General Business</t>
        </is>
      </c>
      <c r="F48" s="48" t="inlineStr">
        <is>
          <t>Entry Level (0-2 yrs)</t>
        </is>
      </c>
      <c r="G48" s="48" t="inlineStr">
        <is>
          <t>Full-time</t>
        </is>
      </c>
      <c r="H48" s="48" t="inlineStr">
        <is>
          <t>On-site</t>
        </is>
      </c>
      <c r="I48" s="49" t="n">
        <v>6.5</v>
      </c>
      <c r="J48" s="49" t="n">
        <v>7.5</v>
      </c>
      <c r="K48" s="48" t="inlineStr">
        <is>
          <t>Legal, Law, Llb, Legal Advice</t>
        </is>
      </c>
      <c r="L48" s="56" t="n">
        <v>45969</v>
      </c>
    </row>
    <row r="49">
      <c r="A49" s="48" t="inlineStr">
        <is>
          <t>J0294</t>
        </is>
      </c>
      <c r="B49" s="48" t="inlineStr">
        <is>
          <t>Paint Protection Film (PPF) manager -automotive accessories, detailing</t>
        </is>
      </c>
      <c r="C49" s="48" t="inlineStr">
        <is>
          <t>HR Innovation Group</t>
        </is>
      </c>
      <c r="D49" s="48" t="inlineStr">
        <is>
          <t>Nashik</t>
        </is>
      </c>
      <c r="E49" s="48" t="inlineStr">
        <is>
          <t>Media &amp; Entertainment</t>
        </is>
      </c>
      <c r="F49" s="48" t="inlineStr">
        <is>
          <t>Mid Level (3-6 yrs)</t>
        </is>
      </c>
      <c r="G49" s="48" t="inlineStr">
        <is>
          <t>Full-time</t>
        </is>
      </c>
      <c r="H49" s="48" t="inlineStr">
        <is>
          <t>On-site</t>
        </is>
      </c>
      <c r="I49" s="49" t="n">
        <v>5</v>
      </c>
      <c r="J49" s="49" t="n">
        <v>6</v>
      </c>
      <c r="K49" s="48" t="inlineStr">
        <is>
          <t>detailing, automotive accessories, Paint Protection Film, Automobile Components</t>
        </is>
      </c>
      <c r="L49" s="56" t="n">
        <v>45970</v>
      </c>
    </row>
    <row r="50">
      <c r="A50" s="48" t="inlineStr">
        <is>
          <t>J0243</t>
        </is>
      </c>
      <c r="B50" s="48" t="inlineStr">
        <is>
          <t>Senior Data Engineer</t>
        </is>
      </c>
      <c r="C50" s="48" t="inlineStr">
        <is>
          <t>Assent Inc</t>
        </is>
      </c>
      <c r="D50" s="48" t="inlineStr">
        <is>
          <t>Pune</t>
        </is>
      </c>
      <c r="E50" s="48" t="inlineStr">
        <is>
          <t>IT / Software</t>
        </is>
      </c>
      <c r="F50" s="48" t="inlineStr">
        <is>
          <t>Senior Level (7+ yrs)</t>
        </is>
      </c>
      <c r="G50" s="48" t="inlineStr">
        <is>
          <t>Full-time</t>
        </is>
      </c>
      <c r="H50" s="48" t="inlineStr">
        <is>
          <t>Hybrid</t>
        </is>
      </c>
      <c r="I50" s="49" t="n">
        <v>30</v>
      </c>
      <c r="J50" s="49" t="n">
        <v>40</v>
      </c>
      <c r="K50" s="48" t="inlineStr">
        <is>
          <t>Airflow, Snowflake, AWS, Python</t>
        </is>
      </c>
      <c r="L50" s="56" t="n">
        <v>45968</v>
      </c>
    </row>
    <row r="51">
      <c r="A51" s="48" t="inlineStr">
        <is>
          <t>J0056</t>
        </is>
      </c>
      <c r="B51" s="48" t="inlineStr">
        <is>
          <t>Sales and Outreach Specialist</t>
        </is>
      </c>
      <c r="C51" s="48" t="inlineStr">
        <is>
          <t>Early Autism Ventures</t>
        </is>
      </c>
      <c r="D51" s="48" t="inlineStr">
        <is>
          <t>Bengaluru</t>
        </is>
      </c>
      <c r="E51" s="48" t="inlineStr">
        <is>
          <t>Sales &amp; Business Development</t>
        </is>
      </c>
      <c r="F51" s="48" t="inlineStr">
        <is>
          <t>Entry Level (0-2 yrs)</t>
        </is>
      </c>
      <c r="G51" s="48" t="inlineStr">
        <is>
          <t>Full-time</t>
        </is>
      </c>
      <c r="H51" s="48" t="inlineStr">
        <is>
          <t>Hybrid</t>
        </is>
      </c>
      <c r="I51" s="49" t="n"/>
      <c r="J51" s="49" t="n"/>
      <c r="K51" s="48" t="inlineStr">
        <is>
          <t>Problem Solving/ Analysis, Stratergic Thinking, Communication Proficiency, Presentation Skills</t>
        </is>
      </c>
      <c r="L51" s="56" t="n">
        <v>45972</v>
      </c>
    </row>
    <row r="52">
      <c r="A52" s="48" t="inlineStr">
        <is>
          <t>J0156</t>
        </is>
      </c>
      <c r="B52" s="48" t="inlineStr">
        <is>
          <t>Cad Design Engineer</t>
        </is>
      </c>
      <c r="C52" s="48" t="inlineStr">
        <is>
          <t>PRO Hr Complete Solutions</t>
        </is>
      </c>
      <c r="D52" s="48" t="inlineStr">
        <is>
          <t>Mumbai</t>
        </is>
      </c>
      <c r="E52" s="48" t="inlineStr">
        <is>
          <t>Other / General Business</t>
        </is>
      </c>
      <c r="F52" s="48" t="inlineStr">
        <is>
          <t>Mid Level (3-6 yrs)</t>
        </is>
      </c>
      <c r="G52" s="48" t="inlineStr">
        <is>
          <t>Full-time</t>
        </is>
      </c>
      <c r="H52" s="48" t="inlineStr">
        <is>
          <t>On-site</t>
        </is>
      </c>
      <c r="I52" s="49" t="n">
        <v>2.75</v>
      </c>
      <c r="J52" s="49" t="n">
        <v>3.75</v>
      </c>
      <c r="K52" s="48" t="inlineStr">
        <is>
          <t>OHSAS 18001, 14001, Iso Ts 9, AutoCAD 2D</t>
        </is>
      </c>
      <c r="L52" s="56" t="n">
        <v>45973</v>
      </c>
    </row>
    <row r="53">
      <c r="A53" s="48" t="inlineStr">
        <is>
          <t>J0123</t>
        </is>
      </c>
      <c r="B53" s="48" t="inlineStr">
        <is>
          <t>Physics,Chemistry,Math</t>
        </is>
      </c>
      <c r="C53" s="48" t="inlineStr">
        <is>
          <t>Jahangeer Edutech</t>
        </is>
      </c>
      <c r="D53" s="48" t="inlineStr">
        <is>
          <t>Vijayawada</t>
        </is>
      </c>
      <c r="E53" s="48" t="inlineStr">
        <is>
          <t>Other / General Business</t>
        </is>
      </c>
      <c r="F53" s="48" t="inlineStr">
        <is>
          <t>Mid Level (3-6 yrs)</t>
        </is>
      </c>
      <c r="G53" s="48" t="inlineStr">
        <is>
          <t>Full-time</t>
        </is>
      </c>
      <c r="H53" s="48" t="inlineStr">
        <is>
          <t>On-site</t>
        </is>
      </c>
      <c r="I53" s="49" t="n">
        <v>20</v>
      </c>
      <c r="J53" s="49" t="n">
        <v>35</v>
      </c>
      <c r="K53" s="48" t="inlineStr">
        <is>
          <t>Physics, Chemistry, Mathematics</t>
        </is>
      </c>
      <c r="L53" s="56" t="n">
        <v>45967</v>
      </c>
    </row>
    <row r="54">
      <c r="A54" s="48" t="inlineStr">
        <is>
          <t>J0090</t>
        </is>
      </c>
      <c r="B54" s="48" t="inlineStr">
        <is>
          <t>Human Resource Intern</t>
        </is>
      </c>
      <c r="C54" s="48" t="inlineStr">
        <is>
          <t>Kotak Life Insurance</t>
        </is>
      </c>
      <c r="D54" s="48" t="inlineStr">
        <is>
          <t>Goregaon</t>
        </is>
      </c>
      <c r="E54" s="48" t="inlineStr">
        <is>
          <t>HR &amp; Staffing</t>
        </is>
      </c>
      <c r="F54" s="48" t="inlineStr">
        <is>
          <t>Entry Level (0-2 yrs)</t>
        </is>
      </c>
      <c r="G54" s="48" t="inlineStr">
        <is>
          <t>Internship</t>
        </is>
      </c>
      <c r="H54" s="48" t="inlineStr">
        <is>
          <t>On-site</t>
        </is>
      </c>
      <c r="I54" s="49" t="n">
        <v>1.5</v>
      </c>
      <c r="J54" s="49" t="n">
        <v>1.75</v>
      </c>
      <c r="K54" s="48" t="inlineStr">
        <is>
          <t>HR Coordination, HR Generalist Activities, HR Administration, HR Operations</t>
        </is>
      </c>
      <c r="L54" s="56" t="n">
        <v>45974</v>
      </c>
    </row>
    <row r="55">
      <c r="A55" s="48" t="inlineStr">
        <is>
          <t>J0196</t>
        </is>
      </c>
      <c r="B55" s="48" t="inlineStr">
        <is>
          <t>Job Openings For Surgery Medical Coders @ Vee Healthtek</t>
        </is>
      </c>
      <c r="C55" s="48" t="inlineStr">
        <is>
          <t>Vee Healthtek</t>
        </is>
      </c>
      <c r="D55" s="48" t="inlineStr">
        <is>
          <t>Hyderabad</t>
        </is>
      </c>
      <c r="E55" s="48" t="inlineStr">
        <is>
          <t>Healthcare &amp; Pharma</t>
        </is>
      </c>
      <c r="F55" s="48" t="inlineStr">
        <is>
          <t>Entry Level (0-2 yrs)</t>
        </is>
      </c>
      <c r="G55" s="48" t="inlineStr">
        <is>
          <t>Full-time</t>
        </is>
      </c>
      <c r="H55" s="48" t="inlineStr">
        <is>
          <t>On-site</t>
        </is>
      </c>
      <c r="I55" s="49" t="n">
        <v>1.5</v>
      </c>
      <c r="J55" s="49" t="n">
        <v>5</v>
      </c>
      <c r="K55" s="48" t="inlineStr">
        <is>
          <t>medical coder, ICD, Medical Coding, surgery</t>
        </is>
      </c>
      <c r="L55" s="56" t="n">
        <v>45966</v>
      </c>
    </row>
    <row r="56">
      <c r="A56" s="48" t="inlineStr">
        <is>
          <t>J0362</t>
        </is>
      </c>
      <c r="B56" s="48" t="inlineStr">
        <is>
          <t xml:space="preserve">  Voice/Chat CSE, international &amp; domestic both @Mohali  </t>
        </is>
      </c>
      <c r="C56" s="48" t="inlineStr">
        <is>
          <t>White Bulb Technologies India</t>
        </is>
      </c>
      <c r="D56" s="48" t="inlineStr">
        <is>
          <t>Mohali</t>
        </is>
      </c>
      <c r="E56" s="48" t="inlineStr">
        <is>
          <t>Customer Service &amp; BPO</t>
        </is>
      </c>
      <c r="F56" s="48" t="inlineStr">
        <is>
          <t>Entry Level (0-2 yrs)</t>
        </is>
      </c>
      <c r="G56" s="48" t="inlineStr">
        <is>
          <t>Internship</t>
        </is>
      </c>
      <c r="H56" s="48" t="inlineStr">
        <is>
          <t>On-site</t>
        </is>
      </c>
      <c r="I56" s="49" t="n">
        <v>1.75</v>
      </c>
      <c r="J56" s="49" t="n">
        <v>4.25</v>
      </c>
      <c r="K56" s="48" t="inlineStr">
        <is>
          <t>Query Resolution, Customer Support, Customer Care, VOICE/NON VOICE</t>
        </is>
      </c>
      <c r="L56" s="56" t="n">
        <v>45970</v>
      </c>
    </row>
    <row r="57">
      <c r="A57" s="48" t="inlineStr">
        <is>
          <t>J0166</t>
        </is>
      </c>
      <c r="B57" s="48" t="inlineStr">
        <is>
          <t xml:space="preserve">  E Commerce Executive  </t>
        </is>
      </c>
      <c r="C57" s="48" t="inlineStr">
        <is>
          <t>PRO Hr Complete Solutions</t>
        </is>
      </c>
      <c r="D57" s="48" t="inlineStr">
        <is>
          <t>Mysuru</t>
        </is>
      </c>
      <c r="E57" s="48" t="inlineStr">
        <is>
          <t>Marketing &amp; Advertising</t>
        </is>
      </c>
      <c r="F57" s="48" t="inlineStr">
        <is>
          <t>Entry Level (0-2 yrs)</t>
        </is>
      </c>
      <c r="G57" s="48" t="inlineStr">
        <is>
          <t>Full-time</t>
        </is>
      </c>
      <c r="H57" s="48" t="inlineStr">
        <is>
          <t>On-site</t>
        </is>
      </c>
      <c r="I57" s="49" t="n">
        <v>3</v>
      </c>
      <c r="J57" s="49" t="n">
        <v>3.75</v>
      </c>
      <c r="K57" s="48" t="inlineStr">
        <is>
          <t>E-commerce, Performance Metrics, PPC, Sales Forecasting</t>
        </is>
      </c>
      <c r="L57" s="56" t="n">
        <v>45974</v>
      </c>
    </row>
    <row r="58">
      <c r="A58" s="48" t="inlineStr">
        <is>
          <t>J0414</t>
        </is>
      </c>
      <c r="B58" s="48" t="inlineStr">
        <is>
          <t>Sales Executive</t>
        </is>
      </c>
      <c r="C58" s="48" t="inlineStr">
        <is>
          <t>Shree Ganesh Remedies</t>
        </is>
      </c>
      <c r="D58" s="48" t="inlineStr">
        <is>
          <t>Bharuch</t>
        </is>
      </c>
      <c r="E58" s="48" t="inlineStr">
        <is>
          <t>Sales &amp; Business Development</t>
        </is>
      </c>
      <c r="F58" s="48" t="inlineStr">
        <is>
          <t>Entry Level (0-2 yrs)</t>
        </is>
      </c>
      <c r="G58" s="48" t="inlineStr">
        <is>
          <t>Full-time</t>
        </is>
      </c>
      <c r="H58" s="48" t="inlineStr">
        <is>
          <t>On-site</t>
        </is>
      </c>
      <c r="I58" s="49" t="n">
        <v>1</v>
      </c>
      <c r="J58" s="49" t="n">
        <v>2.75</v>
      </c>
      <c r="K58" s="48" t="inlineStr">
        <is>
          <t>Excellent communication, Good problem-solving, negotiation, Target-driven with a proven track record in sales.</t>
        </is>
      </c>
      <c r="L58" s="56" t="n">
        <v>45968</v>
      </c>
    </row>
    <row r="59">
      <c r="A59" s="48" t="inlineStr">
        <is>
          <t>J0289</t>
        </is>
      </c>
      <c r="B59" s="48" t="inlineStr">
        <is>
          <t>Plc Programmer</t>
        </is>
      </c>
      <c r="C59" s="48" t="inlineStr">
        <is>
          <t>Talent Corner Hr Services</t>
        </is>
      </c>
      <c r="D59" s="48" t="inlineStr">
        <is>
          <t>Navi Mumbai</t>
        </is>
      </c>
      <c r="E59" s="48" t="inlineStr">
        <is>
          <t>Other / General Business</t>
        </is>
      </c>
      <c r="F59" s="48" t="inlineStr">
        <is>
          <t>Mid Level (3-6 yrs)</t>
        </is>
      </c>
      <c r="G59" s="48" t="inlineStr">
        <is>
          <t>Full-time</t>
        </is>
      </c>
      <c r="H59" s="48" t="inlineStr">
        <is>
          <t>On-site</t>
        </is>
      </c>
      <c r="I59" s="49" t="n">
        <v>8</v>
      </c>
      <c r="J59" s="49" t="n">
        <v>12</v>
      </c>
      <c r="K59" s="48" t="inlineStr">
        <is>
          <t>Plc Scada, Schneider Plc, PLC, Siemens PLC</t>
        </is>
      </c>
      <c r="L59" s="56" t="n">
        <v>45974</v>
      </c>
    </row>
    <row r="60">
      <c r="A60" s="48" t="inlineStr">
        <is>
          <t>J0357</t>
        </is>
      </c>
      <c r="B60" s="48" t="inlineStr">
        <is>
          <t>Sr. Manager - Loan Servicing/Lending Operations || Chennai</t>
        </is>
      </c>
      <c r="C60" s="48" t="inlineStr">
        <is>
          <t>Imaginators Try Going Beyond</t>
        </is>
      </c>
      <c r="D60" s="48" t="inlineStr">
        <is>
          <t>Chennai</t>
        </is>
      </c>
      <c r="E60" s="48" t="inlineStr">
        <is>
          <t>BFSI (Banking/Finance/Insurance)</t>
        </is>
      </c>
      <c r="F60" s="48" t="inlineStr">
        <is>
          <t>Senior Level (7+ yrs)</t>
        </is>
      </c>
      <c r="G60" s="48" t="inlineStr">
        <is>
          <t>Full-time</t>
        </is>
      </c>
      <c r="H60" s="48" t="inlineStr">
        <is>
          <t>On-site</t>
        </is>
      </c>
      <c r="I60" s="49" t="n">
        <v>18</v>
      </c>
      <c r="J60" s="49" t="n">
        <v>27.5</v>
      </c>
      <c r="K60" s="48" t="inlineStr">
        <is>
          <t>Commercial Loans, Commercial Lending, Lending Operations, Loan Processing</t>
        </is>
      </c>
      <c r="L60" s="56" t="n">
        <v>45974</v>
      </c>
    </row>
    <row r="61">
      <c r="A61" s="48" t="inlineStr">
        <is>
          <t>J0125</t>
        </is>
      </c>
      <c r="B61" s="48" t="inlineStr">
        <is>
          <t>Mid Software Developer</t>
        </is>
      </c>
      <c r="C61" s="48" t="inlineStr">
        <is>
          <t>Expian Technologies</t>
        </is>
      </c>
      <c r="D61" s="48" t="inlineStr">
        <is>
          <t>Bengaluru</t>
        </is>
      </c>
      <c r="E61" s="48" t="inlineStr">
        <is>
          <t>IT / Software</t>
        </is>
      </c>
      <c r="F61" s="48" t="inlineStr">
        <is>
          <t>Mid Level (3-6 yrs)</t>
        </is>
      </c>
      <c r="G61" s="48" t="inlineStr">
        <is>
          <t>Full-time</t>
        </is>
      </c>
      <c r="H61" s="48" t="inlineStr">
        <is>
          <t>Hybrid</t>
        </is>
      </c>
      <c r="I61" s="49" t="n">
        <v>20</v>
      </c>
      <c r="J61" s="49" t="n">
        <v>32.5</v>
      </c>
      <c r="K61" s="48" t="inlineStr">
        <is>
          <t>Aws Cloud, Ruby Rails, react, Java</t>
        </is>
      </c>
      <c r="L61" s="56" t="n">
        <v>45970</v>
      </c>
    </row>
    <row r="62">
      <c r="A62" s="48" t="inlineStr">
        <is>
          <t>J0322</t>
        </is>
      </c>
      <c r="B62" s="48" t="inlineStr">
        <is>
          <t>Sales Manager (The Fern Residency, Chembur)</t>
        </is>
      </c>
      <c r="C62" s="48" t="inlineStr">
        <is>
          <t>Concept Hospitality</t>
        </is>
      </c>
      <c r="D62" s="48" t="inlineStr">
        <is>
          <t>Mumbai Suburban</t>
        </is>
      </c>
      <c r="E62" s="48" t="inlineStr">
        <is>
          <t>Healthcare &amp; Pharma</t>
        </is>
      </c>
      <c r="F62" s="48" t="inlineStr">
        <is>
          <t>Mid Level (3-6 yrs)</t>
        </is>
      </c>
      <c r="G62" s="48" t="inlineStr">
        <is>
          <t>Full-time</t>
        </is>
      </c>
      <c r="H62" s="48" t="inlineStr">
        <is>
          <t>On-site</t>
        </is>
      </c>
      <c r="I62" s="49" t="n">
        <v>3</v>
      </c>
      <c r="J62" s="49" t="n">
        <v>8</v>
      </c>
      <c r="K62" s="48" t="inlineStr">
        <is>
          <t>Room Sales, Hospitality Sales, Hotel Sales, Hotel Management</t>
        </is>
      </c>
      <c r="L62" s="56" t="n">
        <v>45970</v>
      </c>
    </row>
    <row r="63">
      <c r="A63" s="48" t="inlineStr">
        <is>
          <t>J0413</t>
        </is>
      </c>
      <c r="B63" s="48" t="inlineStr">
        <is>
          <t>Indesign Executive- Graphic Designer</t>
        </is>
      </c>
      <c r="C63" s="48" t="inlineStr">
        <is>
          <t>Henry Harvin Education</t>
        </is>
      </c>
      <c r="D63" s="48" t="inlineStr">
        <is>
          <t>Noida</t>
        </is>
      </c>
      <c r="E63" s="48" t="inlineStr">
        <is>
          <t>Other / General Business</t>
        </is>
      </c>
      <c r="F63" s="48" t="inlineStr">
        <is>
          <t>Entry Level (0-2 yrs)</t>
        </is>
      </c>
      <c r="G63" s="48" t="inlineStr">
        <is>
          <t>Full-time</t>
        </is>
      </c>
      <c r="H63" s="48" t="inlineStr">
        <is>
          <t>On-site</t>
        </is>
      </c>
      <c r="I63" s="49" t="n">
        <v>2.25</v>
      </c>
      <c r="J63" s="49" t="n">
        <v>3.5</v>
      </c>
      <c r="K63" s="48" t="inlineStr">
        <is>
          <t>Corel Draw, Illustrate Design, Photoshop, Indesign</t>
        </is>
      </c>
      <c r="L63" s="56" t="n">
        <v>45976</v>
      </c>
    </row>
    <row r="64">
      <c r="A64" s="48" t="inlineStr">
        <is>
          <t>J0106</t>
        </is>
      </c>
      <c r="B64" s="48" t="inlineStr">
        <is>
          <t>Payroll Compliance Human Resource Executive</t>
        </is>
      </c>
      <c r="C64" s="48" t="inlineStr">
        <is>
          <t>Tatva Hr Services</t>
        </is>
      </c>
      <c r="D64" s="48" t="inlineStr">
        <is>
          <t>Bengaluru</t>
        </is>
      </c>
      <c r="E64" s="48" t="inlineStr">
        <is>
          <t>Education &amp; Training</t>
        </is>
      </c>
      <c r="F64" s="48" t="inlineStr">
        <is>
          <t>Entry Level (0-2 yrs)</t>
        </is>
      </c>
      <c r="G64" s="48" t="inlineStr">
        <is>
          <t>Full-time</t>
        </is>
      </c>
      <c r="H64" s="48" t="inlineStr">
        <is>
          <t>On-site</t>
        </is>
      </c>
      <c r="I64" s="49" t="n">
        <v>2.4</v>
      </c>
      <c r="J64" s="49" t="n">
        <v>3</v>
      </c>
      <c r="K64" s="48" t="inlineStr">
        <is>
          <t>Payroll Processing, Payroll Management, PF, Payroll Administration</t>
        </is>
      </c>
      <c r="L64" s="56" t="n">
        <v>45973</v>
      </c>
    </row>
    <row r="65">
      <c r="A65" s="48" t="inlineStr">
        <is>
          <t>J0338</t>
        </is>
      </c>
      <c r="B65" s="48" t="inlineStr">
        <is>
          <t>International Voice Process Executive</t>
        </is>
      </c>
      <c r="C65" s="48" t="inlineStr">
        <is>
          <t>Lancesoft</t>
        </is>
      </c>
      <c r="D65" s="48" t="inlineStr">
        <is>
          <t>Bengaluru</t>
        </is>
      </c>
      <c r="E65" s="48" t="inlineStr">
        <is>
          <t>Customer Service &amp; BPO</t>
        </is>
      </c>
      <c r="F65" s="48" t="inlineStr">
        <is>
          <t>Entry Level (0-2 yrs)</t>
        </is>
      </c>
      <c r="G65" s="48" t="inlineStr">
        <is>
          <t>Internship</t>
        </is>
      </c>
      <c r="H65" s="48" t="inlineStr">
        <is>
          <t>On-site</t>
        </is>
      </c>
      <c r="I65" s="49" t="n">
        <v>1</v>
      </c>
      <c r="J65" s="49" t="n">
        <v>3.25</v>
      </c>
      <c r="K65" s="48" t="inlineStr">
        <is>
          <t>Fresher Hiring, Communication Skills, Good English Communication, Fluent English</t>
        </is>
      </c>
      <c r="L65" s="56" t="n">
        <v>45968</v>
      </c>
    </row>
    <row r="66">
      <c r="A66" s="48" t="inlineStr">
        <is>
          <t>J0172</t>
        </is>
      </c>
      <c r="B66" s="48" t="inlineStr">
        <is>
          <t>PowerApps Developer - Immediate joiner only</t>
        </is>
      </c>
      <c r="C66" s="48" t="inlineStr">
        <is>
          <t>G R Consultants</t>
        </is>
      </c>
      <c r="D66" s="48" t="inlineStr">
        <is>
          <t>Pune</t>
        </is>
      </c>
      <c r="E66" s="48" t="inlineStr">
        <is>
          <t>IT / Software</t>
        </is>
      </c>
      <c r="F66" s="48" t="inlineStr">
        <is>
          <t>Mid Level (3-6 yrs)</t>
        </is>
      </c>
      <c r="G66" s="48" t="inlineStr">
        <is>
          <t>Full-time</t>
        </is>
      </c>
      <c r="H66" s="48" t="inlineStr">
        <is>
          <t>On-site</t>
        </is>
      </c>
      <c r="I66" s="49" t="n">
        <v>14</v>
      </c>
      <c r="J66" s="49" t="n">
        <v>18</v>
      </c>
      <c r="K66" s="48" t="inlineStr">
        <is>
          <t>Model Driven Apps, Power Pages, Canvas, Power Apps Development</t>
        </is>
      </c>
      <c r="L66" s="56" t="n">
        <v>45972</v>
      </c>
    </row>
    <row r="67">
      <c r="A67" s="48" t="inlineStr">
        <is>
          <t>J0311</t>
        </is>
      </c>
      <c r="B67" s="48" t="inlineStr">
        <is>
          <t>Sales Coordinator | M/F | Automotive | 30 To 35k | Bahalgarh | Sonipat</t>
        </is>
      </c>
      <c r="C67" s="48" t="inlineStr">
        <is>
          <t>Dharra Advance Business Solutions</t>
        </is>
      </c>
      <c r="D67" s="48" t="inlineStr">
        <is>
          <t>Sonipat</t>
        </is>
      </c>
      <c r="E67" s="48" t="inlineStr">
        <is>
          <t>Marketing &amp; Advertising</t>
        </is>
      </c>
      <c r="F67" s="48" t="inlineStr">
        <is>
          <t>Mid Level (3-6 yrs)</t>
        </is>
      </c>
      <c r="G67" s="48" t="inlineStr">
        <is>
          <t>Full-time</t>
        </is>
      </c>
      <c r="H67" s="48" t="inlineStr">
        <is>
          <t>On-site</t>
        </is>
      </c>
      <c r="I67" s="49" t="n">
        <v>3.5</v>
      </c>
      <c r="J67" s="49" t="n">
        <v>4.25</v>
      </c>
      <c r="K67" s="48" t="inlineStr">
        <is>
          <t>Sales Operations, Excellent Communication In English, Good In Excel, Sales Coordination</t>
        </is>
      </c>
      <c r="L67" s="56" t="n">
        <v>45966</v>
      </c>
    </row>
    <row r="68">
      <c r="A68" s="48" t="inlineStr">
        <is>
          <t>J0427</t>
        </is>
      </c>
      <c r="B68" s="48" t="inlineStr">
        <is>
          <t>Loan Officer - Retail MFB - Sales</t>
        </is>
      </c>
      <c r="C68" s="48" t="inlineStr">
        <is>
          <t>Tata Capital</t>
        </is>
      </c>
      <c r="D68" s="48" t="inlineStr">
        <is>
          <t>Mumbai</t>
        </is>
      </c>
      <c r="E68" s="48" t="inlineStr">
        <is>
          <t>BFSI (Banking/Finance/Insurance)</t>
        </is>
      </c>
      <c r="F68" s="48" t="inlineStr">
        <is>
          <t>Entry Level (0-2 yrs)</t>
        </is>
      </c>
      <c r="G68" s="48" t="inlineStr">
        <is>
          <t>Full-time</t>
        </is>
      </c>
      <c r="H68" s="48" t="inlineStr">
        <is>
          <t>On-site</t>
        </is>
      </c>
      <c r="I68" s="49" t="n"/>
      <c r="J68" s="49" t="n"/>
      <c r="K68" s="48" t="inlineStr">
        <is>
          <t>microfinance, customer service, sourcing, delinquency management</t>
        </is>
      </c>
      <c r="L68" s="56" t="n">
        <v>45967</v>
      </c>
    </row>
    <row r="69">
      <c r="A69" s="48" t="inlineStr">
        <is>
          <t>J0176</t>
        </is>
      </c>
      <c r="B69" s="48" t="inlineStr">
        <is>
          <t>Technical Lead-(GCP/Azure, Node.js &amp; TypeS ,5+ Years,Remote)</t>
        </is>
      </c>
      <c r="C69" s="48" t="inlineStr">
        <is>
          <t>Novizco Infotech</t>
        </is>
      </c>
      <c r="D69" s="48" t="inlineStr">
        <is>
          <t>Remote</t>
        </is>
      </c>
      <c r="E69" s="48" t="inlineStr">
        <is>
          <t>IT / Software</t>
        </is>
      </c>
      <c r="F69" s="48" t="inlineStr">
        <is>
          <t>Mid Level (3-6 yrs)</t>
        </is>
      </c>
      <c r="G69" s="48" t="inlineStr">
        <is>
          <t>Full-time</t>
        </is>
      </c>
      <c r="H69" s="48" t="inlineStr">
        <is>
          <t>Remote</t>
        </is>
      </c>
      <c r="I69" s="49" t="n">
        <v>12</v>
      </c>
      <c r="J69" s="49" t="n">
        <v>20</v>
      </c>
      <c r="K69" s="48" t="inlineStr">
        <is>
          <t>Cloud Deployment, Node.Js, GCP, Azure Cloud</t>
        </is>
      </c>
      <c r="L69" s="56" t="n">
        <v>45973</v>
      </c>
    </row>
    <row r="70">
      <c r="A70" s="48" t="inlineStr">
        <is>
          <t>J0024</t>
        </is>
      </c>
      <c r="B70" s="48" t="inlineStr">
        <is>
          <t>Hiring - International Voice Process - Firstsource | Alorica | 247.ai</t>
        </is>
      </c>
      <c r="C70" s="48" t="inlineStr">
        <is>
          <t>Circle Consulting</t>
        </is>
      </c>
      <c r="D70" s="48" t="inlineStr">
        <is>
          <t>Bengaluru</t>
        </is>
      </c>
      <c r="E70" s="48" t="inlineStr">
        <is>
          <t>Customer Service &amp; BPO</t>
        </is>
      </c>
      <c r="F70" s="48" t="inlineStr">
        <is>
          <t>Entry Level (0-2 yrs)</t>
        </is>
      </c>
      <c r="G70" s="48" t="inlineStr">
        <is>
          <t>Internship</t>
        </is>
      </c>
      <c r="H70" s="48" t="inlineStr">
        <is>
          <t>On-site</t>
        </is>
      </c>
      <c r="I70" s="49" t="n">
        <v>2.5</v>
      </c>
      <c r="J70" s="49" t="n">
        <v>4.25</v>
      </c>
      <c r="K70" s="48" t="inlineStr">
        <is>
          <t>Customer Service, International Voice, International Call Center, call center</t>
        </is>
      </c>
      <c r="L70" s="56" t="n">
        <v>45974</v>
      </c>
    </row>
    <row r="71">
      <c r="A71" s="48" t="inlineStr">
        <is>
          <t>J0212</t>
        </is>
      </c>
      <c r="B71" s="48" t="inlineStr">
        <is>
          <t>Gen AI Architect</t>
        </is>
      </c>
      <c r="C71" s="48" t="inlineStr">
        <is>
          <t>Xebia It Architects</t>
        </is>
      </c>
      <c r="D71" s="48" t="inlineStr">
        <is>
          <t>Pune</t>
        </is>
      </c>
      <c r="E71" s="48" t="inlineStr">
        <is>
          <t>IT / Software</t>
        </is>
      </c>
      <c r="F71" s="48" t="inlineStr">
        <is>
          <t>Senior Level (7+ yrs)</t>
        </is>
      </c>
      <c r="G71" s="48" t="inlineStr">
        <is>
          <t>Full-time</t>
        </is>
      </c>
      <c r="H71" s="48" t="inlineStr">
        <is>
          <t>Hybrid</t>
        </is>
      </c>
      <c r="I71" s="49" t="n">
        <v>45</v>
      </c>
      <c r="J71" s="49" t="n">
        <v>50</v>
      </c>
      <c r="K71" s="48" t="inlineStr">
        <is>
          <t>GenAI, Agentic AI, AWS Bedrock, Python</t>
        </is>
      </c>
      <c r="L71" s="56" t="n">
        <v>45966</v>
      </c>
    </row>
    <row r="72">
      <c r="A72" s="48" t="inlineStr">
        <is>
          <t>J0139</t>
        </is>
      </c>
      <c r="B72" s="48" t="inlineStr">
        <is>
          <t>Lead Sales Officer</t>
        </is>
      </c>
      <c r="C72" s="48" t="inlineStr">
        <is>
          <t>Haarvard Management Consultants</t>
        </is>
      </c>
      <c r="D72" s="48" t="inlineStr">
        <is>
          <t>Chennai</t>
        </is>
      </c>
      <c r="E72" s="48" t="inlineStr">
        <is>
          <t>Manufacturing &amp; Engineering</t>
        </is>
      </c>
      <c r="F72" s="48" t="inlineStr">
        <is>
          <t>Mid Level (3-6 yrs)</t>
        </is>
      </c>
      <c r="G72" s="48" t="inlineStr">
        <is>
          <t>Full-time</t>
        </is>
      </c>
      <c r="H72" s="48" t="inlineStr">
        <is>
          <t>On-site</t>
        </is>
      </c>
      <c r="I72" s="49" t="n">
        <v>10</v>
      </c>
      <c r="J72" s="49" t="n">
        <v>13</v>
      </c>
      <c r="K72" s="48" t="n"/>
      <c r="L72" s="56" t="n">
        <v>45973</v>
      </c>
    </row>
    <row r="73">
      <c r="A73" s="48" t="inlineStr">
        <is>
          <t>J0032</t>
        </is>
      </c>
      <c r="B73" s="48" t="inlineStr">
        <is>
          <t>Sales And Logistics Manager</t>
        </is>
      </c>
      <c r="C73" s="48" t="inlineStr">
        <is>
          <t>Skyocean Shipping</t>
        </is>
      </c>
      <c r="D73" s="48" t="inlineStr">
        <is>
          <t>Malappuram</t>
        </is>
      </c>
      <c r="E73" s="48" t="inlineStr">
        <is>
          <t>Logistics &amp; Supply Chain</t>
        </is>
      </c>
      <c r="F73" s="48" t="inlineStr">
        <is>
          <t>Entry Level (0-2 yrs)</t>
        </is>
      </c>
      <c r="G73" s="48" t="inlineStr">
        <is>
          <t>Full-time</t>
        </is>
      </c>
      <c r="H73" s="48" t="inlineStr">
        <is>
          <t>On-site</t>
        </is>
      </c>
      <c r="I73" s="49" t="n">
        <v>3</v>
      </c>
      <c r="J73" s="49" t="n">
        <v>4.8</v>
      </c>
      <c r="K73" s="48" t="inlineStr">
        <is>
          <t>Logistics Sales, English, Freight Forwarding, International Logistics</t>
        </is>
      </c>
      <c r="L73" s="56" t="n">
        <v>45973</v>
      </c>
    </row>
    <row r="74">
      <c r="A74" s="48" t="inlineStr">
        <is>
          <t>J0040</t>
        </is>
      </c>
      <c r="B74" s="48" t="inlineStr">
        <is>
          <t>Mechanical Design Engineer - PQA / Chennai</t>
        </is>
      </c>
      <c r="C74" s="48" t="inlineStr">
        <is>
          <t>Inncon</t>
        </is>
      </c>
      <c r="D74" s="48" t="inlineStr">
        <is>
          <t>Chennai</t>
        </is>
      </c>
      <c r="E74" s="48" t="inlineStr">
        <is>
          <t>Manufacturing &amp; Engineering</t>
        </is>
      </c>
      <c r="F74" s="48" t="inlineStr">
        <is>
          <t>Mid Level (3-6 yrs)</t>
        </is>
      </c>
      <c r="G74" s="48" t="inlineStr">
        <is>
          <t>Full-time</t>
        </is>
      </c>
      <c r="H74" s="48" t="inlineStr">
        <is>
          <t>On-site</t>
        </is>
      </c>
      <c r="I74" s="49" t="n">
        <v>5</v>
      </c>
      <c r="J74" s="49" t="n">
        <v>10</v>
      </c>
      <c r="K74" s="48" t="inlineStr">
        <is>
          <t>AutoCAD, Piping And Instrumentation Diagram, Water Treatment, Autodesk Inventor</t>
        </is>
      </c>
      <c r="L74" s="56" t="n">
        <v>45968</v>
      </c>
    </row>
    <row r="75">
      <c r="A75" s="48" t="inlineStr">
        <is>
          <t>J0073</t>
        </is>
      </c>
      <c r="B75" s="48" t="inlineStr">
        <is>
          <t>Area Sales Manager</t>
        </is>
      </c>
      <c r="C75" s="48" t="inlineStr">
        <is>
          <t xml:space="preserve">  Skillventory  </t>
        </is>
      </c>
      <c r="D75" s="48" t="inlineStr">
        <is>
          <t>Mysuru</t>
        </is>
      </c>
      <c r="E75" s="48" t="inlineStr">
        <is>
          <t>BFSI (Banking/Finance/Insurance)</t>
        </is>
      </c>
      <c r="F75" s="48" t="inlineStr">
        <is>
          <t>Entry Level (0-2 yrs)</t>
        </is>
      </c>
      <c r="G75" s="48" t="inlineStr">
        <is>
          <t>Full-time</t>
        </is>
      </c>
      <c r="H75" s="48" t="inlineStr">
        <is>
          <t>On-site</t>
        </is>
      </c>
      <c r="I75" s="49" t="n">
        <v>7</v>
      </c>
      <c r="J75" s="49" t="n">
        <v>15</v>
      </c>
      <c r="K75" s="48" t="inlineStr">
        <is>
          <t>Personal Loans, Team Handling, DSA, Unsecured Loans</t>
        </is>
      </c>
      <c r="L75" s="56" t="n">
        <v>45967</v>
      </c>
    </row>
    <row r="76">
      <c r="A76" s="48" t="inlineStr">
        <is>
          <t>J0035</t>
        </is>
      </c>
      <c r="B76" s="48" t="inlineStr">
        <is>
          <t>Senior Developer</t>
        </is>
      </c>
      <c r="C76" s="48" t="inlineStr">
        <is>
          <t>Tata Consultancy Services</t>
        </is>
      </c>
      <c r="D76" s="48" t="inlineStr">
        <is>
          <t>Hyderabad</t>
        </is>
      </c>
      <c r="E76" s="48" t="inlineStr">
        <is>
          <t>IT / Software</t>
        </is>
      </c>
      <c r="F76" s="48" t="inlineStr">
        <is>
          <t>Senior Level (7+ yrs)</t>
        </is>
      </c>
      <c r="G76" s="48" t="inlineStr">
        <is>
          <t>Full-time</t>
        </is>
      </c>
      <c r="H76" s="48" t="inlineStr">
        <is>
          <t>On-site</t>
        </is>
      </c>
      <c r="I76" s="49" t="n"/>
      <c r="J76" s="49" t="n"/>
      <c r="K76" s="48" t="inlineStr">
        <is>
          <t>Ge Smallworld, Magik, Development, Smallworld</t>
        </is>
      </c>
      <c r="L76" s="56" t="n">
        <v>45973</v>
      </c>
    </row>
    <row r="77">
      <c r="A77" s="48" t="inlineStr">
        <is>
          <t>J0351</t>
        </is>
      </c>
      <c r="B77" s="48" t="inlineStr">
        <is>
          <t>Sr HR Executive - MNC Pune</t>
        </is>
      </c>
      <c r="C77" s="48" t="inlineStr">
        <is>
          <t>HR Innovation Group</t>
        </is>
      </c>
      <c r="D77" s="48" t="inlineStr">
        <is>
          <t>Nashik</t>
        </is>
      </c>
      <c r="E77" s="48" t="inlineStr">
        <is>
          <t>HR &amp; Staffing</t>
        </is>
      </c>
      <c r="F77" s="48" t="inlineStr">
        <is>
          <t>Mid Level (3-6 yrs)</t>
        </is>
      </c>
      <c r="G77" s="48" t="inlineStr">
        <is>
          <t>Full-time</t>
        </is>
      </c>
      <c r="H77" s="48" t="inlineStr">
        <is>
          <t>On-site</t>
        </is>
      </c>
      <c r="I77" s="49" t="n">
        <v>4</v>
      </c>
      <c r="J77" s="49" t="n">
        <v>9</v>
      </c>
      <c r="K77" s="48" t="inlineStr">
        <is>
          <t>HR Generalist Activities, Performance Management System, Labour Laws, Employee Grievances</t>
        </is>
      </c>
      <c r="L77" s="56" t="n">
        <v>45972</v>
      </c>
    </row>
    <row r="78">
      <c r="A78" s="48" t="inlineStr">
        <is>
          <t>J0182</t>
        </is>
      </c>
      <c r="B78" s="48" t="inlineStr">
        <is>
          <t>Business Development Executive</t>
        </is>
      </c>
      <c r="C78" s="48" t="inlineStr">
        <is>
          <t>Nlet Solutions</t>
        </is>
      </c>
      <c r="D78" s="48" t="inlineStr">
        <is>
          <t>Jaipur</t>
        </is>
      </c>
      <c r="E78" s="48" t="inlineStr">
        <is>
          <t>Sales &amp; Business Development</t>
        </is>
      </c>
      <c r="F78" s="48" t="n"/>
      <c r="G78" s="48" t="inlineStr">
        <is>
          <t>Full-time</t>
        </is>
      </c>
      <c r="H78" s="48" t="inlineStr">
        <is>
          <t>On-site</t>
        </is>
      </c>
      <c r="I78" s="49" t="n">
        <v>1.44</v>
      </c>
      <c r="J78" s="49" t="n">
        <v>2.88</v>
      </c>
      <c r="K78" s="48" t="inlineStr">
        <is>
          <t>B2B Sales, English, Sales, Lead Generation</t>
        </is>
      </c>
      <c r="L78" s="56" t="n">
        <v>45972</v>
      </c>
    </row>
    <row r="79">
      <c r="A79" s="48" t="inlineStr">
        <is>
          <t>J0268</t>
        </is>
      </c>
      <c r="B79" s="48" t="inlineStr">
        <is>
          <t>senior manager - infrastructure procurement</t>
        </is>
      </c>
      <c r="C79" s="48" t="inlineStr">
        <is>
          <t>Flipkart</t>
        </is>
      </c>
      <c r="D79" s="48" t="inlineStr">
        <is>
          <t>Bengaluru</t>
        </is>
      </c>
      <c r="E79" s="48" t="inlineStr">
        <is>
          <t>Logistics &amp; Supply Chain</t>
        </is>
      </c>
      <c r="F79" s="48" t="inlineStr">
        <is>
          <t>Senior Level (7+ yrs)</t>
        </is>
      </c>
      <c r="G79" s="48" t="inlineStr">
        <is>
          <t>Full-time</t>
        </is>
      </c>
      <c r="H79" s="48" t="inlineStr">
        <is>
          <t>On-site</t>
        </is>
      </c>
      <c r="I79" s="49" t="n">
        <v>20</v>
      </c>
      <c r="J79" s="49" t="n">
        <v>25</v>
      </c>
      <c r="K79" s="48" t="inlineStr">
        <is>
          <t>Warehouse, infrastructure procurement, storage racking, facility procurement</t>
        </is>
      </c>
      <c r="L79" s="56" t="n">
        <v>45974</v>
      </c>
    </row>
    <row r="80">
      <c r="A80" s="48" t="inlineStr">
        <is>
          <t>J0175</t>
        </is>
      </c>
      <c r="B80" s="48" t="inlineStr">
        <is>
          <t>Front Office Associate</t>
        </is>
      </c>
      <c r="C80" s="48" t="inlineStr">
        <is>
          <t>Hilton</t>
        </is>
      </c>
      <c r="D80" s="48" t="inlineStr">
        <is>
          <t>Bengaluru</t>
        </is>
      </c>
      <c r="E80" s="48" t="inlineStr">
        <is>
          <t>Healthcare &amp; Pharma</t>
        </is>
      </c>
      <c r="F80" s="48" t="inlineStr">
        <is>
          <t>Entry Level (0-2 yrs)</t>
        </is>
      </c>
      <c r="G80" s="48" t="inlineStr">
        <is>
          <t>Full-time</t>
        </is>
      </c>
      <c r="H80" s="48" t="inlineStr">
        <is>
          <t>On-site</t>
        </is>
      </c>
      <c r="I80" s="49" t="n"/>
      <c r="J80" s="49" t="n"/>
      <c r="K80" s="48" t="inlineStr">
        <is>
          <t>Housekeeping, Hospitality, Front Office Associate, Front desk</t>
        </is>
      </c>
      <c r="L80" s="56" t="n">
        <v>45973</v>
      </c>
    </row>
    <row r="81">
      <c r="A81" s="48" t="inlineStr">
        <is>
          <t>J0194</t>
        </is>
      </c>
      <c r="B81" s="48" t="inlineStr">
        <is>
          <t>Gen AI / ML Data Scientist - Lead</t>
        </is>
      </c>
      <c r="C81" s="48" t="inlineStr">
        <is>
          <t>Vikruthi Technologies</t>
        </is>
      </c>
      <c r="D81" s="48" t="inlineStr">
        <is>
          <t>Chennai</t>
        </is>
      </c>
      <c r="E81" s="48" t="inlineStr">
        <is>
          <t>IT / Software</t>
        </is>
      </c>
      <c r="F81" s="48" t="inlineStr">
        <is>
          <t>Mid Level (3-6 yrs)</t>
        </is>
      </c>
      <c r="G81" s="48" t="inlineStr">
        <is>
          <t>Full-time</t>
        </is>
      </c>
      <c r="H81" s="48" t="inlineStr">
        <is>
          <t>On-site</t>
        </is>
      </c>
      <c r="I81" s="49" t="n">
        <v>16</v>
      </c>
      <c r="J81" s="49" t="n">
        <v>20</v>
      </c>
      <c r="K81" s="48" t="inlineStr">
        <is>
          <t>Machine Learning, Data Science, Gen AI, Data Scientist</t>
        </is>
      </c>
      <c r="L81" s="56" t="n">
        <v>45973</v>
      </c>
    </row>
    <row r="82">
      <c r="A82" s="48" t="inlineStr">
        <is>
          <t>J0043</t>
        </is>
      </c>
      <c r="B82" s="48" t="inlineStr">
        <is>
          <t>Jr Accountant</t>
        </is>
      </c>
      <c r="C82" s="48" t="inlineStr">
        <is>
          <t>Hayat Placement Services</t>
        </is>
      </c>
      <c r="D82" s="48" t="inlineStr">
        <is>
          <t>Kanpur</t>
        </is>
      </c>
      <c r="E82" s="48" t="inlineStr">
        <is>
          <t>BFSI (Banking/Finance/Insurance)</t>
        </is>
      </c>
      <c r="F82" s="48" t="inlineStr">
        <is>
          <t>Entry Level (0-2 yrs)</t>
        </is>
      </c>
      <c r="G82" s="48" t="inlineStr">
        <is>
          <t>Full-time</t>
        </is>
      </c>
      <c r="H82" s="48" t="inlineStr">
        <is>
          <t>On-site</t>
        </is>
      </c>
      <c r="I82" s="49" t="n">
        <v>1.5</v>
      </c>
      <c r="J82" s="49" t="n">
        <v>2.5</v>
      </c>
      <c r="K82" s="48" t="inlineStr">
        <is>
          <t>Junior Accountant, Accounts, Accounting</t>
        </is>
      </c>
      <c r="L82" s="56" t="n">
        <v>45972</v>
      </c>
    </row>
    <row r="83">
      <c r="A83" s="48" t="inlineStr">
        <is>
          <t>J0273</t>
        </is>
      </c>
      <c r="B83" s="48" t="inlineStr">
        <is>
          <t>Video Editor or Videographer</t>
        </is>
      </c>
      <c r="C83" s="48" t="inlineStr">
        <is>
          <t>Ifinsol Global</t>
        </is>
      </c>
      <c r="D83" s="48" t="inlineStr">
        <is>
          <t>Bengaluru</t>
        </is>
      </c>
      <c r="E83" s="48" t="inlineStr">
        <is>
          <t>Media &amp; Entertainment</t>
        </is>
      </c>
      <c r="F83" s="48" t="inlineStr">
        <is>
          <t>Mid Level (3-6 yrs)</t>
        </is>
      </c>
      <c r="G83" s="48" t="inlineStr">
        <is>
          <t>Full-time</t>
        </is>
      </c>
      <c r="H83" s="48" t="inlineStr">
        <is>
          <t>Hybrid</t>
        </is>
      </c>
      <c r="I83" s="49" t="n"/>
      <c r="J83" s="49" t="n"/>
      <c r="K83" s="48" t="inlineStr">
        <is>
          <t>Adobe Creative Suite, Video Editing, Videography, Editing</t>
        </is>
      </c>
      <c r="L83" s="56" t="n">
        <v>45976</v>
      </c>
    </row>
    <row r="84">
      <c r="A84" s="48" t="inlineStr">
        <is>
          <t>J0091</t>
        </is>
      </c>
      <c r="B84" s="48" t="inlineStr">
        <is>
          <t>Video Editor</t>
        </is>
      </c>
      <c r="C84" s="48" t="inlineStr">
        <is>
          <t>Reva Hr Consultancy</t>
        </is>
      </c>
      <c r="D84" s="48" t="inlineStr">
        <is>
          <t>Noida</t>
        </is>
      </c>
      <c r="E84" s="48" t="inlineStr">
        <is>
          <t>Marketing &amp; Advertising</t>
        </is>
      </c>
      <c r="F84" s="48" t="inlineStr">
        <is>
          <t>Mid Level (3-6 yrs)</t>
        </is>
      </c>
      <c r="G84" s="48" t="inlineStr">
        <is>
          <t>Full-time</t>
        </is>
      </c>
      <c r="H84" s="48" t="inlineStr">
        <is>
          <t>On-site</t>
        </is>
      </c>
      <c r="I84" s="49" t="n">
        <v>3.6</v>
      </c>
      <c r="J84" s="49" t="n">
        <v>4.8</v>
      </c>
      <c r="K84" s="48" t="inlineStr">
        <is>
          <t>Adobe Premiere Pro, Video Editing, Audio Editing, Composing</t>
        </is>
      </c>
      <c r="L84" s="56" t="n">
        <v>45973</v>
      </c>
    </row>
    <row r="85">
      <c r="A85" s="48" t="inlineStr">
        <is>
          <t>J0410</t>
        </is>
      </c>
      <c r="B85" s="48" t="inlineStr">
        <is>
          <t>Divisional Manager - Tied Agency</t>
        </is>
      </c>
      <c r="C85" s="48" t="inlineStr">
        <is>
          <t>Kotak Life Insurance</t>
        </is>
      </c>
      <c r="D85" s="48" t="inlineStr">
        <is>
          <t>Nagpur</t>
        </is>
      </c>
      <c r="E85" s="48" t="inlineStr">
        <is>
          <t>Sales &amp; Business Development</t>
        </is>
      </c>
      <c r="F85" s="48" t="inlineStr">
        <is>
          <t>Senior Level (7+ yrs)</t>
        </is>
      </c>
      <c r="G85" s="48" t="inlineStr">
        <is>
          <t>Full-time</t>
        </is>
      </c>
      <c r="H85" s="48" t="inlineStr">
        <is>
          <t>On-site</t>
        </is>
      </c>
      <c r="I85" s="49" t="n">
        <v>14</v>
      </c>
      <c r="J85" s="49" t="n">
        <v>17</v>
      </c>
      <c r="K85" s="48" t="inlineStr">
        <is>
          <t>Agency Development, Tied Channel, Agency Channel, Branch Management</t>
        </is>
      </c>
      <c r="L85" s="56" t="n">
        <v>45968</v>
      </c>
    </row>
    <row r="86">
      <c r="A86" s="48" t="inlineStr">
        <is>
          <t>J0014</t>
        </is>
      </c>
      <c r="B86" s="48" t="inlineStr">
        <is>
          <t>BPO VOICE Process-Telugu/TAMIL/Malayalam/Kannada</t>
        </is>
      </c>
      <c r="C86" s="48" t="inlineStr">
        <is>
          <t>Takecare Manpower Services</t>
        </is>
      </c>
      <c r="D86" s="48" t="inlineStr">
        <is>
          <t>Chennai</t>
        </is>
      </c>
      <c r="E86" s="48" t="inlineStr">
        <is>
          <t>Customer Service &amp; BPO</t>
        </is>
      </c>
      <c r="F86" s="48" t="inlineStr">
        <is>
          <t>Entry Level (0-2 yrs)</t>
        </is>
      </c>
      <c r="G86" s="48" t="inlineStr">
        <is>
          <t>Full-time</t>
        </is>
      </c>
      <c r="H86" s="48" t="inlineStr">
        <is>
          <t>On-site</t>
        </is>
      </c>
      <c r="I86" s="49" t="n">
        <v>1.5</v>
      </c>
      <c r="J86" s="49" t="n">
        <v>2.25</v>
      </c>
      <c r="K86" s="48" t="inlineStr">
        <is>
          <t>Communication Skills, Verbal Communication, Interpersonal Skills, Interpersonal</t>
        </is>
      </c>
      <c r="L86" s="56" t="n">
        <v>45972</v>
      </c>
    </row>
    <row r="87">
      <c r="A87" s="48" t="inlineStr">
        <is>
          <t>J0278</t>
        </is>
      </c>
      <c r="B87" s="48" t="inlineStr">
        <is>
          <t>Individual Relationship Officer - HL</t>
        </is>
      </c>
      <c r="C87" s="48" t="inlineStr">
        <is>
          <t>SMFG INDIA CREDIT COMPANY</t>
        </is>
      </c>
      <c r="D87" s="48" t="inlineStr">
        <is>
          <t>Nanjangud</t>
        </is>
      </c>
      <c r="E87" s="48" t="inlineStr">
        <is>
          <t>BFSI (Banking/Finance/Insurance)</t>
        </is>
      </c>
      <c r="F87" s="48" t="inlineStr">
        <is>
          <t>Entry Level (0-2 yrs)</t>
        </is>
      </c>
      <c r="G87" s="48" t="inlineStr">
        <is>
          <t>Full-time</t>
        </is>
      </c>
      <c r="H87" s="48" t="inlineStr">
        <is>
          <t>On-site</t>
        </is>
      </c>
      <c r="I87" s="49" t="n">
        <v>2.5</v>
      </c>
      <c r="J87" s="49" t="n">
        <v>3.5</v>
      </c>
      <c r="K87" s="48" t="inlineStr">
        <is>
          <t>Housing Finance, Housing Loan, Sales, Mortgage Loans</t>
        </is>
      </c>
      <c r="L87" s="56" t="n">
        <v>45970</v>
      </c>
    </row>
    <row r="88">
      <c r="A88" s="48" t="inlineStr">
        <is>
          <t>J0037</t>
        </is>
      </c>
      <c r="B88" s="48" t="inlineStr">
        <is>
          <t>Plant Manager</t>
        </is>
      </c>
      <c r="C88" s="48" t="inlineStr">
        <is>
          <t>Dlecta Foods</t>
        </is>
      </c>
      <c r="D88" s="48" t="inlineStr">
        <is>
          <t>Khopoli</t>
        </is>
      </c>
      <c r="E88" s="48" t="inlineStr">
        <is>
          <t>Manufacturing &amp; Engineering</t>
        </is>
      </c>
      <c r="F88" s="48" t="inlineStr">
        <is>
          <t>Senior Level (7+ yrs)</t>
        </is>
      </c>
      <c r="G88" s="48" t="inlineStr">
        <is>
          <t>Full-time</t>
        </is>
      </c>
      <c r="H88" s="48" t="inlineStr">
        <is>
          <t>On-site</t>
        </is>
      </c>
      <c r="I88" s="49" t="n"/>
      <c r="J88" s="49" t="n"/>
      <c r="K88" s="48" t="inlineStr">
        <is>
          <t>Production, Factory manager, Food Processing, Production head</t>
        </is>
      </c>
      <c r="L88" s="56" t="n">
        <v>45966</v>
      </c>
    </row>
    <row r="89">
      <c r="A89" s="48" t="inlineStr">
        <is>
          <t>J0072</t>
        </is>
      </c>
      <c r="B89" s="48" t="inlineStr">
        <is>
          <t>Wipro-Workday HCM-PAN INDIA</t>
        </is>
      </c>
      <c r="C89" s="48" t="inlineStr">
        <is>
          <t>Wroots Global</t>
        </is>
      </c>
      <c r="D89" s="48" t="inlineStr">
        <is>
          <t>Pune</t>
        </is>
      </c>
      <c r="E89" s="48" t="inlineStr">
        <is>
          <t>Other / General Business</t>
        </is>
      </c>
      <c r="F89" s="48" t="inlineStr">
        <is>
          <t>Senior Level (7+ yrs)</t>
        </is>
      </c>
      <c r="G89" s="48" t="inlineStr">
        <is>
          <t>Full-time</t>
        </is>
      </c>
      <c r="H89" s="48" t="inlineStr">
        <is>
          <t>Hybrid</t>
        </is>
      </c>
      <c r="I89" s="49" t="n">
        <v>25</v>
      </c>
      <c r="J89" s="49" t="n">
        <v>35</v>
      </c>
      <c r="K89" s="48" t="inlineStr">
        <is>
          <t>Configuration, Workday Hcm, Core Hcm, Workday</t>
        </is>
      </c>
      <c r="L89" s="56" t="n">
        <v>45974</v>
      </c>
    </row>
    <row r="90">
      <c r="A90" s="48" t="inlineStr">
        <is>
          <t>J0334</t>
        </is>
      </c>
      <c r="B90" s="48" t="inlineStr">
        <is>
          <t>Assistant Sales Manager - Proactive</t>
        </is>
      </c>
      <c r="C90" s="48" t="inlineStr">
        <is>
          <t>Naukri Hospitality Jobs</t>
        </is>
      </c>
      <c r="D90" s="48" t="inlineStr">
        <is>
          <t>Mumbai</t>
        </is>
      </c>
      <c r="E90" s="48" t="inlineStr">
        <is>
          <t>Marketing &amp; Advertising</t>
        </is>
      </c>
      <c r="F90" s="48" t="inlineStr">
        <is>
          <t>Mid Level (3-6 yrs)</t>
        </is>
      </c>
      <c r="G90" s="48" t="inlineStr">
        <is>
          <t>Full-time</t>
        </is>
      </c>
      <c r="H90" s="48" t="inlineStr">
        <is>
          <t>On-site</t>
        </is>
      </c>
      <c r="I90" s="49" t="n"/>
      <c r="J90" s="49" t="n"/>
      <c r="K90" s="48" t="inlineStr">
        <is>
          <t>networking, sales analytics, sales, sales management</t>
        </is>
      </c>
      <c r="L90" s="56" t="n">
        <v>45973</v>
      </c>
    </row>
    <row r="91">
      <c r="A91" s="48" t="inlineStr">
        <is>
          <t>J0070</t>
        </is>
      </c>
      <c r="B91" s="48" t="inlineStr">
        <is>
          <t>Bulk Hiring // Voice Process, Blended &amp; chat proces // Salary upto 38k</t>
        </is>
      </c>
      <c r="C91" s="48" t="inlineStr">
        <is>
          <t>Steady Career Consultant</t>
        </is>
      </c>
      <c r="D91" s="48" t="inlineStr">
        <is>
          <t>Delhi</t>
        </is>
      </c>
      <c r="E91" s="48" t="inlineStr">
        <is>
          <t>Hospitality &amp; Travel</t>
        </is>
      </c>
      <c r="F91" s="48" t="inlineStr">
        <is>
          <t>Entry Level (0-2 yrs)</t>
        </is>
      </c>
      <c r="G91" s="48" t="inlineStr">
        <is>
          <t>Full-time</t>
        </is>
      </c>
      <c r="H91" s="48" t="inlineStr">
        <is>
          <t>On-site</t>
        </is>
      </c>
      <c r="I91" s="49" t="n">
        <v>2</v>
      </c>
      <c r="J91" s="49" t="n">
        <v>6</v>
      </c>
      <c r="K91" s="48" t="inlineStr">
        <is>
          <t>Barclays, Admiral Solutions, Us Voice Process, International Voice Process</t>
        </is>
      </c>
      <c r="L91" s="56" t="n">
        <v>45973</v>
      </c>
    </row>
    <row r="92">
      <c r="A92" s="48" t="inlineStr">
        <is>
          <t>J0316</t>
        </is>
      </c>
      <c r="B92" s="48" t="inlineStr">
        <is>
          <t>Orthopedician JOB IN Tiruppur, Tamilnadu, INDIA</t>
        </is>
      </c>
      <c r="C92" s="48" t="inlineStr">
        <is>
          <t>Migrate Medico</t>
        </is>
      </c>
      <c r="D92" s="48" t="inlineStr">
        <is>
          <t>Tiruppur</t>
        </is>
      </c>
      <c r="E92" s="48" t="inlineStr">
        <is>
          <t>Other / General Business</t>
        </is>
      </c>
      <c r="F92" s="48" t="inlineStr">
        <is>
          <t>Mid Level (3-6 yrs)</t>
        </is>
      </c>
      <c r="G92" s="48" t="inlineStr">
        <is>
          <t>Full-time</t>
        </is>
      </c>
      <c r="H92" s="48" t="inlineStr">
        <is>
          <t>On-site</t>
        </is>
      </c>
      <c r="I92" s="49" t="n">
        <v>18</v>
      </c>
      <c r="J92" s="49" t="n">
        <v>25</v>
      </c>
      <c r="K92" s="48" t="inlineStr">
        <is>
          <t>MS, ORTHOPEDICIAN, CONSULTANT ORTHOPEDICIAN, Microsoft</t>
        </is>
      </c>
      <c r="L92" s="56" t="n">
        <v>45973</v>
      </c>
    </row>
    <row r="93">
      <c r="A93" s="48" t="inlineStr">
        <is>
          <t>J0259</t>
        </is>
      </c>
      <c r="B93" s="48" t="inlineStr">
        <is>
          <t>Cybersecurity Specialist / Analyst</t>
        </is>
      </c>
      <c r="C93" s="48" t="inlineStr">
        <is>
          <t>ti Steps</t>
        </is>
      </c>
      <c r="D93" s="48" t="inlineStr">
        <is>
          <t>Hyderabad</t>
        </is>
      </c>
      <c r="E93" s="48" t="inlineStr">
        <is>
          <t>IT / Software</t>
        </is>
      </c>
      <c r="F93" s="48" t="inlineStr">
        <is>
          <t>Entry Level (0-2 yrs)</t>
        </is>
      </c>
      <c r="G93" s="48" t="inlineStr">
        <is>
          <t>Full-time</t>
        </is>
      </c>
      <c r="H93" s="48" t="inlineStr">
        <is>
          <t>On-site</t>
        </is>
      </c>
      <c r="I93" s="49" t="n">
        <v>2.5</v>
      </c>
      <c r="J93" s="49" t="n">
        <v>4.5</v>
      </c>
      <c r="K93" s="48" t="inlineStr">
        <is>
          <t>Openvas, Cyber Security, SIEM, IDS</t>
        </is>
      </c>
      <c r="L93" s="56" t="n">
        <v>45973</v>
      </c>
    </row>
    <row r="94">
      <c r="A94" s="48" t="inlineStr">
        <is>
          <t>J0110</t>
        </is>
      </c>
      <c r="B94" s="48" t="inlineStr">
        <is>
          <t>Customer Support Executive - Call now - HR HUDA</t>
        </is>
      </c>
      <c r="C94" s="48" t="inlineStr">
        <is>
          <t>KVC CONSULTANTS LTD</t>
        </is>
      </c>
      <c r="D94" s="48" t="inlineStr">
        <is>
          <t>Gurugram</t>
        </is>
      </c>
      <c r="E94" s="48" t="inlineStr">
        <is>
          <t>HR &amp; Staffing</t>
        </is>
      </c>
      <c r="F94" s="48" t="inlineStr">
        <is>
          <t>Entry Level (0-2 yrs)</t>
        </is>
      </c>
      <c r="G94" s="48" t="inlineStr">
        <is>
          <t>Full-time</t>
        </is>
      </c>
      <c r="H94" s="48" t="inlineStr">
        <is>
          <t>On-site</t>
        </is>
      </c>
      <c r="I94" s="49" t="n">
        <v>2.5</v>
      </c>
      <c r="J94" s="49" t="n">
        <v>4.75</v>
      </c>
      <c r="K94" s="48" t="inlineStr">
        <is>
          <t>International Voice Process, BPO, Fluent English, Bpo Customer Service</t>
        </is>
      </c>
      <c r="L94" s="56" t="n">
        <v>45973</v>
      </c>
    </row>
    <row r="95">
      <c r="A95" s="48" t="inlineStr">
        <is>
          <t>J0163</t>
        </is>
      </c>
      <c r="B95" s="48" t="inlineStr">
        <is>
          <t>Accessories &amp; Procurement Manager - Delhi</t>
        </is>
      </c>
      <c r="C95" s="48" t="inlineStr">
        <is>
          <t>Galaxy Automobiles</t>
        </is>
      </c>
      <c r="D95" s="48" t="inlineStr">
        <is>
          <t xml:space="preserve"> Gurugram</t>
        </is>
      </c>
      <c r="E95" s="48" t="inlineStr">
        <is>
          <t>Logistics &amp; Supply Chain</t>
        </is>
      </c>
      <c r="F95" s="48" t="inlineStr">
        <is>
          <t>Senior Level (7+ yrs)</t>
        </is>
      </c>
      <c r="G95" s="48" t="inlineStr">
        <is>
          <t>Full-time</t>
        </is>
      </c>
      <c r="H95" s="48" t="inlineStr">
        <is>
          <t>On-site</t>
        </is>
      </c>
      <c r="I95" s="49" t="n">
        <v>0.5</v>
      </c>
      <c r="J95" s="49" t="n">
        <v>0.9</v>
      </c>
      <c r="K95" s="48" t="inlineStr">
        <is>
          <t>commodities sales, vehicle accessories, Business Development, corporate sales</t>
        </is>
      </c>
      <c r="L95" s="56" t="n">
        <v>45970</v>
      </c>
    </row>
    <row r="96">
      <c r="A96" s="48" t="inlineStr">
        <is>
          <t>J0022</t>
        </is>
      </c>
      <c r="B96" s="48" t="inlineStr">
        <is>
          <t>Safety Officer</t>
        </is>
      </c>
      <c r="C96" s="48" t="inlineStr">
        <is>
          <t>Arvind Limited</t>
        </is>
      </c>
      <c r="D96" s="48" t="inlineStr">
        <is>
          <t>Arsikere</t>
        </is>
      </c>
      <c r="E96" s="48" t="inlineStr">
        <is>
          <t>BFSI (Banking/Finance/Insurance)</t>
        </is>
      </c>
      <c r="F96" s="48" t="inlineStr">
        <is>
          <t>Entry Level (0-2 yrs)</t>
        </is>
      </c>
      <c r="G96" s="48" t="inlineStr">
        <is>
          <t>Full-time</t>
        </is>
      </c>
      <c r="H96" s="48" t="inlineStr">
        <is>
          <t>On-site</t>
        </is>
      </c>
      <c r="I96" s="49" t="n">
        <v>2.25</v>
      </c>
      <c r="J96" s="49" t="n">
        <v>3.5</v>
      </c>
      <c r="K96" s="48" t="inlineStr">
        <is>
          <t>Safety Officer Activities, Safety Compliance, Safety Audit, Auditing</t>
        </is>
      </c>
      <c r="L96" s="56" t="n">
        <v>45973</v>
      </c>
    </row>
    <row r="97">
      <c r="A97" s="48" t="inlineStr">
        <is>
          <t>J0266</t>
        </is>
      </c>
      <c r="B97" s="48" t="inlineStr">
        <is>
          <t>Paintshop Maintenance In-Charge (Mechanical &amp; Electrical)</t>
        </is>
      </c>
      <c r="C97" s="48" t="inlineStr">
        <is>
          <t>Shri Ekvira Manufacturers And Coats Private Limite D</t>
        </is>
      </c>
      <c r="D97" s="48" t="inlineStr">
        <is>
          <t>Nashik</t>
        </is>
      </c>
      <c r="E97" s="48" t="inlineStr">
        <is>
          <t>Manufacturing &amp; Engineering</t>
        </is>
      </c>
      <c r="F97" s="48" t="inlineStr">
        <is>
          <t>Mid Level (3-6 yrs)</t>
        </is>
      </c>
      <c r="G97" s="48" t="inlineStr">
        <is>
          <t>Full-time</t>
        </is>
      </c>
      <c r="H97" s="48" t="inlineStr">
        <is>
          <t>On-site</t>
        </is>
      </c>
      <c r="I97" s="49" t="n">
        <v>0.5</v>
      </c>
      <c r="J97" s="49" t="n">
        <v>0.9</v>
      </c>
      <c r="K97" s="48" t="inlineStr">
        <is>
          <t>KNOWLEDGE OF Conveyors, Gearboxes, Paint circulation system maintenance, Spray booth &amp; oven maintenance</t>
        </is>
      </c>
      <c r="L97" s="56" t="n">
        <v>45973</v>
      </c>
    </row>
    <row r="98">
      <c r="A98" s="48" t="inlineStr">
        <is>
          <t>J0075</t>
        </is>
      </c>
      <c r="B98" s="48" t="inlineStr">
        <is>
          <t>CSSD Technician</t>
        </is>
      </c>
      <c r="C98" s="48" t="inlineStr">
        <is>
          <t>Surya Hospital</t>
        </is>
      </c>
      <c r="D98" s="48" t="inlineStr">
        <is>
          <t>Pune</t>
        </is>
      </c>
      <c r="E98" s="48" t="inlineStr">
        <is>
          <t>Other / General Business</t>
        </is>
      </c>
      <c r="F98" s="48" t="inlineStr">
        <is>
          <t>Entry Level (0-2 yrs)</t>
        </is>
      </c>
      <c r="G98" s="48" t="inlineStr">
        <is>
          <t>Full-time</t>
        </is>
      </c>
      <c r="H98" s="48" t="inlineStr">
        <is>
          <t>On-site</t>
        </is>
      </c>
      <c r="I98" s="49" t="n">
        <v>2</v>
      </c>
      <c r="J98" s="49" t="n">
        <v>3</v>
      </c>
      <c r="K98" s="48" t="inlineStr">
        <is>
          <t>CSSD TECHNICIAN CERTIFICATION</t>
        </is>
      </c>
      <c r="L98" s="56" t="n">
        <v>45976</v>
      </c>
    </row>
    <row r="99">
      <c r="A99" s="48" t="inlineStr">
        <is>
          <t>J0168</t>
        </is>
      </c>
      <c r="B99" s="48" t="inlineStr">
        <is>
          <t>Environmental Health and Safety Officer</t>
        </is>
      </c>
      <c r="C99" s="48" t="inlineStr">
        <is>
          <t>NMS Consultants</t>
        </is>
      </c>
      <c r="D99" s="48" t="inlineStr">
        <is>
          <t>Gurugram</t>
        </is>
      </c>
      <c r="E99" s="48" t="inlineStr">
        <is>
          <t>Healthcare &amp; Pharma</t>
        </is>
      </c>
      <c r="F99" s="48" t="inlineStr">
        <is>
          <t>Senior Level (7+ yrs)</t>
        </is>
      </c>
      <c r="G99" s="48" t="inlineStr">
        <is>
          <t>Full-time</t>
        </is>
      </c>
      <c r="H99" s="48" t="inlineStr">
        <is>
          <t>On-site</t>
        </is>
      </c>
      <c r="I99" s="49" t="n">
        <v>11</v>
      </c>
      <c r="J99" s="49" t="n">
        <v>12</v>
      </c>
      <c r="K99" s="48" t="inlineStr">
        <is>
          <t>Iso Standards, HIRA, EHS training, Ehs Compliance</t>
        </is>
      </c>
      <c r="L99" s="56" t="n">
        <v>45974</v>
      </c>
    </row>
    <row r="100">
      <c r="A100" s="48" t="inlineStr">
        <is>
          <t>J0193</t>
        </is>
      </c>
      <c r="B100" s="48" t="inlineStr">
        <is>
          <t>Sr Java Developer</t>
        </is>
      </c>
      <c r="C100" s="48" t="inlineStr">
        <is>
          <t>BMC Software</t>
        </is>
      </c>
      <c r="D100" s="48" t="inlineStr">
        <is>
          <t>Pune</t>
        </is>
      </c>
      <c r="E100" s="48" t="inlineStr">
        <is>
          <t>IT / Software</t>
        </is>
      </c>
      <c r="F100" s="48" t="inlineStr">
        <is>
          <t>Senior Level (7+ yrs)</t>
        </is>
      </c>
      <c r="G100" s="48" t="inlineStr">
        <is>
          <t>Full-time</t>
        </is>
      </c>
      <c r="H100" s="48" t="inlineStr">
        <is>
          <t>On-site</t>
        </is>
      </c>
      <c r="I100" s="49" t="n">
        <v>30</v>
      </c>
      <c r="J100" s="49" t="n">
        <v>40</v>
      </c>
      <c r="K100" s="48" t="inlineStr">
        <is>
          <t>microservices, spring boot, java, java application development</t>
        </is>
      </c>
      <c r="L100" s="56" t="n">
        <v>45966</v>
      </c>
    </row>
    <row r="101">
      <c r="A101" s="48" t="inlineStr">
        <is>
          <t>J0082</t>
        </is>
      </c>
      <c r="B101" s="48" t="inlineStr">
        <is>
          <t>Data Analyst</t>
        </is>
      </c>
      <c r="C101" s="48" t="inlineStr">
        <is>
          <t>Techno Facts Solutions</t>
        </is>
      </c>
      <c r="D101" s="48" t="inlineStr">
        <is>
          <t xml:space="preserve">bengaluru </t>
        </is>
      </c>
      <c r="E101" s="48" t="inlineStr">
        <is>
          <t>IT / Software</t>
        </is>
      </c>
      <c r="F101" s="48" t="inlineStr">
        <is>
          <t>Mid Level (3-6 yrs)</t>
        </is>
      </c>
      <c r="G101" s="48" t="inlineStr">
        <is>
          <t>Full-time</t>
        </is>
      </c>
      <c r="H101" s="48" t="inlineStr">
        <is>
          <t>On-site</t>
        </is>
      </c>
      <c r="I101" s="49" t="n">
        <v>10</v>
      </c>
      <c r="J101" s="49" t="n">
        <v>20</v>
      </c>
      <c r="K101" s="48" t="inlineStr">
        <is>
          <t>data analysis, Power Bi, Big Data, data engineering</t>
        </is>
      </c>
      <c r="L101" s="56" t="n">
        <v>45969</v>
      </c>
    </row>
    <row r="102">
      <c r="A102" s="48" t="inlineStr">
        <is>
          <t>J0306</t>
        </is>
      </c>
      <c r="B102" s="48" t="inlineStr">
        <is>
          <t>Application Specialist RTR</t>
        </is>
      </c>
      <c r="C102" s="48" t="inlineStr">
        <is>
          <t>Lixil Asia</t>
        </is>
      </c>
      <c r="D102" s="48" t="inlineStr">
        <is>
          <t xml:space="preserve"> Gurugram</t>
        </is>
      </c>
      <c r="E102" s="48" t="inlineStr">
        <is>
          <t>IT / Software</t>
        </is>
      </c>
      <c r="F102" s="48" t="inlineStr">
        <is>
          <t>Entry Level (0-2 yrs)</t>
        </is>
      </c>
      <c r="G102" s="48" t="inlineStr">
        <is>
          <t>Full-time</t>
        </is>
      </c>
      <c r="H102" s="48" t="inlineStr">
        <is>
          <t>On-site</t>
        </is>
      </c>
      <c r="I102" s="49" t="n"/>
      <c r="J102" s="49" t="n"/>
      <c r="K102" s="48" t="inlineStr">
        <is>
          <t>sap s hana, sap fiori, sap basis, presentation skills</t>
        </is>
      </c>
      <c r="L102" s="56" t="n">
        <v>45968</v>
      </c>
    </row>
    <row r="103">
      <c r="A103" s="48" t="inlineStr">
        <is>
          <t>J0384</t>
        </is>
      </c>
      <c r="B103" s="48" t="inlineStr">
        <is>
          <t>Accounts Payable Executive</t>
        </is>
      </c>
      <c r="C103" s="48" t="inlineStr">
        <is>
          <t xml:space="preserve">  Remunance Systems  </t>
        </is>
      </c>
      <c r="D103" s="48" t="inlineStr">
        <is>
          <t>Pune</t>
        </is>
      </c>
      <c r="E103" s="48" t="inlineStr">
        <is>
          <t>BFSI (Banking/Finance/Insurance)</t>
        </is>
      </c>
      <c r="F103" s="48" t="inlineStr">
        <is>
          <t>Entry Level (0-2 yrs)</t>
        </is>
      </c>
      <c r="G103" s="48" t="inlineStr">
        <is>
          <t>Full-time</t>
        </is>
      </c>
      <c r="H103" s="48" t="inlineStr">
        <is>
          <t>On-site</t>
        </is>
      </c>
      <c r="I103" s="49" t="n">
        <v>3</v>
      </c>
      <c r="J103" s="49" t="n">
        <v>6</v>
      </c>
      <c r="K103" s="48" t="inlineStr">
        <is>
          <t>Vendor Payments, Invoice Processing, Gst, Zoho Books</t>
        </is>
      </c>
      <c r="L103" s="56" t="n">
        <v>45972</v>
      </c>
    </row>
    <row r="104">
      <c r="A104" s="48" t="inlineStr">
        <is>
          <t>J0250</t>
        </is>
      </c>
      <c r="B104" s="48" t="inlineStr">
        <is>
          <t xml:space="preserve">  Spark Scala Developer  </t>
        </is>
      </c>
      <c r="C104" s="48" t="inlineStr">
        <is>
          <t>Tata Consultancy Services</t>
        </is>
      </c>
      <c r="D104" s="48" t="inlineStr">
        <is>
          <t>Hyderabad</t>
        </is>
      </c>
      <c r="E104" s="48" t="inlineStr">
        <is>
          <t>IT / Software</t>
        </is>
      </c>
      <c r="F104" s="48" t="inlineStr">
        <is>
          <t>Senior Level (7+ yrs)</t>
        </is>
      </c>
      <c r="G104" s="48" t="inlineStr">
        <is>
          <t>Full-time</t>
        </is>
      </c>
      <c r="H104" s="48" t="inlineStr">
        <is>
          <t>On-site</t>
        </is>
      </c>
      <c r="I104" s="49" t="n"/>
      <c r="J104" s="49" t="n"/>
      <c r="K104" s="48" t="inlineStr">
        <is>
          <t>Hive, SCALA, Spark, Development</t>
        </is>
      </c>
      <c r="L104" s="56" t="n">
        <v>45976</v>
      </c>
    </row>
    <row r="105">
      <c r="A105" s="48" t="inlineStr">
        <is>
          <t>J0151</t>
        </is>
      </c>
      <c r="B105" s="48" t="inlineStr">
        <is>
          <t>It Support Engineer</t>
        </is>
      </c>
      <c r="C105" s="48" t="inlineStr">
        <is>
          <t>ValuePoint</t>
        </is>
      </c>
      <c r="D105" s="48" t="inlineStr">
        <is>
          <t>Pune</t>
        </is>
      </c>
      <c r="E105" s="48" t="inlineStr">
        <is>
          <t>IT / Software</t>
        </is>
      </c>
      <c r="F105" s="48" t="inlineStr">
        <is>
          <t>Entry Level (0-2 yrs)</t>
        </is>
      </c>
      <c r="G105" s="48" t="inlineStr">
        <is>
          <t>Full-time</t>
        </is>
      </c>
      <c r="H105" s="48" t="inlineStr">
        <is>
          <t>On-site</t>
        </is>
      </c>
      <c r="I105" s="49" t="n">
        <v>2.5</v>
      </c>
      <c r="J105" s="49" t="n">
        <v>3.25</v>
      </c>
      <c r="K105" s="48" t="inlineStr">
        <is>
          <t>Desktop Support, Software Troubleshooting, Outlook Configuration, Hardware Networking</t>
        </is>
      </c>
      <c r="L105" s="56" t="n">
        <v>45976</v>
      </c>
    </row>
    <row r="106">
      <c r="A106" s="48" t="inlineStr">
        <is>
          <t>J0051</t>
        </is>
      </c>
      <c r="B106" s="48" t="inlineStr">
        <is>
          <t>Backend Executive</t>
        </is>
      </c>
      <c r="C106" s="48" t="inlineStr">
        <is>
          <t>PRO Hr Complete Solutions</t>
        </is>
      </c>
      <c r="D106" s="48" t="inlineStr">
        <is>
          <t>Ahmedabad</t>
        </is>
      </c>
      <c r="E106" s="48" t="inlineStr">
        <is>
          <t>IT / Software</t>
        </is>
      </c>
      <c r="F106" s="48" t="inlineStr">
        <is>
          <t>Entry Level (0-2 yrs)</t>
        </is>
      </c>
      <c r="G106" s="48" t="inlineStr">
        <is>
          <t>Full-time</t>
        </is>
      </c>
      <c r="H106" s="48" t="inlineStr">
        <is>
          <t>On-site</t>
        </is>
      </c>
      <c r="I106" s="49" t="n">
        <v>1.75</v>
      </c>
      <c r="J106" s="49" t="n">
        <v>2.25</v>
      </c>
      <c r="K106" s="48" t="inlineStr">
        <is>
          <t>Good English Communication, Advanced Excel, Communication skills, Excel</t>
        </is>
      </c>
      <c r="L106" s="56" t="n">
        <v>45974</v>
      </c>
    </row>
    <row r="107">
      <c r="A107" s="48" t="inlineStr">
        <is>
          <t>J0186</t>
        </is>
      </c>
      <c r="B107" s="48" t="inlineStr">
        <is>
          <t>Hiring For Team Member @ Cafe Coffee Day</t>
        </is>
      </c>
      <c r="C107" s="48" t="inlineStr">
        <is>
          <t>Coffee Day Global</t>
        </is>
      </c>
      <c r="D107" s="48" t="inlineStr">
        <is>
          <t>Coimbatore</t>
        </is>
      </c>
      <c r="E107" s="48" t="inlineStr">
        <is>
          <t>Healthcare &amp; Pharma</t>
        </is>
      </c>
      <c r="F107" s="48" t="inlineStr">
        <is>
          <t>Entry Level (0-2 yrs)</t>
        </is>
      </c>
      <c r="G107" s="48" t="inlineStr">
        <is>
          <t>Full-time</t>
        </is>
      </c>
      <c r="H107" s="48" t="inlineStr">
        <is>
          <t>On-site</t>
        </is>
      </c>
      <c r="I107" s="49" t="n">
        <v>2</v>
      </c>
      <c r="J107" s="49" t="n">
        <v>2.75</v>
      </c>
      <c r="K107" s="48" t="inlineStr">
        <is>
          <t>Hospitality, Hotel Management, Restaurant, Food And Beverage</t>
        </is>
      </c>
      <c r="L107" s="56" t="n">
        <v>45968</v>
      </c>
    </row>
    <row r="108">
      <c r="A108" s="48" t="inlineStr">
        <is>
          <t>J0335</t>
        </is>
      </c>
      <c r="B108" s="48" t="inlineStr">
        <is>
          <t xml:space="preserve">  Accounts And Finance Manager  </t>
        </is>
      </c>
      <c r="C108" s="48" t="inlineStr">
        <is>
          <t>Omam Consultants</t>
        </is>
      </c>
      <c r="D108" s="48" t="inlineStr">
        <is>
          <t>Bhuj</t>
        </is>
      </c>
      <c r="E108" s="48" t="inlineStr">
        <is>
          <t>BFSI (Banking/Finance/Insurance)</t>
        </is>
      </c>
      <c r="F108" s="48" t="inlineStr">
        <is>
          <t>Senior Level (7+ yrs)</t>
        </is>
      </c>
      <c r="G108" s="48" t="inlineStr">
        <is>
          <t>Full-time</t>
        </is>
      </c>
      <c r="H108" s="48" t="inlineStr">
        <is>
          <t>On-site</t>
        </is>
      </c>
      <c r="I108" s="49" t="n">
        <v>30</v>
      </c>
      <c r="J108" s="49" t="n">
        <v>45</v>
      </c>
      <c r="K108" s="48" t="inlineStr">
        <is>
          <t>Tax Audit, Finance And Accounts, Gst, Plant Accounting</t>
        </is>
      </c>
      <c r="L108" s="56" t="n">
        <v>45974</v>
      </c>
    </row>
    <row r="109">
      <c r="A109" s="48" t="inlineStr">
        <is>
          <t>J0104</t>
        </is>
      </c>
      <c r="B109" s="48" t="inlineStr">
        <is>
          <t>Automation Tester</t>
        </is>
      </c>
      <c r="C109" s="48" t="inlineStr">
        <is>
          <t>Bounteous x Accolite</t>
        </is>
      </c>
      <c r="D109" s="48" t="inlineStr">
        <is>
          <t>Bangalore</t>
        </is>
      </c>
      <c r="E109" s="48" t="inlineStr">
        <is>
          <t>IT / Software</t>
        </is>
      </c>
      <c r="F109" s="48" t="inlineStr">
        <is>
          <t>Mid Level (3-6 yrs)</t>
        </is>
      </c>
      <c r="G109" s="48" t="inlineStr">
        <is>
          <t>Full-time</t>
        </is>
      </c>
      <c r="H109" s="48" t="inlineStr">
        <is>
          <t>On-site</t>
        </is>
      </c>
      <c r="I109" s="49" t="n"/>
      <c r="J109" s="49" t="n"/>
      <c r="K109" s="48" t="inlineStr">
        <is>
          <t>Ui Automation Testing, API Testing, Automation Testing, Java</t>
        </is>
      </c>
      <c r="L109" s="56" t="n">
        <v>45969</v>
      </c>
    </row>
    <row r="110">
      <c r="A110" s="48" t="inlineStr">
        <is>
          <t>J0150</t>
        </is>
      </c>
      <c r="B110" s="48" t="inlineStr">
        <is>
          <t>Bajaj Housing Finance | Sales Manager | Salary upto 7.5L</t>
        </is>
      </c>
      <c r="C110" s="48" t="inlineStr">
        <is>
          <t>Talent Visionary Ahmedabad</t>
        </is>
      </c>
      <c r="D110" s="48" t="inlineStr">
        <is>
          <t>Ahmedabad</t>
        </is>
      </c>
      <c r="E110" s="48" t="inlineStr">
        <is>
          <t>BFSI (Banking/Finance/Insurance)</t>
        </is>
      </c>
      <c r="F110" s="48" t="inlineStr">
        <is>
          <t>Entry Level (0-2 yrs)</t>
        </is>
      </c>
      <c r="G110" s="48" t="inlineStr">
        <is>
          <t>Full-time</t>
        </is>
      </c>
      <c r="H110" s="48" t="inlineStr">
        <is>
          <t>On-site</t>
        </is>
      </c>
      <c r="I110" s="49" t="n">
        <v>2.5</v>
      </c>
      <c r="J110" s="49" t="n">
        <v>7.5</v>
      </c>
      <c r="K110" s="48" t="inlineStr">
        <is>
          <t>Home Loans, Affordable Housing Loan, Affordable Housing, Loan Against Property</t>
        </is>
      </c>
      <c r="L110" s="56" t="n">
        <v>45974</v>
      </c>
    </row>
    <row r="111">
      <c r="A111" s="48" t="inlineStr">
        <is>
          <t>J0045</t>
        </is>
      </c>
      <c r="B111" s="48" t="inlineStr">
        <is>
          <t>SAP SCM Functional Consultant- MM &amp; EWM</t>
        </is>
      </c>
      <c r="C111" s="48" t="inlineStr">
        <is>
          <t>Imedhas</t>
        </is>
      </c>
      <c r="D111" s="48" t="inlineStr">
        <is>
          <t>Pune</t>
        </is>
      </c>
      <c r="E111" s="48" t="inlineStr">
        <is>
          <t>IT / Software</t>
        </is>
      </c>
      <c r="F111" s="48" t="inlineStr">
        <is>
          <t>Mid Level (3-6 yrs)</t>
        </is>
      </c>
      <c r="G111" s="48" t="inlineStr">
        <is>
          <t>Full-time</t>
        </is>
      </c>
      <c r="H111" s="48" t="inlineStr">
        <is>
          <t>Hybrid</t>
        </is>
      </c>
      <c r="I111" s="49" t="n">
        <v>5</v>
      </c>
      <c r="J111" s="49" t="n">
        <v>8</v>
      </c>
      <c r="K111" s="48" t="inlineStr">
        <is>
          <t>SAP MM, Sap Ewm, Supply Chain, Sap S4 Hana Sd</t>
        </is>
      </c>
      <c r="L111" s="56" t="n">
        <v>45972</v>
      </c>
    </row>
    <row r="112">
      <c r="A112" s="48" t="inlineStr">
        <is>
          <t>J0343</t>
        </is>
      </c>
      <c r="B112" s="48" t="inlineStr">
        <is>
          <t>Customer Service || Upto 7lpa</t>
        </is>
      </c>
      <c r="C112" s="48" t="inlineStr">
        <is>
          <t>Imaginators Try Going Beyond</t>
        </is>
      </c>
      <c r="D112" s="48" t="inlineStr">
        <is>
          <t>Noida</t>
        </is>
      </c>
      <c r="E112" s="48" t="inlineStr">
        <is>
          <t>Customer Service &amp; BPO</t>
        </is>
      </c>
      <c r="F112" s="48" t="inlineStr">
        <is>
          <t>Entry Level (0-2 yrs)</t>
        </is>
      </c>
      <c r="G112" s="48" t="inlineStr">
        <is>
          <t>Full-time</t>
        </is>
      </c>
      <c r="H112" s="48" t="inlineStr">
        <is>
          <t>On-site</t>
        </is>
      </c>
      <c r="I112" s="49" t="n">
        <v>3</v>
      </c>
      <c r="J112" s="49" t="n">
        <v>7</v>
      </c>
      <c r="K112" s="48" t="inlineStr">
        <is>
          <t>Customer Care, International BPO, voice, bpo</t>
        </is>
      </c>
      <c r="L112" s="56" t="n">
        <v>45972</v>
      </c>
    </row>
    <row r="113">
      <c r="A113" s="48" t="inlineStr">
        <is>
          <t>J0069</t>
        </is>
      </c>
      <c r="B113" s="48" t="inlineStr">
        <is>
          <t>Sales Officer</t>
        </is>
      </c>
      <c r="C113" s="48" t="inlineStr">
        <is>
          <t>Bajaj Housing Finance</t>
        </is>
      </c>
      <c r="D113" s="48" t="inlineStr">
        <is>
          <t>Chandigarh</t>
        </is>
      </c>
      <c r="E113" s="48" t="inlineStr">
        <is>
          <t>BFSI (Banking/Finance/Insurance)</t>
        </is>
      </c>
      <c r="F113" s="48" t="inlineStr">
        <is>
          <t>Entry Level (0-2 yrs)</t>
        </is>
      </c>
      <c r="G113" s="48" t="inlineStr">
        <is>
          <t>Full-time</t>
        </is>
      </c>
      <c r="H113" s="48" t="inlineStr">
        <is>
          <t>On-site</t>
        </is>
      </c>
      <c r="I113" s="49" t="n">
        <v>2</v>
      </c>
      <c r="J113" s="49" t="n">
        <v>3</v>
      </c>
      <c r="K113" s="48" t="inlineStr">
        <is>
          <t>Field Sales, home loans, Housing Finance, Sales</t>
        </is>
      </c>
      <c r="L113" s="56" t="n">
        <v>45976</v>
      </c>
    </row>
    <row r="114">
      <c r="A114" s="48" t="inlineStr">
        <is>
          <t>J0308</t>
        </is>
      </c>
      <c r="B114" s="48" t="inlineStr">
        <is>
          <t>Senior Analyst - Property and Casualty Insurance</t>
        </is>
      </c>
      <c r="C114" s="48" t="inlineStr">
        <is>
          <t>Black And White Business Solutions</t>
        </is>
      </c>
      <c r="D114" s="48" t="inlineStr">
        <is>
          <t>Pune</t>
        </is>
      </c>
      <c r="E114" s="48" t="inlineStr">
        <is>
          <t>BFSI (Banking/Finance/Insurance)</t>
        </is>
      </c>
      <c r="F114" s="48" t="inlineStr">
        <is>
          <t>Mid Level (3-6 yrs)</t>
        </is>
      </c>
      <c r="G114" s="48" t="inlineStr">
        <is>
          <t>Full-time</t>
        </is>
      </c>
      <c r="H114" s="48" t="inlineStr">
        <is>
          <t>On-site</t>
        </is>
      </c>
      <c r="I114" s="49" t="n">
        <v>5</v>
      </c>
      <c r="J114" s="49" t="n">
        <v>8.5</v>
      </c>
      <c r="K114" s="48" t="inlineStr">
        <is>
          <t>Commercial insurance, Property And Casualty Insurance, US Insurance, Marine Insurance</t>
        </is>
      </c>
      <c r="L114" s="56" t="n">
        <v>45976</v>
      </c>
    </row>
    <row r="115">
      <c r="A115" s="48" t="inlineStr">
        <is>
          <t>J0099</t>
        </is>
      </c>
      <c r="B115" s="48" t="inlineStr">
        <is>
          <t>Email Support Executive</t>
        </is>
      </c>
      <c r="C115" s="48" t="inlineStr">
        <is>
          <t>Aneja's Training &amp; Placement Services</t>
        </is>
      </c>
      <c r="D115" s="48" t="inlineStr">
        <is>
          <t>Mohali</t>
        </is>
      </c>
      <c r="E115" s="48" t="inlineStr">
        <is>
          <t>Customer Service &amp; BPO</t>
        </is>
      </c>
      <c r="F115" s="48" t="inlineStr">
        <is>
          <t>Entry Level (0-2 yrs)</t>
        </is>
      </c>
      <c r="G115" s="48" t="inlineStr">
        <is>
          <t>Full-time</t>
        </is>
      </c>
      <c r="H115" s="48" t="inlineStr">
        <is>
          <t>On-site</t>
        </is>
      </c>
      <c r="I115" s="49" t="n">
        <v>2.75</v>
      </c>
      <c r="J115" s="49" t="n">
        <v>3</v>
      </c>
      <c r="K115" s="48" t="inlineStr">
        <is>
          <t>Email Support, International Non Voice, Chat Support, Bpo Non Voice</t>
        </is>
      </c>
      <c r="L115" s="56" t="n">
        <v>45973</v>
      </c>
    </row>
    <row r="116">
      <c r="A116" s="48" t="inlineStr">
        <is>
          <t>J0077</t>
        </is>
      </c>
      <c r="B116" s="48" t="inlineStr">
        <is>
          <t>Sales Officer Home Loan</t>
        </is>
      </c>
      <c r="C116" s="48" t="inlineStr">
        <is>
          <t>Brightfuture Consultant</t>
        </is>
      </c>
      <c r="D116" s="48" t="inlineStr">
        <is>
          <t>Patiala</t>
        </is>
      </c>
      <c r="E116" s="48" t="inlineStr">
        <is>
          <t>BFSI (Banking/Finance/Insurance)</t>
        </is>
      </c>
      <c r="F116" s="48" t="inlineStr">
        <is>
          <t>Entry Level (0-2 yrs)</t>
        </is>
      </c>
      <c r="G116" s="48" t="inlineStr">
        <is>
          <t>Full-time</t>
        </is>
      </c>
      <c r="H116" s="48" t="inlineStr">
        <is>
          <t>On-site</t>
        </is>
      </c>
      <c r="I116" s="49" t="n"/>
      <c r="J116" s="49" t="n"/>
      <c r="K116" s="48" t="inlineStr">
        <is>
          <t>mortgage, business loan, channel sales, team handling</t>
        </is>
      </c>
      <c r="L116" s="56" t="n">
        <v>45976</v>
      </c>
    </row>
    <row r="117">
      <c r="A117" s="48" t="inlineStr">
        <is>
          <t>J0217</t>
        </is>
      </c>
      <c r="B117" s="48" t="inlineStr">
        <is>
          <t>Big Data Engineer</t>
        </is>
      </c>
      <c r="C117" s="48" t="inlineStr">
        <is>
          <t>Purview Services</t>
        </is>
      </c>
      <c r="D117" s="48" t="inlineStr">
        <is>
          <t>Kolar</t>
        </is>
      </c>
      <c r="E117" s="48" t="inlineStr">
        <is>
          <t>IT / Software</t>
        </is>
      </c>
      <c r="F117" s="48" t="inlineStr">
        <is>
          <t>Mid Level (3-6 yrs)</t>
        </is>
      </c>
      <c r="G117" s="48" t="inlineStr">
        <is>
          <t>Full-time</t>
        </is>
      </c>
      <c r="H117" s="48" t="inlineStr">
        <is>
          <t>On-site</t>
        </is>
      </c>
      <c r="I117" s="49" t="n">
        <v>15</v>
      </c>
      <c r="J117" s="49" t="n">
        <v>25</v>
      </c>
      <c r="K117" s="48" t="inlineStr">
        <is>
          <t>SCALA, Hadoop, Big Data Engineer, Spark</t>
        </is>
      </c>
      <c r="L117" s="56" t="n">
        <v>45966</v>
      </c>
    </row>
    <row r="118">
      <c r="A118" s="48" t="inlineStr">
        <is>
          <t>J0054</t>
        </is>
      </c>
      <c r="B118" s="48" t="inlineStr">
        <is>
          <t>Hiring For Non Voice- Graduate Fresher Can Apply</t>
        </is>
      </c>
      <c r="C118" s="48" t="inlineStr">
        <is>
          <t>Hexaware Technologies</t>
        </is>
      </c>
      <c r="D118" s="48" t="inlineStr">
        <is>
          <t>Thane</t>
        </is>
      </c>
      <c r="E118" s="48" t="inlineStr">
        <is>
          <t>IT / Software</t>
        </is>
      </c>
      <c r="F118" s="48" t="inlineStr">
        <is>
          <t>Entry Level (0-2 yrs)</t>
        </is>
      </c>
      <c r="G118" s="48" t="inlineStr">
        <is>
          <t>Full-time</t>
        </is>
      </c>
      <c r="H118" s="48" t="inlineStr">
        <is>
          <t>On-site</t>
        </is>
      </c>
      <c r="I118" s="49" t="n">
        <v>1</v>
      </c>
      <c r="J118" s="49" t="n">
        <v>3.25</v>
      </c>
      <c r="K118" s="48" t="n"/>
      <c r="L118" s="56" t="n">
        <v>45974</v>
      </c>
    </row>
    <row r="119">
      <c r="A119" s="48" t="inlineStr">
        <is>
          <t>J0353</t>
        </is>
      </c>
      <c r="B119" s="48" t="inlineStr">
        <is>
          <t>Team Lead</t>
        </is>
      </c>
      <c r="C119" s="48" t="inlineStr">
        <is>
          <t>Envision Consultancy</t>
        </is>
      </c>
      <c r="D119" s="48" t="inlineStr">
        <is>
          <t>Noida</t>
        </is>
      </c>
      <c r="E119" s="48" t="inlineStr">
        <is>
          <t>BFSI (Banking/Finance/Insurance)</t>
        </is>
      </c>
      <c r="F119" s="48" t="inlineStr">
        <is>
          <t>Mid Level (3-6 yrs)</t>
        </is>
      </c>
      <c r="G119" s="48" t="inlineStr">
        <is>
          <t>Full-time</t>
        </is>
      </c>
      <c r="H119" s="48" t="inlineStr">
        <is>
          <t>On-site</t>
        </is>
      </c>
      <c r="I119" s="49" t="n">
        <v>5</v>
      </c>
      <c r="J119" s="49" t="n">
        <v>10</v>
      </c>
      <c r="K119" s="48" t="inlineStr">
        <is>
          <t>team lead, Legal Operations, Collections Process, Banking Collection</t>
        </is>
      </c>
      <c r="L119" s="56" t="n">
        <v>45974</v>
      </c>
    </row>
    <row r="120">
      <c r="A120" s="48" t="inlineStr">
        <is>
          <t>J0405</t>
        </is>
      </c>
      <c r="B120" s="48" t="inlineStr">
        <is>
          <t>Field Sales Executive/Business Development Executives</t>
        </is>
      </c>
      <c r="C120" s="48" t="inlineStr">
        <is>
          <t>Satya Satellite</t>
        </is>
      </c>
      <c r="D120" s="48" t="inlineStr">
        <is>
          <t>Remote</t>
        </is>
      </c>
      <c r="E120" s="48" t="inlineStr">
        <is>
          <t>Sales &amp; Business Development</t>
        </is>
      </c>
      <c r="F120" s="48" t="inlineStr">
        <is>
          <t>Entry Level (0-2 yrs)</t>
        </is>
      </c>
      <c r="G120" s="48" t="inlineStr">
        <is>
          <t>Full-time</t>
        </is>
      </c>
      <c r="H120" s="48" t="inlineStr">
        <is>
          <t>Remote</t>
        </is>
      </c>
      <c r="I120" s="49" t="n">
        <v>10</v>
      </c>
      <c r="J120" s="49" t="n">
        <v>15</v>
      </c>
      <c r="K120" s="48" t="inlineStr">
        <is>
          <t>Communication Skills, Fluent English &amp; Hindi communication skills.  Smart, and strong business acumen.  Sales-oriented with excellent people skills &amp; negotiation ability., confident</t>
        </is>
      </c>
      <c r="L120" s="56" t="n">
        <v>45972</v>
      </c>
    </row>
    <row r="121">
      <c r="A121" s="48" t="inlineStr">
        <is>
          <t>J0181</t>
        </is>
      </c>
      <c r="B121" s="48" t="inlineStr">
        <is>
          <t>Decision Analytics Associate Consultant - India Evidence</t>
        </is>
      </c>
      <c r="C121" s="48" t="inlineStr">
        <is>
          <t>ZS</t>
        </is>
      </c>
      <c r="D121" s="48" t="inlineStr">
        <is>
          <t>Pune</t>
        </is>
      </c>
      <c r="E121" s="48" t="inlineStr">
        <is>
          <t>Other / General Business</t>
        </is>
      </c>
      <c r="F121" s="48" t="inlineStr">
        <is>
          <t>Entry Level (0-2 yrs)</t>
        </is>
      </c>
      <c r="G121" s="48" t="inlineStr">
        <is>
          <t>Full-time</t>
        </is>
      </c>
      <c r="H121" s="48" t="inlineStr">
        <is>
          <t>On-site</t>
        </is>
      </c>
      <c r="I121" s="49" t="n"/>
      <c r="J121" s="49" t="n"/>
      <c r="K121" s="48" t="inlineStr">
        <is>
          <t>Operations research, Visual Basic, SAS, data science</t>
        </is>
      </c>
      <c r="L121" s="56" t="n">
        <v>45976</v>
      </c>
    </row>
    <row r="122">
      <c r="A122" s="48" t="inlineStr">
        <is>
          <t>J0111</t>
        </is>
      </c>
      <c r="B122" s="48" t="inlineStr">
        <is>
          <t>Manager Accounts &amp; Finance For A Reputed Manufacturing Company</t>
        </is>
      </c>
      <c r="C122" s="48" t="inlineStr">
        <is>
          <t>Intelliworx Consulting</t>
        </is>
      </c>
      <c r="D122" s="48" t="inlineStr">
        <is>
          <t>Chandigarh</t>
        </is>
      </c>
      <c r="E122" s="48" t="inlineStr">
        <is>
          <t>IT / Software</t>
        </is>
      </c>
      <c r="F122" s="48" t="inlineStr">
        <is>
          <t>Senior Level (7+ yrs)</t>
        </is>
      </c>
      <c r="G122" s="48" t="inlineStr">
        <is>
          <t>Full-time</t>
        </is>
      </c>
      <c r="H122" s="48" t="inlineStr">
        <is>
          <t>On-site</t>
        </is>
      </c>
      <c r="I122" s="49" t="n">
        <v>10</v>
      </c>
      <c r="J122" s="49" t="n">
        <v>15</v>
      </c>
      <c r="K122" s="48" t="inlineStr">
        <is>
          <t>Accounting, TDS, Finance, Audit Compliance</t>
        </is>
      </c>
      <c r="L122" s="56" t="n">
        <v>45974</v>
      </c>
    </row>
    <row r="123">
      <c r="A123" s="48" t="inlineStr">
        <is>
          <t>J0394</t>
        </is>
      </c>
      <c r="B123" s="48" t="inlineStr">
        <is>
          <t>BTP ABAP Developer</t>
        </is>
      </c>
      <c r="C123" s="48" t="inlineStr">
        <is>
          <t>Baranwal Consultancy and Services</t>
        </is>
      </c>
      <c r="D123" s="48" t="inlineStr">
        <is>
          <t>Remote</t>
        </is>
      </c>
      <c r="E123" s="48" t="inlineStr">
        <is>
          <t>IT / Software</t>
        </is>
      </c>
      <c r="F123" s="48" t="inlineStr">
        <is>
          <t>Mid Level (3-6 yrs)</t>
        </is>
      </c>
      <c r="G123" s="48" t="inlineStr">
        <is>
          <t>Full-time</t>
        </is>
      </c>
      <c r="H123" s="48" t="inlineStr">
        <is>
          <t>Remote</t>
        </is>
      </c>
      <c r="I123" s="49" t="n"/>
      <c r="J123" s="49" t="n"/>
      <c r="K123" s="48" t="inlineStr">
        <is>
          <t>BTP, RAP, OData, Java</t>
        </is>
      </c>
      <c r="L123" s="56" t="n">
        <v>45968</v>
      </c>
    </row>
    <row r="124">
      <c r="A124" s="48" t="inlineStr">
        <is>
          <t>J0173</t>
        </is>
      </c>
      <c r="B124" s="48" t="inlineStr">
        <is>
          <t>Sr Executive / AM - Finance (strong skills in IFRS, GST &amp; IT must)</t>
        </is>
      </c>
      <c r="C124" s="48" t="inlineStr">
        <is>
          <t>Adonis Recruitment Consultants</t>
        </is>
      </c>
      <c r="D124" s="48" t="inlineStr">
        <is>
          <t>Poonamallee</t>
        </is>
      </c>
      <c r="E124" s="48" t="inlineStr">
        <is>
          <t>IT / Software</t>
        </is>
      </c>
      <c r="F124" s="48" t="inlineStr">
        <is>
          <t>Senior Level (7+ yrs)</t>
        </is>
      </c>
      <c r="G124" s="48" t="inlineStr">
        <is>
          <t>Full-time</t>
        </is>
      </c>
      <c r="H124" s="48" t="inlineStr">
        <is>
          <t>On-site</t>
        </is>
      </c>
      <c r="I124" s="49" t="n">
        <v>8</v>
      </c>
      <c r="J124" s="49" t="n">
        <v>10</v>
      </c>
      <c r="K124" s="48" t="inlineStr">
        <is>
          <t>Finance, TDS, ACCOUNT PAYABLES, GST COMPLIANCE</t>
        </is>
      </c>
      <c r="L124" s="56" t="n">
        <v>45976</v>
      </c>
    </row>
    <row r="125">
      <c r="A125" s="48" t="inlineStr">
        <is>
          <t>J0026</t>
        </is>
      </c>
      <c r="B125" s="48" t="inlineStr">
        <is>
          <t>Hiring For US Recruiter @Gandhinagar</t>
        </is>
      </c>
      <c r="C125" s="48" t="inlineStr">
        <is>
          <t>Arise Solutions</t>
        </is>
      </c>
      <c r="D125" s="48" t="inlineStr">
        <is>
          <t>Gandhinagar</t>
        </is>
      </c>
      <c r="E125" s="48" t="inlineStr">
        <is>
          <t>HR &amp; Staffing</t>
        </is>
      </c>
      <c r="F125" s="48" t="inlineStr">
        <is>
          <t>Entry Level (0-2 yrs)</t>
        </is>
      </c>
      <c r="G125" s="48" t="inlineStr">
        <is>
          <t>Full-time</t>
        </is>
      </c>
      <c r="H125" s="48" t="inlineStr">
        <is>
          <t>On-site</t>
        </is>
      </c>
      <c r="I125" s="49" t="n">
        <v>3</v>
      </c>
      <c r="J125" s="49" t="n">
        <v>4.75</v>
      </c>
      <c r="K125" s="48" t="inlineStr">
        <is>
          <t>International Recruitment, US Recruitment, US Staffing, International Hiring</t>
        </is>
      </c>
      <c r="L125" s="56" t="n">
        <v>45970</v>
      </c>
    </row>
    <row r="126">
      <c r="A126" s="48" t="inlineStr">
        <is>
          <t>J0416</t>
        </is>
      </c>
      <c r="B126" s="48" t="inlineStr">
        <is>
          <t>Chartered Accountant</t>
        </is>
      </c>
      <c r="C126" s="48" t="inlineStr">
        <is>
          <t>Karma Realty</t>
        </is>
      </c>
      <c r="D126" s="48" t="inlineStr">
        <is>
          <t>Pune</t>
        </is>
      </c>
      <c r="E126" s="48" t="inlineStr">
        <is>
          <t>BFSI (Banking/Finance/Insurance)</t>
        </is>
      </c>
      <c r="F126" s="48" t="inlineStr">
        <is>
          <t>Mid Level (3-6 yrs)</t>
        </is>
      </c>
      <c r="G126" s="48" t="inlineStr">
        <is>
          <t>Full-time</t>
        </is>
      </c>
      <c r="H126" s="48" t="inlineStr">
        <is>
          <t>On-site</t>
        </is>
      </c>
      <c r="I126" s="49" t="n">
        <v>0.5</v>
      </c>
      <c r="J126" s="49" t="n">
        <v>0.8</v>
      </c>
      <c r="K126" s="48" t="inlineStr">
        <is>
          <t>Accounting Operations, Financial Operations, Financial Management, Budgetary Control</t>
        </is>
      </c>
      <c r="L126" s="56" t="n">
        <v>45974</v>
      </c>
    </row>
    <row r="127">
      <c r="A127" s="48" t="inlineStr">
        <is>
          <t>J0190</t>
        </is>
      </c>
      <c r="B127" s="48" t="inlineStr">
        <is>
          <t>Accounts And Marketing Executive</t>
        </is>
      </c>
      <c r="C127" s="48" t="inlineStr">
        <is>
          <t>SONA SALES CORPORATION</t>
        </is>
      </c>
      <c r="D127" s="48" t="inlineStr">
        <is>
          <t>Guwahati</t>
        </is>
      </c>
      <c r="E127" s="48" t="inlineStr">
        <is>
          <t>BFSI (Banking/Finance/Insurance)</t>
        </is>
      </c>
      <c r="F127" s="48" t="inlineStr">
        <is>
          <t>Entry Level (0-2 yrs)</t>
        </is>
      </c>
      <c r="G127" s="48" t="inlineStr">
        <is>
          <t>Full-time</t>
        </is>
      </c>
      <c r="H127" s="48" t="inlineStr">
        <is>
          <t>On-site</t>
        </is>
      </c>
      <c r="I127" s="49" t="n">
        <v>2</v>
      </c>
      <c r="J127" s="49" t="n">
        <v>2.5</v>
      </c>
      <c r="K127" s="48" t="inlineStr">
        <is>
          <t>Dealer Sales, Tally ERP, Accounting, Gst Return</t>
        </is>
      </c>
      <c r="L127" s="56" t="n">
        <v>45967</v>
      </c>
    </row>
    <row r="128">
      <c r="A128" s="48" t="inlineStr">
        <is>
          <t>J0063</t>
        </is>
      </c>
      <c r="B128" s="48" t="inlineStr">
        <is>
          <t>Mechanical Service Engineer</t>
        </is>
      </c>
      <c r="C128" s="48" t="inlineStr">
        <is>
          <t>Akash Blowers Pvt.ltd.</t>
        </is>
      </c>
      <c r="D128" s="48" t="inlineStr">
        <is>
          <t>Rohtak</t>
        </is>
      </c>
      <c r="E128" s="48" t="inlineStr">
        <is>
          <t>Manufacturing &amp; Engineering</t>
        </is>
      </c>
      <c r="F128" s="48" t="inlineStr">
        <is>
          <t>Entry Level (0-2 yrs)</t>
        </is>
      </c>
      <c r="G128" s="48" t="inlineStr">
        <is>
          <t>Full-time</t>
        </is>
      </c>
      <c r="H128" s="48" t="inlineStr">
        <is>
          <t>On-site</t>
        </is>
      </c>
      <c r="I128" s="49" t="n">
        <v>0.5</v>
      </c>
      <c r="J128" s="49" t="n">
        <v>3</v>
      </c>
      <c r="K128" s="48" t="inlineStr">
        <is>
          <t>Repair And Maintenance, Installation And Commissioning, Service Engineering, Service Maintenance</t>
        </is>
      </c>
      <c r="L128" s="56" t="n">
        <v>45968</v>
      </c>
    </row>
    <row r="129">
      <c r="A129" s="48" t="inlineStr">
        <is>
          <t>J0415</t>
        </is>
      </c>
      <c r="B129" s="48" t="inlineStr">
        <is>
          <t>Urgent- Sr Officer- AMD- Particle size- Mumbai- Andheri</t>
        </is>
      </c>
      <c r="C129" s="48" t="inlineStr">
        <is>
          <t>Extrius Consultants</t>
        </is>
      </c>
      <c r="D129" s="48" t="inlineStr">
        <is>
          <t>Thane</t>
        </is>
      </c>
      <c r="E129" s="48" t="inlineStr">
        <is>
          <t>Other / General Business</t>
        </is>
      </c>
      <c r="F129" s="48" t="inlineStr">
        <is>
          <t>Entry Level (0-2 yrs)</t>
        </is>
      </c>
      <c r="G129" s="48" t="inlineStr">
        <is>
          <t>Full-time</t>
        </is>
      </c>
      <c r="H129" s="48" t="inlineStr">
        <is>
          <t>On-site</t>
        </is>
      </c>
      <c r="I129" s="49" t="n">
        <v>2.75</v>
      </c>
      <c r="J129" s="49" t="n">
        <v>7</v>
      </c>
      <c r="K129" s="48" t="inlineStr">
        <is>
          <t>Particle Size Analysis, Particle Size, AMD, SR</t>
        </is>
      </c>
      <c r="L129" s="56" t="n">
        <v>45968</v>
      </c>
    </row>
    <row r="130">
      <c r="A130" s="48" t="inlineStr">
        <is>
          <t>J0055</t>
        </is>
      </c>
      <c r="B130" s="48" t="inlineStr">
        <is>
          <t>Business Development Manager</t>
        </is>
      </c>
      <c r="C130" s="48" t="inlineStr">
        <is>
          <t>MED In Scans And Lab</t>
        </is>
      </c>
      <c r="D130" s="48" t="inlineStr">
        <is>
          <t>Chennai</t>
        </is>
      </c>
      <c r="E130" s="48" t="inlineStr">
        <is>
          <t>Marketing &amp; Advertising</t>
        </is>
      </c>
      <c r="F130" s="48" t="inlineStr">
        <is>
          <t>Mid Level (3-6 yrs)</t>
        </is>
      </c>
      <c r="G130" s="48" t="inlineStr">
        <is>
          <t>Full-time</t>
        </is>
      </c>
      <c r="H130" s="48" t="inlineStr">
        <is>
          <t>On-site</t>
        </is>
      </c>
      <c r="I130" s="49" t="n">
        <v>3.6</v>
      </c>
      <c r="J130" s="49" t="n">
        <v>4.8</v>
      </c>
      <c r="K130" s="48" t="inlineStr">
        <is>
          <t>Marketing Management, Business Development, Marketing, Development</t>
        </is>
      </c>
      <c r="L130" s="56" t="n">
        <v>45969</v>
      </c>
    </row>
    <row r="131">
      <c r="A131" s="48" t="inlineStr">
        <is>
          <t>J0318</t>
        </is>
      </c>
      <c r="B131" s="48" t="inlineStr">
        <is>
          <t>Onroll Job in Bank- Sales Manager / Loan Sales -Maharashtra</t>
        </is>
      </c>
      <c r="C131" s="48" t="inlineStr">
        <is>
          <t>Talents Pro Hr Solutions</t>
        </is>
      </c>
      <c r="D131" s="48" t="inlineStr">
        <is>
          <t>Vasai</t>
        </is>
      </c>
      <c r="E131" s="48" t="inlineStr">
        <is>
          <t>BFSI (Banking/Finance/Insurance)</t>
        </is>
      </c>
      <c r="F131" s="48" t="inlineStr">
        <is>
          <t>Entry Level (0-2 yrs)</t>
        </is>
      </c>
      <c r="G131" s="48" t="inlineStr">
        <is>
          <t>Full-time</t>
        </is>
      </c>
      <c r="H131" s="48" t="inlineStr">
        <is>
          <t>On-site</t>
        </is>
      </c>
      <c r="I131" s="49" t="n">
        <v>3.5</v>
      </c>
      <c r="J131" s="49" t="n">
        <v>4.5</v>
      </c>
      <c r="K131" s="48" t="inlineStr">
        <is>
          <t>Banking, Sales management, Management, Sales</t>
        </is>
      </c>
      <c r="L131" s="56" t="n">
        <v>45968</v>
      </c>
    </row>
    <row r="132">
      <c r="A132" s="48" t="inlineStr">
        <is>
          <t>J0237</t>
        </is>
      </c>
      <c r="B132" s="48" t="inlineStr">
        <is>
          <t>Security Architect</t>
        </is>
      </c>
      <c r="C132" s="48" t="inlineStr">
        <is>
          <t>Accenture</t>
        </is>
      </c>
      <c r="D132" s="48" t="inlineStr">
        <is>
          <t>Navi Mumbai</t>
        </is>
      </c>
      <c r="E132" s="48" t="inlineStr">
        <is>
          <t>IT / Software</t>
        </is>
      </c>
      <c r="F132" s="48" t="inlineStr">
        <is>
          <t>Senior Level (7+ yrs)</t>
        </is>
      </c>
      <c r="G132" s="48" t="inlineStr">
        <is>
          <t>Full-time</t>
        </is>
      </c>
      <c r="H132" s="48" t="inlineStr">
        <is>
          <t>On-site</t>
        </is>
      </c>
      <c r="I132" s="49" t="n"/>
      <c r="J132" s="49" t="n"/>
      <c r="K132" s="48" t="inlineStr">
        <is>
          <t>cloud security, nist, gdpr, identity management</t>
        </is>
      </c>
      <c r="L132" s="56" t="n">
        <v>45972</v>
      </c>
    </row>
    <row r="133">
      <c r="A133" s="48" t="inlineStr">
        <is>
          <t>J0274</t>
        </is>
      </c>
      <c r="B133" s="48" t="inlineStr">
        <is>
          <t>Front Office Receptionist</t>
        </is>
      </c>
      <c r="C133" s="48" t="inlineStr">
        <is>
          <t>PRO Hr Complete Solutions</t>
        </is>
      </c>
      <c r="D133" s="48" t="inlineStr">
        <is>
          <t>BENGALURU</t>
        </is>
      </c>
      <c r="E133" s="48" t="inlineStr">
        <is>
          <t>Other / General Business</t>
        </is>
      </c>
      <c r="F133" s="48" t="inlineStr">
        <is>
          <t>Entry Level (0-2 yrs)</t>
        </is>
      </c>
      <c r="G133" s="48" t="inlineStr">
        <is>
          <t>Full-time</t>
        </is>
      </c>
      <c r="H133" s="48" t="inlineStr">
        <is>
          <t>On-site</t>
        </is>
      </c>
      <c r="I133" s="49" t="n">
        <v>1.5</v>
      </c>
      <c r="J133" s="49" t="n">
        <v>2.5</v>
      </c>
      <c r="K133" s="48" t="inlineStr">
        <is>
          <t>Receptionist Activities, Telecalling, Front Desk, Outbound Calling</t>
        </is>
      </c>
      <c r="L133" s="56" t="n">
        <v>45974</v>
      </c>
    </row>
    <row r="134">
      <c r="A134" s="48" t="inlineStr">
        <is>
          <t>J0021</t>
        </is>
      </c>
      <c r="B134" s="48" t="inlineStr">
        <is>
          <t>System Executive</t>
        </is>
      </c>
      <c r="C134" s="48" t="inlineStr">
        <is>
          <t>SJ Technologys</t>
        </is>
      </c>
      <c r="D134" s="48" t="inlineStr">
        <is>
          <t>Thane</t>
        </is>
      </c>
      <c r="E134" s="48" t="inlineStr">
        <is>
          <t>Manufacturing &amp; Engineering</t>
        </is>
      </c>
      <c r="F134" s="48" t="inlineStr">
        <is>
          <t>Entry Level (0-2 yrs)</t>
        </is>
      </c>
      <c r="G134" s="48" t="inlineStr">
        <is>
          <t>Full-time</t>
        </is>
      </c>
      <c r="H134" s="48" t="inlineStr">
        <is>
          <t>On-site</t>
        </is>
      </c>
      <c r="I134" s="49" t="n">
        <v>3</v>
      </c>
      <c r="J134" s="49" t="n">
        <v>3.6</v>
      </c>
      <c r="K134" s="48" t="inlineStr">
        <is>
          <t>Hardware Troubleshooting, Hardware Maintenance, Laptop Support, Marathi</t>
        </is>
      </c>
      <c r="L134" s="56" t="n">
        <v>45976</v>
      </c>
    </row>
    <row r="135">
      <c r="A135" s="48" t="inlineStr">
        <is>
          <t>J0285</t>
        </is>
      </c>
      <c r="B135" s="48" t="inlineStr">
        <is>
          <t>Recruiter</t>
        </is>
      </c>
      <c r="C135" s="48" t="inlineStr">
        <is>
          <t>Hiring Mavericks</t>
        </is>
      </c>
      <c r="D135" s="48" t="inlineStr">
        <is>
          <t>Mumbai</t>
        </is>
      </c>
      <c r="E135" s="48" t="inlineStr">
        <is>
          <t>IT / Software</t>
        </is>
      </c>
      <c r="F135" s="48" t="inlineStr">
        <is>
          <t>Mid Level (3-6 yrs)</t>
        </is>
      </c>
      <c r="G135" s="48" t="inlineStr">
        <is>
          <t>Full-time</t>
        </is>
      </c>
      <c r="H135" s="48" t="inlineStr">
        <is>
          <t>On-site</t>
        </is>
      </c>
      <c r="I135" s="49" t="n">
        <v>4</v>
      </c>
      <c r="J135" s="49" t="n">
        <v>9</v>
      </c>
      <c r="K135" s="48" t="n"/>
      <c r="L135" s="56" t="n">
        <v>45976</v>
      </c>
    </row>
    <row r="136">
      <c r="A136" s="48" t="inlineStr">
        <is>
          <t>J0010</t>
        </is>
      </c>
      <c r="B136" s="48" t="inlineStr">
        <is>
          <t>Hardware Design Engineer</t>
        </is>
      </c>
      <c r="C136" s="48" t="inlineStr">
        <is>
          <t>Allied Medical Limited</t>
        </is>
      </c>
      <c r="D136" s="48" t="inlineStr">
        <is>
          <t>Bhiwadi</t>
        </is>
      </c>
      <c r="E136" s="48" t="inlineStr">
        <is>
          <t>IT / Software</t>
        </is>
      </c>
      <c r="F136" s="48" t="inlineStr">
        <is>
          <t>Mid Level (3-6 yrs)</t>
        </is>
      </c>
      <c r="G136" s="48" t="inlineStr">
        <is>
          <t>Full-time</t>
        </is>
      </c>
      <c r="H136" s="48" t="inlineStr">
        <is>
          <t>On-site</t>
        </is>
      </c>
      <c r="I136" s="49" t="n">
        <v>8</v>
      </c>
      <c r="J136" s="49" t="n">
        <v>12</v>
      </c>
      <c r="K136" s="48" t="inlineStr">
        <is>
          <t>PCB Designing, Circuit Designing, Hardware Design, Microcontroller</t>
        </is>
      </c>
      <c r="L136" s="56" t="n">
        <v>45969</v>
      </c>
    </row>
    <row r="137">
      <c r="A137" s="48" t="inlineStr">
        <is>
          <t>J0304</t>
        </is>
      </c>
      <c r="B137" s="48" t="inlineStr">
        <is>
          <t>Repair Engineer</t>
        </is>
      </c>
      <c r="C137" s="48" t="inlineStr">
        <is>
          <t>Capgemini</t>
        </is>
      </c>
      <c r="D137" s="48" t="inlineStr">
        <is>
          <t>Bengaluru</t>
        </is>
      </c>
      <c r="E137" s="48" t="inlineStr">
        <is>
          <t>IT / Software</t>
        </is>
      </c>
      <c r="F137" s="48" t="inlineStr">
        <is>
          <t>Mid Level (3-6 yrs)</t>
        </is>
      </c>
      <c r="G137" s="48" t="inlineStr">
        <is>
          <t>Full-time</t>
        </is>
      </c>
      <c r="H137" s="48" t="inlineStr">
        <is>
          <t>On-site</t>
        </is>
      </c>
      <c r="I137" s="49" t="n"/>
      <c r="J137" s="49" t="n"/>
      <c r="K137" s="48" t="inlineStr">
        <is>
          <t>repair, autocad, solid works, gd</t>
        </is>
      </c>
      <c r="L137" s="56" t="n">
        <v>45974</v>
      </c>
    </row>
    <row r="138">
      <c r="A138" s="48" t="inlineStr">
        <is>
          <t>J0238</t>
        </is>
      </c>
      <c r="B138" s="48" t="inlineStr">
        <is>
          <t>ETP Supervisor - Ahmednagar(Supa)</t>
        </is>
      </c>
      <c r="C138" s="48" t="inlineStr">
        <is>
          <t>Shavish Group</t>
        </is>
      </c>
      <c r="D138" s="48" t="inlineStr">
        <is>
          <t>Ahmednagar</t>
        </is>
      </c>
      <c r="E138" s="48" t="inlineStr">
        <is>
          <t>Manufacturing &amp; Engineering</t>
        </is>
      </c>
      <c r="F138" s="48" t="inlineStr">
        <is>
          <t>Mid Level (3-6 yrs)</t>
        </is>
      </c>
      <c r="G138" s="48" t="inlineStr">
        <is>
          <t>Full-time</t>
        </is>
      </c>
      <c r="H138" s="48" t="inlineStr">
        <is>
          <t>On-site</t>
        </is>
      </c>
      <c r="I138" s="49" t="n">
        <v>3</v>
      </c>
      <c r="J138" s="49" t="n">
        <v>4</v>
      </c>
      <c r="K138" s="48" t="inlineStr">
        <is>
          <t>ETP, Compliance, ETP Operation, Maintenance</t>
        </is>
      </c>
      <c r="L138" s="56" t="n">
        <v>45968</v>
      </c>
    </row>
    <row r="139">
      <c r="A139" s="48" t="inlineStr">
        <is>
          <t>J0310</t>
        </is>
      </c>
      <c r="B139" s="48" t="inlineStr">
        <is>
          <t>Operations- Insurance Data Operations - Manager</t>
        </is>
      </c>
      <c r="C139" s="48" t="inlineStr">
        <is>
          <t>KKR India Asset Finance</t>
        </is>
      </c>
      <c r="D139" s="48" t="inlineStr">
        <is>
          <t>Gurugram</t>
        </is>
      </c>
      <c r="E139" s="48" t="inlineStr">
        <is>
          <t>BFSI (Banking/Finance/Insurance)</t>
        </is>
      </c>
      <c r="F139" s="48" t="inlineStr">
        <is>
          <t>Mid Level (3-6 yrs)</t>
        </is>
      </c>
      <c r="G139" s="48" t="inlineStr">
        <is>
          <t>Full-time</t>
        </is>
      </c>
      <c r="H139" s="48" t="inlineStr">
        <is>
          <t>On-site</t>
        </is>
      </c>
      <c r="I139" s="49" t="n"/>
      <c r="J139" s="49" t="n"/>
      <c r="K139" s="48" t="inlineStr">
        <is>
          <t>Product management, Data analysis, Automation, Claims</t>
        </is>
      </c>
      <c r="L139" s="56" t="n">
        <v>45967</v>
      </c>
    </row>
    <row r="140">
      <c r="A140" s="48" t="inlineStr">
        <is>
          <t>J0208</t>
        </is>
      </c>
      <c r="B140" s="48" t="inlineStr">
        <is>
          <t>Hiring For As400 Developer</t>
        </is>
      </c>
      <c r="C140" s="48" t="inlineStr">
        <is>
          <t>Coforge</t>
        </is>
      </c>
      <c r="D140" s="48" t="inlineStr">
        <is>
          <t>Hyderabad</t>
        </is>
      </c>
      <c r="E140" s="48" t="inlineStr">
        <is>
          <t>IT / Software</t>
        </is>
      </c>
      <c r="F140" s="48" t="inlineStr">
        <is>
          <t>Mid Level (3-6 yrs)</t>
        </is>
      </c>
      <c r="G140" s="48" t="inlineStr">
        <is>
          <t>Full-time</t>
        </is>
      </c>
      <c r="H140" s="48" t="inlineStr">
        <is>
          <t>Hybrid</t>
        </is>
      </c>
      <c r="I140" s="49" t="n">
        <v>10</v>
      </c>
      <c r="J140" s="49" t="n">
        <v>20</v>
      </c>
      <c r="K140" s="48" t="inlineStr">
        <is>
          <t>ILE, AS400, ISERIES, Hiring</t>
        </is>
      </c>
      <c r="L140" s="56" t="n">
        <v>45974</v>
      </c>
    </row>
    <row r="141">
      <c r="A141" s="48" t="inlineStr">
        <is>
          <t>J0296</t>
        </is>
      </c>
      <c r="B141" s="48" t="inlineStr">
        <is>
          <t>Service Desk Executive @ PUNE /Banglore Rs 7 LPA- Call - Shruti</t>
        </is>
      </c>
      <c r="C141" s="48" t="inlineStr">
        <is>
          <t>KVC CONSULTANTS LTD</t>
        </is>
      </c>
      <c r="D141" s="48" t="inlineStr">
        <is>
          <t>Pune</t>
        </is>
      </c>
      <c r="E141" s="48" t="inlineStr">
        <is>
          <t>IT / Software</t>
        </is>
      </c>
      <c r="F141" s="48" t="n"/>
      <c r="G141" s="48" t="inlineStr">
        <is>
          <t>Full-time</t>
        </is>
      </c>
      <c r="H141" s="48" t="inlineStr">
        <is>
          <t>On-site</t>
        </is>
      </c>
      <c r="I141" s="49" t="n">
        <v>4</v>
      </c>
      <c r="J141" s="49" t="n">
        <v>7</v>
      </c>
      <c r="K141" s="48" t="inlineStr">
        <is>
          <t>Service Desk, Ticketing, IT Helpdesk, L1 Support</t>
        </is>
      </c>
      <c r="L141" s="56" t="n">
        <v>45973</v>
      </c>
    </row>
    <row r="142">
      <c r="A142" s="48" t="inlineStr">
        <is>
          <t>J0236</t>
        </is>
      </c>
      <c r="B142" s="48" t="inlineStr">
        <is>
          <t>Sales Assistant Manager/Deputy Manager/ Manager</t>
        </is>
      </c>
      <c r="C142" s="48" t="inlineStr">
        <is>
          <t>Yazaki India Technical Center</t>
        </is>
      </c>
      <c r="D142" s="48" t="inlineStr">
        <is>
          <t>Pune</t>
        </is>
      </c>
      <c r="E142" s="48" t="inlineStr">
        <is>
          <t>Sales &amp; Business Development</t>
        </is>
      </c>
      <c r="F142" s="48" t="inlineStr">
        <is>
          <t>Senior Level (7+ yrs)</t>
        </is>
      </c>
      <c r="G142" s="48" t="inlineStr">
        <is>
          <t>Full-time</t>
        </is>
      </c>
      <c r="H142" s="48" t="inlineStr">
        <is>
          <t>On-site</t>
        </is>
      </c>
      <c r="I142" s="49" t="n"/>
      <c r="J142" s="49" t="n"/>
      <c r="K142" s="48" t="inlineStr">
        <is>
          <t>New Business Opportunities, ensuring timely supplies &amp; feedback, Sales, Customer Relationship Management-Existing &amp; New Business.</t>
        </is>
      </c>
      <c r="L142" s="56" t="n">
        <v>45966</v>
      </c>
    </row>
    <row r="143">
      <c r="A143" s="48" t="inlineStr">
        <is>
          <t>J0281</t>
        </is>
      </c>
      <c r="B143" s="48" t="inlineStr">
        <is>
          <t>Fund Accountant (Private Equity/Hedge Funds)</t>
        </is>
      </c>
      <c r="C143" s="48" t="inlineStr">
        <is>
          <t>TalentAhead</t>
        </is>
      </c>
      <c r="D143" s="48" t="inlineStr">
        <is>
          <t>Bengaluru</t>
        </is>
      </c>
      <c r="E143" s="48" t="inlineStr">
        <is>
          <t>BFSI (Banking/Finance/Insurance)</t>
        </is>
      </c>
      <c r="F143" s="48" t="n"/>
      <c r="G143" s="48" t="inlineStr">
        <is>
          <t>Full-time</t>
        </is>
      </c>
      <c r="H143" s="48" t="inlineStr">
        <is>
          <t>On-site</t>
        </is>
      </c>
      <c r="I143" s="49" t="n">
        <v>7</v>
      </c>
      <c r="J143" s="49" t="n">
        <v>15</v>
      </c>
      <c r="K143" s="48" t="n"/>
      <c r="L143" s="56" t="n">
        <v>45976</v>
      </c>
    </row>
    <row r="144">
      <c r="A144" s="48" t="inlineStr">
        <is>
          <t>J0102</t>
        </is>
      </c>
      <c r="B144" s="48" t="inlineStr">
        <is>
          <t>WTP Operator @Sunguvarchtaram near Sriperumbadur</t>
        </is>
      </c>
      <c r="C144" s="48" t="inlineStr">
        <is>
          <t>GSH Group</t>
        </is>
      </c>
      <c r="D144" s="48" t="inlineStr">
        <is>
          <t>Sriperumbudur</t>
        </is>
      </c>
      <c r="E144" s="48" t="inlineStr">
        <is>
          <t>Manufacturing &amp; Engineering</t>
        </is>
      </c>
      <c r="F144" s="48" t="inlineStr">
        <is>
          <t>Entry Level (0-2 yrs)</t>
        </is>
      </c>
      <c r="G144" s="48" t="inlineStr">
        <is>
          <t>Full-time</t>
        </is>
      </c>
      <c r="H144" s="48" t="inlineStr">
        <is>
          <t>On-site</t>
        </is>
      </c>
      <c r="I144" s="49" t="n">
        <v>2</v>
      </c>
      <c r="J144" s="49" t="n">
        <v>3.5</v>
      </c>
      <c r="K144" s="48" t="inlineStr">
        <is>
          <t>RO Plant, Water Treatment, WTP, Water Treatment Plant</t>
        </is>
      </c>
      <c r="L144" s="56" t="n">
        <v>45968</v>
      </c>
    </row>
    <row r="145">
      <c r="A145" s="48" t="inlineStr">
        <is>
          <t>J0401</t>
        </is>
      </c>
      <c r="B145" s="48" t="inlineStr">
        <is>
          <t>Mainframe Tester</t>
        </is>
      </c>
      <c r="C145" s="48" t="inlineStr">
        <is>
          <t>Talent21</t>
        </is>
      </c>
      <c r="D145" s="48" t="inlineStr">
        <is>
          <t>Gurugram</t>
        </is>
      </c>
      <c r="E145" s="48" t="inlineStr">
        <is>
          <t>IT / Software</t>
        </is>
      </c>
      <c r="F145" s="48" t="inlineStr">
        <is>
          <t>Mid Level (3-6 yrs)</t>
        </is>
      </c>
      <c r="G145" s="48" t="inlineStr">
        <is>
          <t>Full-time</t>
        </is>
      </c>
      <c r="H145" s="48" t="inlineStr">
        <is>
          <t>Hybrid</t>
        </is>
      </c>
      <c r="I145" s="49" t="n">
        <v>10</v>
      </c>
      <c r="J145" s="49" t="n">
        <v>13</v>
      </c>
      <c r="K145" s="48" t="inlineStr">
        <is>
          <t>Mainframe Testing, API Testing, Application Testing, Web Testing</t>
        </is>
      </c>
      <c r="L145" s="56" t="n">
        <v>45969</v>
      </c>
    </row>
    <row r="146">
      <c r="A146" s="48" t="inlineStr">
        <is>
          <t>J0097</t>
        </is>
      </c>
      <c r="B146" s="48" t="inlineStr">
        <is>
          <t>Powerbuilder</t>
        </is>
      </c>
      <c r="C146" s="48" t="inlineStr">
        <is>
          <t>Cloudxtreme</t>
        </is>
      </c>
      <c r="D146" s="48" t="inlineStr">
        <is>
          <t>Hyderabad</t>
        </is>
      </c>
      <c r="E146" s="48" t="inlineStr">
        <is>
          <t>IT / Software</t>
        </is>
      </c>
      <c r="F146" s="48" t="inlineStr">
        <is>
          <t>Mid Level (3-6 yrs)</t>
        </is>
      </c>
      <c r="G146" s="48" t="inlineStr">
        <is>
          <t>Full-time</t>
        </is>
      </c>
      <c r="H146" s="48" t="inlineStr">
        <is>
          <t>Hybrid</t>
        </is>
      </c>
      <c r="I146" s="49" t="n">
        <v>10</v>
      </c>
      <c r="J146" s="49" t="n">
        <v>20</v>
      </c>
      <c r="K146" s="48" t="inlineStr">
        <is>
          <t>Plsql, Powerbuilder, Web Services, Web technologies</t>
        </is>
      </c>
      <c r="L146" s="56" t="n">
        <v>45970</v>
      </c>
    </row>
    <row r="147">
      <c r="A147" s="48" t="inlineStr">
        <is>
          <t>J0305</t>
        </is>
      </c>
      <c r="B147" s="48" t="inlineStr">
        <is>
          <t>VoIP Engineer L2/L3</t>
        </is>
      </c>
      <c r="C147" s="48" t="inlineStr">
        <is>
          <t>Ipdigital Technologies</t>
        </is>
      </c>
      <c r="D147" s="48" t="inlineStr">
        <is>
          <t>Bengaluru</t>
        </is>
      </c>
      <c r="E147" s="48" t="inlineStr">
        <is>
          <t>Other / General Business</t>
        </is>
      </c>
      <c r="F147" s="48" t="inlineStr">
        <is>
          <t>Mid Level (3-6 yrs)</t>
        </is>
      </c>
      <c r="G147" s="48" t="inlineStr">
        <is>
          <t>Full-time</t>
        </is>
      </c>
      <c r="H147" s="48" t="inlineStr">
        <is>
          <t>On-site</t>
        </is>
      </c>
      <c r="I147" s="49" t="n">
        <v>14</v>
      </c>
      <c r="J147" s="49" t="n">
        <v>16</v>
      </c>
      <c r="K147" s="48" t="inlineStr">
        <is>
          <t>Cisco Ucs, ICM, CVP, Call Manager</t>
        </is>
      </c>
      <c r="L147" s="56" t="n">
        <v>45969</v>
      </c>
    </row>
    <row r="148">
      <c r="A148" s="48" t="inlineStr">
        <is>
          <t>J0350</t>
        </is>
      </c>
      <c r="B148" s="48" t="inlineStr">
        <is>
          <t>Hiring For international voice process in bpo</t>
        </is>
      </c>
      <c r="C148" s="48" t="inlineStr">
        <is>
          <t xml:space="preserve">  Ghrs Training  </t>
        </is>
      </c>
      <c r="D148" s="48" t="inlineStr">
        <is>
          <t>Pune</t>
        </is>
      </c>
      <c r="E148" s="48" t="inlineStr">
        <is>
          <t>Customer Service &amp; BPO</t>
        </is>
      </c>
      <c r="F148" s="48" t="inlineStr">
        <is>
          <t>Entry Level (0-2 yrs)</t>
        </is>
      </c>
      <c r="G148" s="48" t="inlineStr">
        <is>
          <t>Internship</t>
        </is>
      </c>
      <c r="H148" s="48" t="inlineStr">
        <is>
          <t>On-site</t>
        </is>
      </c>
      <c r="I148" s="49" t="n">
        <v>2.5</v>
      </c>
      <c r="J148" s="49" t="n">
        <v>6</v>
      </c>
      <c r="K148" s="48" t="n"/>
      <c r="L148" s="56" t="n">
        <v>45976</v>
      </c>
    </row>
    <row r="149">
      <c r="A149" s="48" t="inlineStr">
        <is>
          <t>J0293</t>
        </is>
      </c>
      <c r="B149" s="48" t="inlineStr">
        <is>
          <t>Sales Representative</t>
        </is>
      </c>
      <c r="C149" s="48" t="inlineStr">
        <is>
          <t>CIEL HR</t>
        </is>
      </c>
      <c r="D149" s="48" t="inlineStr">
        <is>
          <t>Indore</t>
        </is>
      </c>
      <c r="E149" s="48" t="inlineStr">
        <is>
          <t>Marketing &amp; Advertising</t>
        </is>
      </c>
      <c r="F149" s="48" t="inlineStr">
        <is>
          <t>Entry Level (0-2 yrs)</t>
        </is>
      </c>
      <c r="G149" s="48" t="inlineStr">
        <is>
          <t>Full-time</t>
        </is>
      </c>
      <c r="H149" s="48" t="inlineStr">
        <is>
          <t>On-site</t>
        </is>
      </c>
      <c r="I149" s="49" t="n">
        <v>1.25</v>
      </c>
      <c r="J149" s="49" t="n">
        <v>3</v>
      </c>
      <c r="K149" s="48" t="inlineStr">
        <is>
          <t>Fertilizer, Seeds, Agriculture Marketing, Pesticides</t>
        </is>
      </c>
      <c r="L149" s="56" t="n">
        <v>45966</v>
      </c>
    </row>
    <row r="150">
      <c r="A150" s="48" t="inlineStr">
        <is>
          <t>J0300</t>
        </is>
      </c>
      <c r="B150" s="48" t="inlineStr">
        <is>
          <t>Quality Executive</t>
        </is>
      </c>
      <c r="C150" s="48" t="inlineStr">
        <is>
          <t>D Source</t>
        </is>
      </c>
      <c r="D150" s="48" t="inlineStr">
        <is>
          <t>Nashik</t>
        </is>
      </c>
      <c r="E150" s="48" t="inlineStr">
        <is>
          <t>Other / General Business</t>
        </is>
      </c>
      <c r="F150" s="48" t="inlineStr">
        <is>
          <t>Entry Level (0-2 yrs)</t>
        </is>
      </c>
      <c r="G150" s="48" t="inlineStr">
        <is>
          <t>Full-time</t>
        </is>
      </c>
      <c r="H150" s="48" t="inlineStr">
        <is>
          <t>On-site</t>
        </is>
      </c>
      <c r="I150" s="49" t="n"/>
      <c r="J150" s="49" t="n"/>
      <c r="K150" s="48" t="inlineStr">
        <is>
          <t>Quality management, Systems management, Routine quality testing, laboratory equipment</t>
        </is>
      </c>
      <c r="L150" s="56" t="n">
        <v>45967</v>
      </c>
    </row>
    <row r="151">
      <c r="A151" s="48" t="inlineStr">
        <is>
          <t>J0201</t>
        </is>
      </c>
      <c r="B151" s="48" t="inlineStr">
        <is>
          <t>SALES Engineer - HVAC Engineering Products</t>
        </is>
      </c>
      <c r="C151" s="48" t="inlineStr">
        <is>
          <t>Radial Hr Solutions</t>
        </is>
      </c>
      <c r="D151" s="48" t="inlineStr">
        <is>
          <t>Bhubaneswar</t>
        </is>
      </c>
      <c r="E151" s="48" t="inlineStr">
        <is>
          <t>Marketing &amp; Advertising</t>
        </is>
      </c>
      <c r="F151" s="48" t="inlineStr">
        <is>
          <t>Mid Level (3-6 yrs)</t>
        </is>
      </c>
      <c r="G151" s="48" t="inlineStr">
        <is>
          <t>Full-time</t>
        </is>
      </c>
      <c r="H151" s="48" t="inlineStr">
        <is>
          <t>On-site</t>
        </is>
      </c>
      <c r="I151" s="49" t="n">
        <v>7</v>
      </c>
      <c r="J151" s="49" t="n">
        <v>13</v>
      </c>
      <c r="K151" s="48" t="inlineStr">
        <is>
          <t>Balancing valve, tender, marketing, HVAC</t>
        </is>
      </c>
      <c r="L151" s="56" t="n">
        <v>45972</v>
      </c>
    </row>
    <row r="152">
      <c r="A152" s="48" t="inlineStr">
        <is>
          <t>J0341</t>
        </is>
      </c>
      <c r="B152" s="48" t="inlineStr">
        <is>
          <t>Hiring Experienced AR Callers - R1 RCM - Bangalore</t>
        </is>
      </c>
      <c r="C152" s="48" t="inlineStr">
        <is>
          <t>R1 RCM</t>
        </is>
      </c>
      <c r="D152" s="48" t="inlineStr">
        <is>
          <t>Mysuru</t>
        </is>
      </c>
      <c r="E152" s="48" t="inlineStr">
        <is>
          <t>Healthcare &amp; Pharma</t>
        </is>
      </c>
      <c r="F152" s="48" t="inlineStr">
        <is>
          <t>Entry Level (0-2 yrs)</t>
        </is>
      </c>
      <c r="G152" s="48" t="inlineStr">
        <is>
          <t>Full-time</t>
        </is>
      </c>
      <c r="H152" s="48" t="inlineStr">
        <is>
          <t>On-site</t>
        </is>
      </c>
      <c r="I152" s="49" t="n">
        <v>1</v>
      </c>
      <c r="J152" s="49" t="n">
        <v>4</v>
      </c>
      <c r="K152" s="48" t="inlineStr">
        <is>
          <t>AR Calling, Revenue Cycle Management, US Healthcare, Denial Management</t>
        </is>
      </c>
      <c r="L152" s="56" t="n">
        <v>45967</v>
      </c>
    </row>
    <row r="153">
      <c r="A153" s="48" t="inlineStr">
        <is>
          <t>J0265</t>
        </is>
      </c>
      <c r="B153" s="48" t="inlineStr">
        <is>
          <t>Sales Manager/BDM- Warehouse Logistics</t>
        </is>
      </c>
      <c r="C153" s="48" t="inlineStr">
        <is>
          <t>Corporate Stalwarts</t>
        </is>
      </c>
      <c r="D153" s="48" t="inlineStr">
        <is>
          <t>Ahmedabad</t>
        </is>
      </c>
      <c r="E153" s="48" t="inlineStr">
        <is>
          <t>Logistics &amp; Supply Chain</t>
        </is>
      </c>
      <c r="F153" s="48" t="inlineStr">
        <is>
          <t>Senior Level (7+ yrs)</t>
        </is>
      </c>
      <c r="G153" s="48" t="inlineStr">
        <is>
          <t>Full-time</t>
        </is>
      </c>
      <c r="H153" s="48" t="inlineStr">
        <is>
          <t>On-site</t>
        </is>
      </c>
      <c r="I153" s="49" t="n">
        <v>10</v>
      </c>
      <c r="J153" s="49" t="n">
        <v>15</v>
      </c>
      <c r="K153" s="48" t="inlineStr">
        <is>
          <t>Freight Forwarding, Air Freight, Sea Freight, Sales</t>
        </is>
      </c>
      <c r="L153" s="56" t="n">
        <v>45976</v>
      </c>
    </row>
    <row r="154">
      <c r="A154" s="48" t="inlineStr">
        <is>
          <t>J0364</t>
        </is>
      </c>
      <c r="B154" s="48" t="inlineStr">
        <is>
          <t>Civil Engineer</t>
        </is>
      </c>
      <c r="C154" s="48" t="inlineStr">
        <is>
          <t>Yapma Buildtech</t>
        </is>
      </c>
      <c r="D154" s="48" t="inlineStr">
        <is>
          <t>Remote</t>
        </is>
      </c>
      <c r="E154" s="48" t="inlineStr">
        <is>
          <t>Manufacturing &amp; Engineering</t>
        </is>
      </c>
      <c r="F154" s="48" t="inlineStr">
        <is>
          <t>Mid Level (3-6 yrs)</t>
        </is>
      </c>
      <c r="G154" s="48" t="inlineStr">
        <is>
          <t>Full-time</t>
        </is>
      </c>
      <c r="H154" s="48" t="inlineStr">
        <is>
          <t>Remote</t>
        </is>
      </c>
      <c r="I154" s="49" t="n">
        <v>2.5</v>
      </c>
      <c r="J154" s="49" t="n">
        <v>3.5</v>
      </c>
      <c r="K154" s="48" t="inlineStr">
        <is>
          <t>Site Supervision, Bill Certification, Manpower Planning, Civil Engineering</t>
        </is>
      </c>
      <c r="L154" s="56" t="n">
        <v>45974</v>
      </c>
    </row>
    <row r="155">
      <c r="A155" s="48" t="inlineStr">
        <is>
          <t>J0117</t>
        </is>
      </c>
      <c r="B155" s="48" t="inlineStr">
        <is>
          <t>Java Full Stack Developer</t>
        </is>
      </c>
      <c r="C155" s="48" t="inlineStr">
        <is>
          <t>ti Steps</t>
        </is>
      </c>
      <c r="D155" s="48" t="inlineStr">
        <is>
          <t>Chennai</t>
        </is>
      </c>
      <c r="E155" s="48" t="inlineStr">
        <is>
          <t>IT / Software</t>
        </is>
      </c>
      <c r="F155" s="48" t="inlineStr">
        <is>
          <t>Mid Level (3-6 yrs)</t>
        </is>
      </c>
      <c r="G155" s="48" t="inlineStr">
        <is>
          <t>Full-time</t>
        </is>
      </c>
      <c r="H155" s="48" t="inlineStr">
        <is>
          <t>On-site</t>
        </is>
      </c>
      <c r="I155" s="49" t="n">
        <v>4.5</v>
      </c>
      <c r="J155" s="49" t="n">
        <v>7.5</v>
      </c>
      <c r="K155" s="48" t="inlineStr">
        <is>
          <t>Java, Postgresql, J2Ee, Spring Boot</t>
        </is>
      </c>
      <c r="L155" s="56" t="n">
        <v>45972</v>
      </c>
    </row>
    <row r="156">
      <c r="A156" s="48" t="inlineStr">
        <is>
          <t>J0320</t>
        </is>
      </c>
      <c r="B156" s="48" t="inlineStr">
        <is>
          <t>Supply Chain Business Operations Analyst</t>
        </is>
      </c>
      <c r="C156" s="48" t="inlineStr">
        <is>
          <t>HP</t>
        </is>
      </c>
      <c r="D156" s="48" t="inlineStr">
        <is>
          <t>Bangalore Rural</t>
        </is>
      </c>
      <c r="E156" s="48" t="inlineStr">
        <is>
          <t>IT / Software</t>
        </is>
      </c>
      <c r="F156" s="48" t="inlineStr">
        <is>
          <t>Senior Level (7+ yrs)</t>
        </is>
      </c>
      <c r="G156" s="48" t="inlineStr">
        <is>
          <t>Full-time</t>
        </is>
      </c>
      <c r="H156" s="48" t="inlineStr">
        <is>
          <t>On-site</t>
        </is>
      </c>
      <c r="I156" s="49" t="n"/>
      <c r="J156" s="49" t="n"/>
      <c r="K156" s="48" t="inlineStr">
        <is>
          <t>SAP Logistics modules across SAP modules, SAP S4 iDOC, Procurement and Order management processes, Logistics</t>
        </is>
      </c>
      <c r="L156" s="56" t="n">
        <v>45969</v>
      </c>
    </row>
    <row r="157">
      <c r="A157" s="48" t="inlineStr">
        <is>
          <t>J0287</t>
        </is>
      </c>
      <c r="B157" s="48" t="inlineStr">
        <is>
          <t>Tele caller Cum Recruiter</t>
        </is>
      </c>
      <c r="C157" s="48" t="inlineStr">
        <is>
          <t xml:space="preserve">  Smart Placement Services  </t>
        </is>
      </c>
      <c r="D157" s="48" t="inlineStr">
        <is>
          <t>Pune</t>
        </is>
      </c>
      <c r="E157" s="48" t="inlineStr">
        <is>
          <t>IT / Software</t>
        </is>
      </c>
      <c r="F157" s="48" t="inlineStr">
        <is>
          <t>Entry Level (0-2 yrs)</t>
        </is>
      </c>
      <c r="G157" s="48" t="inlineStr">
        <is>
          <t>Full-time</t>
        </is>
      </c>
      <c r="H157" s="48" t="inlineStr">
        <is>
          <t>On-site</t>
        </is>
      </c>
      <c r="I157" s="49" t="n">
        <v>1</v>
      </c>
      <c r="J157" s="49" t="n">
        <v>2</v>
      </c>
      <c r="K157" s="48" t="inlineStr">
        <is>
          <t>Bde, recruiter, rpo, Communication Skills</t>
        </is>
      </c>
      <c r="L157" s="56" t="n">
        <v>45972</v>
      </c>
    </row>
    <row r="158">
      <c r="A158" s="48" t="inlineStr">
        <is>
          <t>J0031</t>
        </is>
      </c>
      <c r="B158" s="48" t="inlineStr">
        <is>
          <t>Robotic RL</t>
        </is>
      </c>
      <c r="C158" s="48" t="inlineStr">
        <is>
          <t>Stellaspire Consultancy</t>
        </is>
      </c>
      <c r="D158" s="48" t="inlineStr">
        <is>
          <t>Pune</t>
        </is>
      </c>
      <c r="E158" s="48" t="inlineStr">
        <is>
          <t>Other / General Business</t>
        </is>
      </c>
      <c r="F158" s="48" t="inlineStr">
        <is>
          <t>Mid Level (3-6 yrs)</t>
        </is>
      </c>
      <c r="G158" s="48" t="inlineStr">
        <is>
          <t>Full-time</t>
        </is>
      </c>
      <c r="H158" s="48" t="inlineStr">
        <is>
          <t>On-site</t>
        </is>
      </c>
      <c r="I158" s="49" t="n">
        <v>15</v>
      </c>
      <c r="J158" s="49" t="n">
        <v>17</v>
      </c>
      <c r="K158" s="48" t="inlineStr">
        <is>
          <t>Reinforcement Learning, Reinforcement, ROS2, Deep Learning</t>
        </is>
      </c>
      <c r="L158" s="56" t="n">
        <v>45969</v>
      </c>
    </row>
    <row r="159">
      <c r="A159" s="48" t="inlineStr">
        <is>
          <t>J0389</t>
        </is>
      </c>
      <c r="B159" s="48" t="inlineStr">
        <is>
          <t>PLSQL Developer with Banking domain experience</t>
        </is>
      </c>
      <c r="C159" s="48" t="inlineStr">
        <is>
          <t>Bahwan CyberTek</t>
        </is>
      </c>
      <c r="D159" s="48" t="inlineStr">
        <is>
          <t>Mumbai</t>
        </is>
      </c>
      <c r="E159" s="48" t="inlineStr">
        <is>
          <t>IT / Software</t>
        </is>
      </c>
      <c r="F159" s="48" t="inlineStr">
        <is>
          <t>Senior Level (7+ yrs)</t>
        </is>
      </c>
      <c r="G159" s="48" t="inlineStr">
        <is>
          <t>Full-time</t>
        </is>
      </c>
      <c r="H159" s="48" t="inlineStr">
        <is>
          <t>On-site</t>
        </is>
      </c>
      <c r="I159" s="49" t="n"/>
      <c r="J159" s="49" t="n"/>
      <c r="K159" s="48" t="inlineStr">
        <is>
          <t>Plsql Development, Banking Application, Plsql Programming, Development</t>
        </is>
      </c>
      <c r="L159" s="56" t="n">
        <v>45969</v>
      </c>
    </row>
    <row r="160">
      <c r="A160" s="48" t="inlineStr">
        <is>
          <t>J0372</t>
        </is>
      </c>
      <c r="B160" s="48" t="inlineStr">
        <is>
          <t>immediate hiring -mechanical design - autocad, solidwork 2-9yrs of exp</t>
        </is>
      </c>
      <c r="C160" s="48" t="inlineStr">
        <is>
          <t>Omkar Staffing Solutions</t>
        </is>
      </c>
      <c r="D160" s="48" t="inlineStr">
        <is>
          <t>Chennai</t>
        </is>
      </c>
      <c r="E160" s="48" t="inlineStr">
        <is>
          <t>Manufacturing &amp; Engineering</t>
        </is>
      </c>
      <c r="F160" s="48" t="inlineStr">
        <is>
          <t>Entry Level (0-2 yrs)</t>
        </is>
      </c>
      <c r="G160" s="48" t="inlineStr">
        <is>
          <t>Full-time</t>
        </is>
      </c>
      <c r="H160" s="48" t="inlineStr">
        <is>
          <t>On-site</t>
        </is>
      </c>
      <c r="I160" s="49" t="n">
        <v>2.5</v>
      </c>
      <c r="J160" s="49" t="n">
        <v>6</v>
      </c>
      <c r="K160" s="48" t="inlineStr">
        <is>
          <t>AutoCAD, Mechanical Design, SPM Design, Fabrication Drawing</t>
        </is>
      </c>
      <c r="L160" s="56" t="n">
        <v>45969</v>
      </c>
    </row>
    <row r="161">
      <c r="A161" s="48" t="inlineStr">
        <is>
          <t>J0038</t>
        </is>
      </c>
      <c r="B161" s="48" t="inlineStr">
        <is>
          <t>Hiring For HR Recruiter - Work from Office(Ahmedabad)</t>
        </is>
      </c>
      <c r="C161" s="48" t="inlineStr">
        <is>
          <t>Jobdunia Services</t>
        </is>
      </c>
      <c r="D161" s="48" t="inlineStr">
        <is>
          <t>Ahmedabad</t>
        </is>
      </c>
      <c r="E161" s="48" t="inlineStr">
        <is>
          <t>IT / Software</t>
        </is>
      </c>
      <c r="F161" s="48" t="inlineStr">
        <is>
          <t>Entry Level (0-2 yrs)</t>
        </is>
      </c>
      <c r="G161" s="48" t="inlineStr">
        <is>
          <t>Full-time</t>
        </is>
      </c>
      <c r="H161" s="48" t="inlineStr">
        <is>
          <t>On-site</t>
        </is>
      </c>
      <c r="I161" s="49" t="n">
        <v>1</v>
      </c>
      <c r="J161" s="49" t="n">
        <v>2.5</v>
      </c>
      <c r="K161" s="48" t="inlineStr">
        <is>
          <t>Recruitment, BPO Hiring, bpo, Non IT Recruitment</t>
        </is>
      </c>
      <c r="L161" s="56" t="n">
        <v>45972</v>
      </c>
    </row>
    <row r="162">
      <c r="A162" s="48" t="inlineStr">
        <is>
          <t>J0071</t>
        </is>
      </c>
      <c r="B162" s="48" t="inlineStr">
        <is>
          <t>Office Assistant</t>
        </is>
      </c>
      <c r="C162" s="48" t="inlineStr">
        <is>
          <t>Prabakaran Madusundanan</t>
        </is>
      </c>
      <c r="D162" s="48" t="inlineStr">
        <is>
          <t>Coimbatore</t>
        </is>
      </c>
      <c r="E162" s="48" t="inlineStr">
        <is>
          <t>Other / General Business</t>
        </is>
      </c>
      <c r="F162" s="48" t="inlineStr">
        <is>
          <t>Entry Level (0-2 yrs)</t>
        </is>
      </c>
      <c r="G162" s="48" t="inlineStr">
        <is>
          <t>Full-time</t>
        </is>
      </c>
      <c r="H162" s="48" t="inlineStr">
        <is>
          <t>On-site</t>
        </is>
      </c>
      <c r="I162" s="49" t="n">
        <v>1.2</v>
      </c>
      <c r="J162" s="49" t="n">
        <v>1.8</v>
      </c>
      <c r="K162" s="48" t="inlineStr">
        <is>
          <t>English, Computer Operating, Hindi, Office Coordination</t>
        </is>
      </c>
      <c r="L162" s="56" t="n">
        <v>45970</v>
      </c>
    </row>
    <row r="163">
      <c r="A163" s="48" t="inlineStr">
        <is>
          <t>J0039</t>
        </is>
      </c>
      <c r="B163" s="48" t="inlineStr">
        <is>
          <t>Brand Manager | Thane | Evening Shifts</t>
        </is>
      </c>
      <c r="C163" s="48" t="inlineStr">
        <is>
          <t>Orion It Services</t>
        </is>
      </c>
      <c r="D163" s="48" t="inlineStr">
        <is>
          <t>Thane</t>
        </is>
      </c>
      <c r="E163" s="48" t="inlineStr">
        <is>
          <t>Marketing &amp; Advertising</t>
        </is>
      </c>
      <c r="F163" s="48" t="inlineStr">
        <is>
          <t>Entry Level (0-2 yrs)</t>
        </is>
      </c>
      <c r="G163" s="48" t="inlineStr">
        <is>
          <t>Full-time</t>
        </is>
      </c>
      <c r="H163" s="48" t="inlineStr">
        <is>
          <t>On-site</t>
        </is>
      </c>
      <c r="I163" s="49" t="n">
        <v>3</v>
      </c>
      <c r="J163" s="49" t="n">
        <v>5.5</v>
      </c>
      <c r="K163" s="48" t="inlineStr">
        <is>
          <t>brand manager, Content Management, Brand Development, Content Writing</t>
        </is>
      </c>
      <c r="L163" s="56" t="n">
        <v>45974</v>
      </c>
    </row>
    <row r="164">
      <c r="A164" s="48" t="inlineStr">
        <is>
          <t>J0332</t>
        </is>
      </c>
      <c r="B164" s="48" t="inlineStr">
        <is>
          <t>Windows Support Specialist</t>
        </is>
      </c>
      <c r="C164" s="48" t="inlineStr">
        <is>
          <t>Ghrs Training</t>
        </is>
      </c>
      <c r="D164" s="48" t="inlineStr">
        <is>
          <t>Hyderabad</t>
        </is>
      </c>
      <c r="E164" s="48" t="inlineStr">
        <is>
          <t>Other / General Business</t>
        </is>
      </c>
      <c r="F164" s="48" t="inlineStr">
        <is>
          <t>Entry Level (0-2 yrs)</t>
        </is>
      </c>
      <c r="G164" s="48" t="inlineStr">
        <is>
          <t>Full-time</t>
        </is>
      </c>
      <c r="H164" s="48" t="inlineStr">
        <is>
          <t>On-site</t>
        </is>
      </c>
      <c r="I164" s="49" t="n">
        <v>5</v>
      </c>
      <c r="J164" s="49" t="n">
        <v>7</v>
      </c>
      <c r="K164" s="48" t="inlineStr">
        <is>
          <t>Windows OS, Technical Support, O365 Admin, Microsoft Teams</t>
        </is>
      </c>
      <c r="L164" s="56" t="n">
        <v>45976</v>
      </c>
    </row>
    <row r="165">
      <c r="A165" s="48" t="inlineStr">
        <is>
          <t>J0124</t>
        </is>
      </c>
      <c r="B165" s="48" t="inlineStr">
        <is>
          <t>Backend Executive</t>
        </is>
      </c>
      <c r="C165" s="48" t="inlineStr">
        <is>
          <t>PRO Hr Complete Solutions</t>
        </is>
      </c>
      <c r="D165" s="48" t="inlineStr">
        <is>
          <t>Bengaluru</t>
        </is>
      </c>
      <c r="E165" s="48" t="inlineStr">
        <is>
          <t>IT / Software</t>
        </is>
      </c>
      <c r="F165" s="48" t="inlineStr">
        <is>
          <t>Entry Level (0-2 yrs)</t>
        </is>
      </c>
      <c r="G165" s="48" t="inlineStr">
        <is>
          <t>Full-time</t>
        </is>
      </c>
      <c r="H165" s="48" t="inlineStr">
        <is>
          <t>On-site</t>
        </is>
      </c>
      <c r="I165" s="49" t="n">
        <v>1.75</v>
      </c>
      <c r="J165" s="49" t="n">
        <v>2.25</v>
      </c>
      <c r="K165" s="48" t="inlineStr">
        <is>
          <t>Good English Communication, Advanced Excel, Excel, Backend</t>
        </is>
      </c>
      <c r="L165" s="56" t="n">
        <v>45974</v>
      </c>
    </row>
    <row r="166">
      <c r="A166" s="48" t="inlineStr">
        <is>
          <t>J0253</t>
        </is>
      </c>
      <c r="B166" s="48" t="inlineStr">
        <is>
          <t>Senior Data Modeler - I</t>
        </is>
      </c>
      <c r="C166" s="48" t="inlineStr">
        <is>
          <t>Metlife</t>
        </is>
      </c>
      <c r="D166" s="48" t="inlineStr">
        <is>
          <t>Hyderabad</t>
        </is>
      </c>
      <c r="E166" s="48" t="inlineStr">
        <is>
          <t>IT / Software</t>
        </is>
      </c>
      <c r="F166" s="48" t="inlineStr">
        <is>
          <t>Mid Level (3-6 yrs)</t>
        </is>
      </c>
      <c r="G166" s="48" t="inlineStr">
        <is>
          <t>Full-time</t>
        </is>
      </c>
      <c r="H166" s="48" t="inlineStr">
        <is>
          <t>On-site</t>
        </is>
      </c>
      <c r="I166" s="49" t="n"/>
      <c r="J166" s="49" t="n"/>
      <c r="K166" s="48" t="inlineStr">
        <is>
          <t>Translation, Data modeling, Management, Business intelligence</t>
        </is>
      </c>
      <c r="L166" s="56" t="n">
        <v>45966</v>
      </c>
    </row>
    <row r="167">
      <c r="A167" s="48" t="inlineStr">
        <is>
          <t>J0224</t>
        </is>
      </c>
      <c r="B167" s="48" t="inlineStr">
        <is>
          <t>Customer Support - Voice &amp; Data Entry</t>
        </is>
      </c>
      <c r="C167" s="48" t="inlineStr">
        <is>
          <t>Gallant Sports &amp; Infra</t>
        </is>
      </c>
      <c r="D167" s="48" t="inlineStr">
        <is>
          <t>Gurugram</t>
        </is>
      </c>
      <c r="E167" s="48" t="inlineStr">
        <is>
          <t>Customer Service &amp; BPO</t>
        </is>
      </c>
      <c r="F167" s="48" t="inlineStr">
        <is>
          <t>Mid Level (3-6 yrs)</t>
        </is>
      </c>
      <c r="G167" s="48" t="inlineStr">
        <is>
          <t>Full-time</t>
        </is>
      </c>
      <c r="H167" s="48" t="inlineStr">
        <is>
          <t>On-site</t>
        </is>
      </c>
      <c r="I167" s="49" t="n">
        <v>3</v>
      </c>
      <c r="J167" s="49" t="n">
        <v>3.25</v>
      </c>
      <c r="K167" s="48" t="inlineStr">
        <is>
          <t>Customer Support, Telecalling, Inbound Calls, Data Entry Operation</t>
        </is>
      </c>
      <c r="L167" s="56" t="n">
        <v>45974</v>
      </c>
    </row>
    <row r="168">
      <c r="A168" s="48" t="inlineStr">
        <is>
          <t>J0144</t>
        </is>
      </c>
      <c r="B168" s="48" t="inlineStr">
        <is>
          <t>Electrical Engineer</t>
        </is>
      </c>
      <c r="C168" s="48" t="inlineStr">
        <is>
          <t>Lawrence Consultany</t>
        </is>
      </c>
      <c r="D168" s="48" t="inlineStr">
        <is>
          <t>Hyderabad</t>
        </is>
      </c>
      <c r="E168" s="48" t="inlineStr">
        <is>
          <t>Manufacturing &amp; Engineering</t>
        </is>
      </c>
      <c r="F168" s="48" t="inlineStr">
        <is>
          <t>Entry Level (0-2 yrs)</t>
        </is>
      </c>
      <c r="G168" s="48" t="inlineStr">
        <is>
          <t>Full-time</t>
        </is>
      </c>
      <c r="H168" s="48" t="inlineStr">
        <is>
          <t>On-site</t>
        </is>
      </c>
      <c r="I168" s="49" t="n">
        <v>2</v>
      </c>
      <c r="J168" s="49" t="n">
        <v>5</v>
      </c>
      <c r="K168" s="48" t="inlineStr">
        <is>
          <t>Electrical Engineering, Cable Laying, Panel Erection, Electrical Erection</t>
        </is>
      </c>
      <c r="L168" s="56" t="n">
        <v>45966</v>
      </c>
    </row>
    <row r="169">
      <c r="A169" s="48" t="inlineStr">
        <is>
          <t>J0324</t>
        </is>
      </c>
      <c r="B169" s="48" t="inlineStr">
        <is>
          <t>German-Speaking Customer Support Specialist (Cards Operations)</t>
        </is>
      </c>
      <c r="C169" s="48" t="inlineStr">
        <is>
          <t>Gratitude India Manpower Consultants Pvt. Ltd.</t>
        </is>
      </c>
      <c r="D169" s="48" t="inlineStr">
        <is>
          <t>Navi Mumbai</t>
        </is>
      </c>
      <c r="E169" s="48" t="inlineStr">
        <is>
          <t>Customer Service &amp; BPO</t>
        </is>
      </c>
      <c r="F169" s="48" t="inlineStr">
        <is>
          <t>Mid Level (3-6 yrs)</t>
        </is>
      </c>
      <c r="G169" s="48" t="inlineStr">
        <is>
          <t>Full-time</t>
        </is>
      </c>
      <c r="H169" s="48" t="inlineStr">
        <is>
          <t>On-site</t>
        </is>
      </c>
      <c r="I169" s="49" t="n"/>
      <c r="J169" s="49" t="n"/>
      <c r="K169" s="48" t="inlineStr">
        <is>
          <t>german, customer service, customer complaints, customer support</t>
        </is>
      </c>
      <c r="L169" s="56" t="n">
        <v>45967</v>
      </c>
    </row>
    <row r="170">
      <c r="A170" s="48" t="inlineStr">
        <is>
          <t>J0189</t>
        </is>
      </c>
      <c r="B170" s="48" t="inlineStr">
        <is>
          <t>Hiring HR Recruiter - NON -IT - WFH - Only Female Candidates</t>
        </is>
      </c>
      <c r="C170" s="48" t="inlineStr">
        <is>
          <t xml:space="preserve">  Vibgyor Concepts  </t>
        </is>
      </c>
      <c r="D170" s="48" t="inlineStr">
        <is>
          <t>Remote</t>
        </is>
      </c>
      <c r="E170" s="48" t="inlineStr">
        <is>
          <t>IT / Software</t>
        </is>
      </c>
      <c r="F170" s="48" t="inlineStr">
        <is>
          <t>Entry Level (0-2 yrs)</t>
        </is>
      </c>
      <c r="G170" s="48" t="inlineStr">
        <is>
          <t>Full-time</t>
        </is>
      </c>
      <c r="H170" s="48" t="inlineStr">
        <is>
          <t>Remote</t>
        </is>
      </c>
      <c r="I170" s="49" t="n">
        <v>1.5</v>
      </c>
      <c r="J170" s="49" t="n">
        <v>2</v>
      </c>
      <c r="K170" s="48" t="inlineStr">
        <is>
          <t>Non IT Recruitment, HR, Recruitment, Bulk Hiring</t>
        </is>
      </c>
      <c r="L170" s="56" t="n">
        <v>45969</v>
      </c>
    </row>
    <row r="171">
      <c r="A171" s="48" t="inlineStr">
        <is>
          <t>J0419</t>
        </is>
      </c>
      <c r="B171" s="48" t="inlineStr">
        <is>
          <t>Elite Relationship Manager_Business Banking</t>
        </is>
      </c>
      <c r="C171" s="48" t="inlineStr">
        <is>
          <t>BharatHire.Com Private Limited</t>
        </is>
      </c>
      <c r="D171" s="48" t="inlineStr">
        <is>
          <t>Pune</t>
        </is>
      </c>
      <c r="E171" s="48" t="inlineStr">
        <is>
          <t>BFSI (Banking/Finance/Insurance)</t>
        </is>
      </c>
      <c r="F171" s="48" t="inlineStr">
        <is>
          <t>Mid Level (3-6 yrs)</t>
        </is>
      </c>
      <c r="G171" s="48" t="inlineStr">
        <is>
          <t>Full-time</t>
        </is>
      </c>
      <c r="H171" s="48" t="inlineStr">
        <is>
          <t>On-site</t>
        </is>
      </c>
      <c r="I171" s="49" t="n">
        <v>8</v>
      </c>
      <c r="J171" s="49" t="n">
        <v>12</v>
      </c>
      <c r="K171" s="48" t="inlineStr">
        <is>
          <t>Portfolio Management, Elite Relationship Manager, Casa Sales, Saving Account</t>
        </is>
      </c>
      <c r="L171" s="56" t="n">
        <v>45972</v>
      </c>
    </row>
    <row r="172">
      <c r="A172" s="48" t="inlineStr">
        <is>
          <t>J0326</t>
        </is>
      </c>
      <c r="B172" s="48" t="inlineStr">
        <is>
          <t>Estate Manager (Customer Relationship Manager)</t>
        </is>
      </c>
      <c r="C172" s="48" t="inlineStr">
        <is>
          <t>E-homes Infrastructure</t>
        </is>
      </c>
      <c r="D172" s="48" t="inlineStr">
        <is>
          <t>Ghaziabad</t>
        </is>
      </c>
      <c r="E172" s="48" t="inlineStr">
        <is>
          <t>Real Estate &amp; Construction</t>
        </is>
      </c>
      <c r="F172" s="48" t="inlineStr">
        <is>
          <t>Senior Level (7+ yrs)</t>
        </is>
      </c>
      <c r="G172" s="48" t="inlineStr">
        <is>
          <t>Full-time</t>
        </is>
      </c>
      <c r="H172" s="48" t="inlineStr">
        <is>
          <t>On-site</t>
        </is>
      </c>
      <c r="I172" s="49" t="n">
        <v>6</v>
      </c>
      <c r="J172" s="49" t="n">
        <v>8</v>
      </c>
      <c r="K172" s="48" t="inlineStr">
        <is>
          <t>Administration, Relationship Manager, MEP, Property Management</t>
        </is>
      </c>
      <c r="L172" s="56" t="n">
        <v>45973</v>
      </c>
    </row>
    <row r="173">
      <c r="A173" s="48" t="inlineStr">
        <is>
          <t>J0052</t>
        </is>
      </c>
      <c r="B173" s="48" t="inlineStr">
        <is>
          <t>Accountant</t>
        </is>
      </c>
      <c r="C173" s="48" t="inlineStr">
        <is>
          <t>Mars Placement And Hr Solutions</t>
        </is>
      </c>
      <c r="D173" s="48" t="inlineStr">
        <is>
          <t>Ghaziabad</t>
        </is>
      </c>
      <c r="E173" s="48" t="inlineStr">
        <is>
          <t>BFSI (Banking/Finance/Insurance)</t>
        </is>
      </c>
      <c r="F173" s="48" t="inlineStr">
        <is>
          <t>Entry Level (0-2 yrs)</t>
        </is>
      </c>
      <c r="G173" s="48" t="inlineStr">
        <is>
          <t>Full-time</t>
        </is>
      </c>
      <c r="H173" s="48" t="inlineStr">
        <is>
          <t>On-site</t>
        </is>
      </c>
      <c r="I173" s="49" t="n">
        <v>2.25</v>
      </c>
      <c r="J173" s="49" t="n">
        <v>3.25</v>
      </c>
      <c r="K173" s="48" t="inlineStr">
        <is>
          <t>Tally ERP, Accounting, Busy, Book Keeping</t>
        </is>
      </c>
      <c r="L173" s="56" t="n">
        <v>45976</v>
      </c>
    </row>
    <row r="174">
      <c r="A174" s="48" t="inlineStr">
        <is>
          <t>J0430</t>
        </is>
      </c>
      <c r="B174" s="48" t="inlineStr">
        <is>
          <t>Sales Manager - Used Car Loans</t>
        </is>
      </c>
      <c r="C174" s="48" t="inlineStr">
        <is>
          <t>Tata Capital</t>
        </is>
      </c>
      <c r="D174" s="48" t="inlineStr">
        <is>
          <t>BENGALURU</t>
        </is>
      </c>
      <c r="E174" s="48" t="inlineStr">
        <is>
          <t>BFSI (Banking/Finance/Insurance)</t>
        </is>
      </c>
      <c r="F174" s="48" t="inlineStr">
        <is>
          <t>Mid Level (3-6 yrs)</t>
        </is>
      </c>
      <c r="G174" s="48" t="inlineStr">
        <is>
          <t>Full-time</t>
        </is>
      </c>
      <c r="H174" s="48" t="inlineStr">
        <is>
          <t>On-site</t>
        </is>
      </c>
      <c r="I174" s="49" t="n"/>
      <c r="J174" s="49" t="n"/>
      <c r="K174" s="48" t="inlineStr">
        <is>
          <t>sales, marketing, sales management, lead generation</t>
        </is>
      </c>
      <c r="L174" s="56" t="n">
        <v>45966</v>
      </c>
    </row>
    <row r="175">
      <c r="A175" s="48" t="inlineStr">
        <is>
          <t>J0325</t>
        </is>
      </c>
      <c r="B175" s="48" t="inlineStr">
        <is>
          <t>Power Platform Developer</t>
        </is>
      </c>
      <c r="C175" s="48" t="inlineStr">
        <is>
          <t>Doehler</t>
        </is>
      </c>
      <c r="D175" s="48" t="inlineStr">
        <is>
          <t>Pune(Hinjewadi Phase 2)</t>
        </is>
      </c>
      <c r="E175" s="48" t="inlineStr">
        <is>
          <t>IT / Software</t>
        </is>
      </c>
      <c r="F175" s="48" t="inlineStr">
        <is>
          <t>Senior Level (7+ yrs)</t>
        </is>
      </c>
      <c r="G175" s="48" t="inlineStr">
        <is>
          <t>Full-time</t>
        </is>
      </c>
      <c r="H175" s="48" t="inlineStr">
        <is>
          <t>Hybrid</t>
        </is>
      </c>
      <c r="I175" s="49" t="n">
        <v>10</v>
      </c>
      <c r="J175" s="49" t="n">
        <v>20</v>
      </c>
      <c r="K175" s="48" t="inlineStr">
        <is>
          <t>Power Automate, Power Bi, Power Platform, Sharepoint</t>
        </is>
      </c>
      <c r="L175" s="56" t="n">
        <v>45969</v>
      </c>
    </row>
    <row r="176">
      <c r="A176" s="48" t="inlineStr">
        <is>
          <t>J0392</t>
        </is>
      </c>
      <c r="B176" s="48" t="inlineStr">
        <is>
          <t>Real Estate Sales Executive</t>
        </is>
      </c>
      <c r="C176" s="48" t="inlineStr">
        <is>
          <t>Investors Clinic</t>
        </is>
      </c>
      <c r="D176" s="48" t="inlineStr">
        <is>
          <t>Noida</t>
        </is>
      </c>
      <c r="E176" s="48" t="inlineStr">
        <is>
          <t>Marketing &amp; Advertising</t>
        </is>
      </c>
      <c r="F176" s="48" t="inlineStr">
        <is>
          <t>Entry Level (0-2 yrs)</t>
        </is>
      </c>
      <c r="G176" s="48" t="inlineStr">
        <is>
          <t>Full-time</t>
        </is>
      </c>
      <c r="H176" s="48" t="inlineStr">
        <is>
          <t>On-site</t>
        </is>
      </c>
      <c r="I176" s="49" t="n">
        <v>2.5</v>
      </c>
      <c r="J176" s="49" t="n">
        <v>6</v>
      </c>
      <c r="K176" s="48" t="inlineStr">
        <is>
          <t>Real Estate Sales, Negotiation, B2C Sales, Commercial Real Estate</t>
        </is>
      </c>
      <c r="L176" s="56" t="n">
        <v>45975</v>
      </c>
    </row>
    <row r="177">
      <c r="A177" s="48" t="inlineStr">
        <is>
          <t>J0084</t>
        </is>
      </c>
      <c r="B177" s="48" t="inlineStr">
        <is>
          <t>Mis Executive</t>
        </is>
      </c>
      <c r="C177" s="48" t="inlineStr">
        <is>
          <t>Sri Sai Overseas Recruitments</t>
        </is>
      </c>
      <c r="D177" s="48" t="inlineStr">
        <is>
          <t>Ahmedabad</t>
        </is>
      </c>
      <c r="E177" s="48" t="inlineStr">
        <is>
          <t>Other / General Business</t>
        </is>
      </c>
      <c r="F177" s="48" t="inlineStr">
        <is>
          <t>Entry Level (0-2 yrs)</t>
        </is>
      </c>
      <c r="G177" s="48" t="inlineStr">
        <is>
          <t>Full-time</t>
        </is>
      </c>
      <c r="H177" s="48" t="inlineStr">
        <is>
          <t>On-site</t>
        </is>
      </c>
      <c r="I177" s="49" t="n">
        <v>3</v>
      </c>
      <c r="J177" s="49" t="n">
        <v>3.5</v>
      </c>
      <c r="K177" s="48" t="inlineStr">
        <is>
          <t>MIS Operations, MIS Reporting, Operations, Reporting</t>
        </is>
      </c>
      <c r="L177" s="56" t="n">
        <v>45967</v>
      </c>
    </row>
    <row r="178">
      <c r="A178" s="48" t="inlineStr">
        <is>
          <t>J0219</t>
        </is>
      </c>
      <c r="B178" s="48" t="inlineStr">
        <is>
          <t>Account Executive</t>
        </is>
      </c>
      <c r="C178" s="48" t="inlineStr">
        <is>
          <t>Axiom Software Solutions</t>
        </is>
      </c>
      <c r="D178" s="48" t="inlineStr">
        <is>
          <t>Noida</t>
        </is>
      </c>
      <c r="E178" s="48" t="inlineStr">
        <is>
          <t>Other / General Business</t>
        </is>
      </c>
      <c r="F178" s="48" t="inlineStr">
        <is>
          <t>Entry Level (0-2 yrs)</t>
        </is>
      </c>
      <c r="G178" s="48" t="inlineStr">
        <is>
          <t>Full-time</t>
        </is>
      </c>
      <c r="H178" s="48" t="inlineStr">
        <is>
          <t>On-site</t>
        </is>
      </c>
      <c r="I178" s="49" t="n">
        <v>2.5</v>
      </c>
      <c r="J178" s="49" t="n">
        <v>3.25</v>
      </c>
      <c r="K178" s="48" t="inlineStr">
        <is>
          <t>Tds Filing, Gst Return, Invoice Generation, TDS Return</t>
        </is>
      </c>
      <c r="L178" s="56" t="n">
        <v>45968</v>
      </c>
    </row>
    <row r="179">
      <c r="A179" s="48" t="inlineStr">
        <is>
          <t>J0272</t>
        </is>
      </c>
      <c r="B179" s="48" t="inlineStr">
        <is>
          <t>Security Consultant - Proxy Management (Zscaler)</t>
        </is>
      </c>
      <c r="C179" s="48" t="inlineStr">
        <is>
          <t>Clover Infotech</t>
        </is>
      </c>
      <c r="D179" s="48" t="inlineStr">
        <is>
          <t>Chennai</t>
        </is>
      </c>
      <c r="E179" s="48" t="inlineStr">
        <is>
          <t>Other / General Business</t>
        </is>
      </c>
      <c r="F179" s="48" t="inlineStr">
        <is>
          <t>Mid Level (3-6 yrs)</t>
        </is>
      </c>
      <c r="G179" s="48" t="inlineStr">
        <is>
          <t>Full-time</t>
        </is>
      </c>
      <c r="H179" s="48" t="inlineStr">
        <is>
          <t>On-site</t>
        </is>
      </c>
      <c r="I179" s="49" t="n"/>
      <c r="J179" s="49" t="n"/>
      <c r="K179" s="48" t="inlineStr">
        <is>
          <t>zscaler internet access, Zscaler, Zscaler Private Access, Access</t>
        </is>
      </c>
      <c r="L179" s="56" t="n">
        <v>45969</v>
      </c>
    </row>
    <row r="180">
      <c r="A180" s="48" t="inlineStr">
        <is>
          <t>J0146</t>
        </is>
      </c>
      <c r="B180" s="48" t="inlineStr">
        <is>
          <t>Dot Net Fullstack Developer</t>
        </is>
      </c>
      <c r="C180" s="48" t="inlineStr">
        <is>
          <t>Cloudxtreme</t>
        </is>
      </c>
      <c r="D180" s="48" t="inlineStr">
        <is>
          <t>Hyderabad</t>
        </is>
      </c>
      <c r="E180" s="48" t="inlineStr">
        <is>
          <t>IT / Software</t>
        </is>
      </c>
      <c r="F180" s="48" t="inlineStr">
        <is>
          <t>Mid Level (3-6 yrs)</t>
        </is>
      </c>
      <c r="G180" s="48" t="inlineStr">
        <is>
          <t>Full-time</t>
        </is>
      </c>
      <c r="H180" s="48" t="inlineStr">
        <is>
          <t>Hybrid</t>
        </is>
      </c>
      <c r="I180" s="49" t="n">
        <v>7</v>
      </c>
      <c r="J180" s="49" t="n">
        <v>17</v>
      </c>
      <c r="K180" s="48" t="inlineStr">
        <is>
          <t>Gen AI, .Net Core, Web Api, Javascript</t>
        </is>
      </c>
      <c r="L180" s="56" t="n">
        <v>45972</v>
      </c>
    </row>
    <row r="181">
      <c r="A181" s="48" t="inlineStr">
        <is>
          <t>J0284</t>
        </is>
      </c>
      <c r="B181" s="48" t="inlineStr">
        <is>
          <t>Field Technician : Power/Smart Grid Systems</t>
        </is>
      </c>
      <c r="C181" s="48" t="inlineStr">
        <is>
          <t>Dev Solutions</t>
        </is>
      </c>
      <c r="D181" s="48" t="inlineStr">
        <is>
          <t>Gurgaon</t>
        </is>
      </c>
      <c r="E181" s="48" t="inlineStr">
        <is>
          <t>Manufacturing &amp; Engineering</t>
        </is>
      </c>
      <c r="F181" s="48" t="inlineStr">
        <is>
          <t>Mid Level (3-6 yrs)</t>
        </is>
      </c>
      <c r="G181" s="48" t="inlineStr">
        <is>
          <t>Full-time</t>
        </is>
      </c>
      <c r="H181" s="48" t="inlineStr">
        <is>
          <t>On-site</t>
        </is>
      </c>
      <c r="I181" s="49" t="n">
        <v>4</v>
      </c>
      <c r="J181" s="49" t="n">
        <v>8</v>
      </c>
      <c r="K181" s="48" t="inlineStr">
        <is>
          <t>Installation, Smart Metering, Problem Solving, distribution grid</t>
        </is>
      </c>
      <c r="L181" s="56" t="n">
        <v>45969</v>
      </c>
    </row>
    <row r="182">
      <c r="A182" s="48" t="inlineStr">
        <is>
          <t>J0157</t>
        </is>
      </c>
      <c r="B182" s="48" t="inlineStr">
        <is>
          <t>Sr Java Developer</t>
        </is>
      </c>
      <c r="C182" s="48" t="inlineStr">
        <is>
          <t>Placement Pandits</t>
        </is>
      </c>
      <c r="D182" s="48" t="inlineStr">
        <is>
          <t>Udaipur</t>
        </is>
      </c>
      <c r="E182" s="48" t="inlineStr">
        <is>
          <t>IT / Software</t>
        </is>
      </c>
      <c r="F182" s="48" t="inlineStr">
        <is>
          <t>Mid Level (3-6 yrs)</t>
        </is>
      </c>
      <c r="G182" s="48" t="inlineStr">
        <is>
          <t>Full-time</t>
        </is>
      </c>
      <c r="H182" s="48" t="inlineStr">
        <is>
          <t>On-site</t>
        </is>
      </c>
      <c r="I182" s="49" t="n">
        <v>15</v>
      </c>
      <c r="J182" s="49" t="n">
        <v>20</v>
      </c>
      <c r="K182" s="48" t="inlineStr">
        <is>
          <t>JAVA2EE, SPRING, Hibernate, JAVA SCRIPT</t>
        </is>
      </c>
      <c r="L182" s="56" t="n">
        <v>45969</v>
      </c>
    </row>
    <row r="183">
      <c r="A183" s="48" t="inlineStr">
        <is>
          <t>J0258</t>
        </is>
      </c>
      <c r="B183" s="48" t="inlineStr">
        <is>
          <t>Bulk Hiring | Inbound Sales | Sales Consultants | 30k-50k</t>
        </is>
      </c>
      <c r="C183" s="48" t="inlineStr">
        <is>
          <t xml:space="preserve">  Talent City Consultants  </t>
        </is>
      </c>
      <c r="D183" s="48" t="inlineStr">
        <is>
          <t>Delhi</t>
        </is>
      </c>
      <c r="E183" s="48" t="inlineStr">
        <is>
          <t>Telecom</t>
        </is>
      </c>
      <c r="F183" s="48" t="inlineStr">
        <is>
          <t>Entry Level (0-2 yrs)</t>
        </is>
      </c>
      <c r="G183" s="48" t="inlineStr">
        <is>
          <t>Full-time</t>
        </is>
      </c>
      <c r="H183" s="48" t="inlineStr">
        <is>
          <t>On-site</t>
        </is>
      </c>
      <c r="I183" s="49" t="n">
        <v>3</v>
      </c>
      <c r="J183" s="49" t="n">
        <v>6</v>
      </c>
      <c r="K183" s="48" t="inlineStr">
        <is>
          <t>US Sales, telecom sales, Upselling, International sales</t>
        </is>
      </c>
      <c r="L183" s="56" t="n">
        <v>45972</v>
      </c>
    </row>
    <row r="184">
      <c r="A184" s="48" t="inlineStr">
        <is>
          <t>J0180</t>
        </is>
      </c>
      <c r="B184" s="48" t="inlineStr">
        <is>
          <t>EQUITY DEALER/ SENIOR DEALER- STOCK BROKING</t>
        </is>
      </c>
      <c r="C184" s="48" t="inlineStr">
        <is>
          <t>Popular Placements Consultancy</t>
        </is>
      </c>
      <c r="D184" s="48" t="inlineStr">
        <is>
          <t>Vapi</t>
        </is>
      </c>
      <c r="E184" s="48" t="inlineStr">
        <is>
          <t>BFSI (Banking/Finance/Insurance)</t>
        </is>
      </c>
      <c r="F184" s="48" t="inlineStr">
        <is>
          <t>Senior Level (7+ yrs)</t>
        </is>
      </c>
      <c r="G184" s="48" t="inlineStr">
        <is>
          <t>Full-time</t>
        </is>
      </c>
      <c r="H184" s="48" t="inlineStr">
        <is>
          <t>On-site</t>
        </is>
      </c>
      <c r="I184" s="49" t="n">
        <v>5</v>
      </c>
      <c r="J184" s="49" t="n">
        <v>15</v>
      </c>
      <c r="K184" s="48" t="inlineStr">
        <is>
          <t>equity, Operator, HNI, capital market</t>
        </is>
      </c>
      <c r="L184" s="56" t="n">
        <v>45966</v>
      </c>
    </row>
    <row r="185">
      <c r="A185" s="48" t="inlineStr">
        <is>
          <t>J0269</t>
        </is>
      </c>
      <c r="B185" s="48" t="inlineStr">
        <is>
          <t>Medical Coding || HHC || Work from Home &amp; Work From Office</t>
        </is>
      </c>
      <c r="C185" s="48" t="inlineStr">
        <is>
          <t>Axis Services</t>
        </is>
      </c>
      <c r="D185" s="48" t="inlineStr">
        <is>
          <t>Hyderabad</t>
        </is>
      </c>
      <c r="E185" s="48" t="inlineStr">
        <is>
          <t>Healthcare &amp; Pharma</t>
        </is>
      </c>
      <c r="F185" s="48" t="inlineStr">
        <is>
          <t>Entry Level (0-2 yrs)</t>
        </is>
      </c>
      <c r="G185" s="48" t="inlineStr">
        <is>
          <t>Full-time</t>
        </is>
      </c>
      <c r="H185" s="48" t="inlineStr">
        <is>
          <t>On-site</t>
        </is>
      </c>
      <c r="I185" s="49" t="n">
        <v>5</v>
      </c>
      <c r="J185" s="49" t="n">
        <v>7.5</v>
      </c>
      <c r="K185" s="48" t="inlineStr">
        <is>
          <t>bchhc, hhc, Home Health, Ip Drg</t>
        </is>
      </c>
      <c r="L185" s="56" t="n">
        <v>45969</v>
      </c>
    </row>
    <row r="186">
      <c r="A186" s="48" t="inlineStr">
        <is>
          <t>J0153</t>
        </is>
      </c>
      <c r="B186" s="48" t="inlineStr">
        <is>
          <t>Dtp Executive</t>
        </is>
      </c>
      <c r="C186" s="48" t="inlineStr">
        <is>
          <t>SRS Hr Solution</t>
        </is>
      </c>
      <c r="D186" s="48" t="inlineStr">
        <is>
          <t>Kanchipuram</t>
        </is>
      </c>
      <c r="E186" s="48" t="inlineStr">
        <is>
          <t>Other / General Business</t>
        </is>
      </c>
      <c r="F186" s="48" t="inlineStr">
        <is>
          <t>Entry Level (0-2 yrs)</t>
        </is>
      </c>
      <c r="G186" s="48" t="inlineStr">
        <is>
          <t>Full-time</t>
        </is>
      </c>
      <c r="H186" s="48" t="inlineStr">
        <is>
          <t>On-site</t>
        </is>
      </c>
      <c r="I186" s="49" t="n">
        <v>1.8</v>
      </c>
      <c r="J186" s="49" t="n">
        <v>2.4</v>
      </c>
      <c r="K186" s="48" t="inlineStr">
        <is>
          <t>DTP, English, Typing, Tamil</t>
        </is>
      </c>
      <c r="L186" s="56" t="n">
        <v>45966</v>
      </c>
    </row>
    <row r="187">
      <c r="A187" s="48" t="inlineStr">
        <is>
          <t>J0429</t>
        </is>
      </c>
      <c r="B187" s="48" t="inlineStr">
        <is>
          <t xml:space="preserve">  Shift IN charge-Production , Pune ,Wagholi , Relocated Can applying  </t>
        </is>
      </c>
      <c r="C187" s="48" t="inlineStr">
        <is>
          <t>HR Innovation Group</t>
        </is>
      </c>
      <c r="D187" s="48" t="inlineStr">
        <is>
          <t>Aurangabad</t>
        </is>
      </c>
      <c r="E187" s="48" t="inlineStr">
        <is>
          <t>Manufacturing &amp; Engineering</t>
        </is>
      </c>
      <c r="F187" s="48" t="inlineStr">
        <is>
          <t>Senior Level (7+ yrs)</t>
        </is>
      </c>
      <c r="G187" s="48" t="inlineStr">
        <is>
          <t>Full-time</t>
        </is>
      </c>
      <c r="H187" s="48" t="inlineStr">
        <is>
          <t>On-site</t>
        </is>
      </c>
      <c r="I187" s="49" t="n">
        <v>5</v>
      </c>
      <c r="J187" s="49" t="n">
        <v>6</v>
      </c>
      <c r="K187" s="48" t="inlineStr">
        <is>
          <t>Shift Planning, Shift Operation, Shift Production, ERP</t>
        </is>
      </c>
      <c r="L187" s="56" t="n">
        <v>45973</v>
      </c>
    </row>
    <row r="188">
      <c r="A188" s="48" t="inlineStr">
        <is>
          <t>J0079</t>
        </is>
      </c>
      <c r="B188" s="48" t="inlineStr">
        <is>
          <t>Corporate Salary Officer- Assistant Manager sales-Female</t>
        </is>
      </c>
      <c r="C188" s="48" t="inlineStr">
        <is>
          <t>Axis Bank</t>
        </is>
      </c>
      <c r="D188" s="48" t="inlineStr">
        <is>
          <t>Kolkata</t>
        </is>
      </c>
      <c r="E188" s="48" t="inlineStr">
        <is>
          <t>Marketing &amp; Advertising</t>
        </is>
      </c>
      <c r="F188" s="48" t="inlineStr">
        <is>
          <t>Entry Level (0-2 yrs)</t>
        </is>
      </c>
      <c r="G188" s="48" t="inlineStr">
        <is>
          <t>Full-time</t>
        </is>
      </c>
      <c r="H188" s="48" t="inlineStr">
        <is>
          <t>On-site</t>
        </is>
      </c>
      <c r="I188" s="49" t="n"/>
      <c r="J188" s="49" t="n"/>
      <c r="K188" s="48" t="inlineStr">
        <is>
          <t>Corporate Salary, Salary Account, B2B Sales, Corporate Cards</t>
        </is>
      </c>
      <c r="L188" s="56" t="n">
        <v>45976</v>
      </c>
    </row>
    <row r="189">
      <c r="A189" s="48" t="inlineStr">
        <is>
          <t>J0141</t>
        </is>
      </c>
      <c r="B189" s="48" t="inlineStr">
        <is>
          <t>Title-Scheduling Specialist (WFH)</t>
        </is>
      </c>
      <c r="C189" s="48" t="inlineStr">
        <is>
          <t>Venpa Staffing</t>
        </is>
      </c>
      <c r="D189" s="48" t="inlineStr">
        <is>
          <t>Remote</t>
        </is>
      </c>
      <c r="E189" s="48" t="inlineStr">
        <is>
          <t>Other / General Business</t>
        </is>
      </c>
      <c r="F189" s="48" t="inlineStr">
        <is>
          <t>Entry Level (0-2 yrs)</t>
        </is>
      </c>
      <c r="G189" s="48" t="inlineStr">
        <is>
          <t>Full-time</t>
        </is>
      </c>
      <c r="H189" s="48" t="inlineStr">
        <is>
          <t>Remote</t>
        </is>
      </c>
      <c r="I189" s="49" t="n">
        <v>2.25</v>
      </c>
      <c r="J189" s="49" t="n">
        <v>3.75</v>
      </c>
      <c r="K189" s="48" t="inlineStr">
        <is>
          <t>Title Scheduling, title funding, us mortgage, Mortgage</t>
        </is>
      </c>
      <c r="L189" s="56" t="n">
        <v>45967</v>
      </c>
    </row>
    <row r="190">
      <c r="A190" s="48" t="inlineStr">
        <is>
          <t>J0312</t>
        </is>
      </c>
      <c r="B190" s="48" t="inlineStr">
        <is>
          <t>Electrical Engineer</t>
        </is>
      </c>
      <c r="C190" s="48" t="inlineStr">
        <is>
          <t>Pal Fashions</t>
        </is>
      </c>
      <c r="D190" s="48" t="inlineStr">
        <is>
          <t>Vasai</t>
        </is>
      </c>
      <c r="E190" s="48" t="inlineStr">
        <is>
          <t>Manufacturing &amp; Engineering</t>
        </is>
      </c>
      <c r="F190" s="48" t="inlineStr">
        <is>
          <t>Entry Level (0-2 yrs)</t>
        </is>
      </c>
      <c r="G190" s="48" t="inlineStr">
        <is>
          <t>Full-time</t>
        </is>
      </c>
      <c r="H190" s="48" t="inlineStr">
        <is>
          <t>On-site</t>
        </is>
      </c>
      <c r="I190" s="49" t="n">
        <v>3</v>
      </c>
      <c r="J190" s="49" t="n">
        <v>3.5</v>
      </c>
      <c r="K190" s="48" t="inlineStr">
        <is>
          <t>practical knowledge, data analysis, communication sckills, Electricals</t>
        </is>
      </c>
      <c r="L190" s="56" t="n">
        <v>45966</v>
      </c>
    </row>
    <row r="191">
      <c r="A191" s="48" t="inlineStr">
        <is>
          <t>J0179</t>
        </is>
      </c>
      <c r="B191" s="48" t="inlineStr">
        <is>
          <t>SR. Estimations AND Proposal Engineer</t>
        </is>
      </c>
      <c r="C191" s="48" t="inlineStr">
        <is>
          <t>Viral P Shah &amp; Co</t>
        </is>
      </c>
      <c r="D191" s="48" t="inlineStr">
        <is>
          <t>Ahmedabad</t>
        </is>
      </c>
      <c r="E191" s="48" t="inlineStr">
        <is>
          <t>Manufacturing &amp; Engineering</t>
        </is>
      </c>
      <c r="F191" s="48" t="inlineStr">
        <is>
          <t>Mid Level (3-6 yrs)</t>
        </is>
      </c>
      <c r="G191" s="48" t="inlineStr">
        <is>
          <t>Full-time</t>
        </is>
      </c>
      <c r="H191" s="48" t="inlineStr">
        <is>
          <t>On-site</t>
        </is>
      </c>
      <c r="I191" s="49" t="n">
        <v>2.5</v>
      </c>
      <c r="J191" s="49" t="n">
        <v>4.75</v>
      </c>
      <c r="K191" s="48" t="inlineStr">
        <is>
          <t>mechanical concepts &amp; formulas, read Engineering drawings, Analyzing and Numerical, Ms Excel</t>
        </is>
      </c>
      <c r="L191" s="56" t="n">
        <v>45976</v>
      </c>
    </row>
    <row r="192">
      <c r="A192" s="48" t="inlineStr">
        <is>
          <t>J0402</t>
        </is>
      </c>
      <c r="B192" s="48" t="inlineStr">
        <is>
          <t>Snowflake Data Warehouse Engineers</t>
        </is>
      </c>
      <c r="C192" s="48" t="inlineStr">
        <is>
          <t>IDESLABS PRIVATE LIMITED</t>
        </is>
      </c>
      <c r="D192" s="48" t="inlineStr">
        <is>
          <t>Chennai</t>
        </is>
      </c>
      <c r="E192" s="48" t="inlineStr">
        <is>
          <t>IT / Software</t>
        </is>
      </c>
      <c r="F192" s="48" t="inlineStr">
        <is>
          <t>Mid Level (3-6 yrs)</t>
        </is>
      </c>
      <c r="G192" s="48" t="inlineStr">
        <is>
          <t>Full-time</t>
        </is>
      </c>
      <c r="H192" s="48" t="inlineStr">
        <is>
          <t>On-site</t>
        </is>
      </c>
      <c r="I192" s="49" t="n"/>
      <c r="J192" s="49" t="n"/>
      <c r="K192" s="48" t="inlineStr">
        <is>
          <t>snowflake, facilitation, stored procedures, complex queries</t>
        </is>
      </c>
      <c r="L192" s="56" t="n">
        <v>45967</v>
      </c>
    </row>
    <row r="193">
      <c r="A193" s="48" t="inlineStr">
        <is>
          <t>J0093</t>
        </is>
      </c>
      <c r="B193" s="48" t="inlineStr">
        <is>
          <t>ServiceNow Developer- Pan India(bs)</t>
        </is>
      </c>
      <c r="C193" s="48" t="inlineStr">
        <is>
          <t>Infosys</t>
        </is>
      </c>
      <c r="D193" s="48" t="inlineStr">
        <is>
          <t>Hyderabad</t>
        </is>
      </c>
      <c r="E193" s="48" t="inlineStr">
        <is>
          <t>IT / Software</t>
        </is>
      </c>
      <c r="F193" s="48" t="inlineStr">
        <is>
          <t>Mid Level (3-6 yrs)</t>
        </is>
      </c>
      <c r="G193" s="48" t="inlineStr">
        <is>
          <t>Full-time</t>
        </is>
      </c>
      <c r="H193" s="48" t="inlineStr">
        <is>
          <t>On-site</t>
        </is>
      </c>
      <c r="I193" s="49" t="n"/>
      <c r="J193" s="49" t="n"/>
      <c r="K193" s="48" t="inlineStr">
        <is>
          <t>Servicenow, Hrsd, CSM, Servicenow developer</t>
        </is>
      </c>
      <c r="L193" s="56" t="n">
        <v>45973</v>
      </c>
    </row>
    <row r="194">
      <c r="A194" s="48" t="inlineStr">
        <is>
          <t>J0370</t>
        </is>
      </c>
      <c r="B194" s="48" t="inlineStr">
        <is>
          <t>Sales Engineer</t>
        </is>
      </c>
      <c r="C194" s="48" t="inlineStr">
        <is>
          <t>United Control Engineers</t>
        </is>
      </c>
      <c r="D194" s="48" t="inlineStr">
        <is>
          <t>Faridabad</t>
        </is>
      </c>
      <c r="E194" s="48" t="inlineStr">
        <is>
          <t>Manufacturing &amp; Engineering</t>
        </is>
      </c>
      <c r="F194" s="48" t="inlineStr">
        <is>
          <t>Entry Level (0-2 yrs)</t>
        </is>
      </c>
      <c r="G194" s="48" t="inlineStr">
        <is>
          <t>Full-time</t>
        </is>
      </c>
      <c r="H194" s="48" t="inlineStr">
        <is>
          <t>On-site</t>
        </is>
      </c>
      <c r="I194" s="49" t="n">
        <v>3.5</v>
      </c>
      <c r="J194" s="49" t="n">
        <v>7</v>
      </c>
      <c r="K194" s="48" t="inlineStr">
        <is>
          <t>Sales Engineering, Industrial Sales, Switchgear, Control Panel</t>
        </is>
      </c>
      <c r="L194" s="56" t="n">
        <v>45976</v>
      </c>
    </row>
    <row r="195">
      <c r="A195" s="48" t="inlineStr">
        <is>
          <t>J0390</t>
        </is>
      </c>
      <c r="B195" s="48" t="inlineStr">
        <is>
          <t>Business Associate (Partnerships)</t>
        </is>
      </c>
      <c r="C195" s="48" t="inlineStr">
        <is>
          <t>Geekyants</t>
        </is>
      </c>
      <c r="D195" s="48" t="inlineStr">
        <is>
          <t>Bengaluru</t>
        </is>
      </c>
      <c r="E195" s="48" t="inlineStr">
        <is>
          <t>Sales &amp; Business Development</t>
        </is>
      </c>
      <c r="F195" s="48" t="inlineStr">
        <is>
          <t>Entry Level (0-2 yrs)</t>
        </is>
      </c>
      <c r="G195" s="48" t="inlineStr">
        <is>
          <t>Full-time</t>
        </is>
      </c>
      <c r="H195" s="48" t="inlineStr">
        <is>
          <t>On-site</t>
        </is>
      </c>
      <c r="I195" s="49" t="n">
        <v>3</v>
      </c>
      <c r="J195" s="49" t="n">
        <v>5</v>
      </c>
      <c r="K195" s="48" t="inlineStr">
        <is>
          <t>Partnership Management, Sales Negotiation &amp; Business Discussions, Project Coordination, Stakeholder Management</t>
        </is>
      </c>
      <c r="L195" s="56" t="n">
        <v>45973</v>
      </c>
    </row>
    <row r="196">
      <c r="A196" s="48" t="inlineStr">
        <is>
          <t>J0277</t>
        </is>
      </c>
      <c r="B196" s="48" t="inlineStr">
        <is>
          <t>Domain Consultant - L1</t>
        </is>
      </c>
      <c r="C196" s="48" t="inlineStr">
        <is>
          <t>Wipro</t>
        </is>
      </c>
      <c r="D196" s="48" t="inlineStr">
        <is>
          <t>Chennai</t>
        </is>
      </c>
      <c r="E196" s="48" t="inlineStr">
        <is>
          <t>Sales &amp; Business Development</t>
        </is>
      </c>
      <c r="F196" s="48" t="n"/>
      <c r="G196" s="48" t="inlineStr">
        <is>
          <t>Full-time</t>
        </is>
      </c>
      <c r="H196" s="48" t="inlineStr">
        <is>
          <t>On-site</t>
        </is>
      </c>
      <c r="I196" s="49" t="n"/>
      <c r="J196" s="49" t="n"/>
      <c r="K196" s="48" t="inlineStr">
        <is>
          <t>data analysis, business strategy, business analysis, user stories</t>
        </is>
      </c>
      <c r="L196" s="56" t="n">
        <v>45969</v>
      </c>
    </row>
    <row r="197">
      <c r="A197" s="48" t="inlineStr">
        <is>
          <t>J0260</t>
        </is>
      </c>
      <c r="B197" s="48" t="inlineStr">
        <is>
          <t>Back Office Executive/ Office Assistant</t>
        </is>
      </c>
      <c r="C197" s="48" t="inlineStr">
        <is>
          <t>Time Ad-media India</t>
        </is>
      </c>
      <c r="D197" s="48" t="inlineStr">
        <is>
          <t>Ernakulam</t>
        </is>
      </c>
      <c r="E197" s="48" t="inlineStr">
        <is>
          <t>Marketing &amp; Advertising</t>
        </is>
      </c>
      <c r="F197" s="48" t="inlineStr">
        <is>
          <t>Entry Level (0-2 yrs)</t>
        </is>
      </c>
      <c r="G197" s="48" t="inlineStr">
        <is>
          <t>Full-time</t>
        </is>
      </c>
      <c r="H197" s="48" t="inlineStr">
        <is>
          <t>On-site</t>
        </is>
      </c>
      <c r="I197" s="49" t="n">
        <v>1.25</v>
      </c>
      <c r="J197" s="49" t="n">
        <v>3</v>
      </c>
      <c r="K197" s="48" t="inlineStr">
        <is>
          <t>Computer Knowledge, Marketing Support, Office assistance, Back office</t>
        </is>
      </c>
      <c r="L197" s="56" t="n">
        <v>45969</v>
      </c>
    </row>
    <row r="198">
      <c r="A198" s="48" t="inlineStr">
        <is>
          <t>J0105</t>
        </is>
      </c>
      <c r="B198" s="48" t="inlineStr">
        <is>
          <t>Executive</t>
        </is>
      </c>
      <c r="C198" s="48" t="inlineStr">
        <is>
          <t>EY</t>
        </is>
      </c>
      <c r="D198" s="48" t="inlineStr">
        <is>
          <t>Pune</t>
        </is>
      </c>
      <c r="E198" s="48" t="inlineStr">
        <is>
          <t>Other / General Business</t>
        </is>
      </c>
      <c r="F198" s="48" t="inlineStr">
        <is>
          <t>Entry Level (0-2 yrs)</t>
        </is>
      </c>
      <c r="G198" s="48" t="inlineStr">
        <is>
          <t>Full-time</t>
        </is>
      </c>
      <c r="H198" s="48" t="inlineStr">
        <is>
          <t>On-site</t>
        </is>
      </c>
      <c r="I198" s="49" t="n"/>
      <c r="J198" s="49" t="n"/>
      <c r="K198" s="48" t="inlineStr">
        <is>
          <t>CVS, Assurance, Operational excellence, Reconciliation</t>
        </is>
      </c>
      <c r="L198" s="56" t="n">
        <v>45967</v>
      </c>
    </row>
    <row r="199">
      <c r="A199" s="48" t="inlineStr">
        <is>
          <t>J0431</t>
        </is>
      </c>
      <c r="B199" s="48" t="inlineStr">
        <is>
          <t>Digital Marketing Executive</t>
        </is>
      </c>
      <c r="C199" s="48" t="inlineStr">
        <is>
          <t>Verve Global Services</t>
        </is>
      </c>
      <c r="D199" s="48" t="inlineStr">
        <is>
          <t>Pune</t>
        </is>
      </c>
      <c r="E199" s="48" t="inlineStr">
        <is>
          <t>Marketing &amp; Advertising</t>
        </is>
      </c>
      <c r="F199" s="48" t="inlineStr">
        <is>
          <t>Entry Level (0-2 yrs)</t>
        </is>
      </c>
      <c r="G199" s="48" t="inlineStr">
        <is>
          <t>Full-time</t>
        </is>
      </c>
      <c r="H199" s="48" t="inlineStr">
        <is>
          <t>On-site</t>
        </is>
      </c>
      <c r="I199" s="49" t="n">
        <v>2.4</v>
      </c>
      <c r="J199" s="49" t="n">
        <v>3</v>
      </c>
      <c r="K199" s="48" t="inlineStr">
        <is>
          <t>Content Marketing, Social Media Marketing, SEO, Marketing</t>
        </is>
      </c>
      <c r="L199" s="56" t="n">
        <v>45973</v>
      </c>
    </row>
    <row r="200">
      <c r="A200" s="48" t="inlineStr">
        <is>
          <t>J0397</t>
        </is>
      </c>
      <c r="B200" s="48" t="inlineStr">
        <is>
          <t>Bank Hiring II HL &amp; LAP II Upto 9 LPA</t>
        </is>
      </c>
      <c r="C200" s="48" t="inlineStr">
        <is>
          <t>Worldotalent</t>
        </is>
      </c>
      <c r="D200" s="48" t="inlineStr">
        <is>
          <t>Hyderabad</t>
        </is>
      </c>
      <c r="E200" s="48" t="inlineStr">
        <is>
          <t>BFSI (Banking/Finance/Insurance)</t>
        </is>
      </c>
      <c r="F200" s="48" t="inlineStr">
        <is>
          <t>Entry Level (0-2 yrs)</t>
        </is>
      </c>
      <c r="G200" s="48" t="inlineStr">
        <is>
          <t>Full-time</t>
        </is>
      </c>
      <c r="H200" s="48" t="inlineStr">
        <is>
          <t>On-site</t>
        </is>
      </c>
      <c r="I200" s="49" t="n">
        <v>4</v>
      </c>
      <c r="J200" s="49" t="n">
        <v>9</v>
      </c>
      <c r="K200" s="48" t="inlineStr">
        <is>
          <t>Home Loan, Secured Loan, Sr sales Manager, Offrole</t>
        </is>
      </c>
      <c r="L200" s="56" t="n">
        <v>45968</v>
      </c>
    </row>
    <row r="201">
      <c r="A201" s="48" t="inlineStr">
        <is>
          <t>J0409</t>
        </is>
      </c>
      <c r="B201" s="48" t="inlineStr">
        <is>
          <t>Platform Support Engineer- senior</t>
        </is>
      </c>
      <c r="C201" s="48" t="inlineStr">
        <is>
          <t>Cielo Talent</t>
        </is>
      </c>
      <c r="D201" s="48" t="inlineStr">
        <is>
          <t>Bengaluru(Sarjapur)</t>
        </is>
      </c>
      <c r="E201" s="48" t="inlineStr">
        <is>
          <t>IT / Software</t>
        </is>
      </c>
      <c r="F201" s="48" t="inlineStr">
        <is>
          <t>Mid Level (3-6 yrs)</t>
        </is>
      </c>
      <c r="G201" s="48" t="inlineStr">
        <is>
          <t>Full-time</t>
        </is>
      </c>
      <c r="H201" s="48" t="inlineStr">
        <is>
          <t>Hybrid</t>
        </is>
      </c>
      <c r="I201" s="49" t="n">
        <v>12</v>
      </c>
      <c r="J201" s="49" t="n">
        <v>19</v>
      </c>
      <c r="K201" s="48" t="inlineStr">
        <is>
          <t>Apigee Edge, Rest Api Design, Api Gateway, Python</t>
        </is>
      </c>
      <c r="L201" s="56" t="n">
        <v>45973</v>
      </c>
    </row>
    <row r="202">
      <c r="A202" s="48" t="inlineStr">
        <is>
          <t>J0200</t>
        </is>
      </c>
      <c r="B202" s="48" t="inlineStr">
        <is>
          <t>Customer Service Executive: UK MNC, Panchkula</t>
        </is>
      </c>
      <c r="C202" s="48" t="inlineStr">
        <is>
          <t>Vitonnix UK</t>
        </is>
      </c>
      <c r="D202" s="48" t="inlineStr">
        <is>
          <t>Chandigarh</t>
        </is>
      </c>
      <c r="E202" s="48" t="inlineStr">
        <is>
          <t>Marketing &amp; Advertising</t>
        </is>
      </c>
      <c r="F202" s="48" t="inlineStr">
        <is>
          <t>Entry Level (0-2 yrs)</t>
        </is>
      </c>
      <c r="G202" s="48" t="inlineStr">
        <is>
          <t>Full-time</t>
        </is>
      </c>
      <c r="H202" s="48" t="inlineStr">
        <is>
          <t>On-site</t>
        </is>
      </c>
      <c r="I202" s="49" t="n">
        <v>3.5</v>
      </c>
      <c r="J202" s="49" t="n">
        <v>4.75</v>
      </c>
      <c r="K202" s="48" t="inlineStr">
        <is>
          <t>Telecalling, Bpo Voice, Telesales, Telemarketing</t>
        </is>
      </c>
      <c r="L202" s="56" t="n">
        <v>45967</v>
      </c>
    </row>
    <row r="203">
      <c r="A203" s="48" t="inlineStr">
        <is>
          <t>J0101</t>
        </is>
      </c>
      <c r="B203" s="48" t="inlineStr">
        <is>
          <t>Hiring Now:BPO Professionals For International Voice Process in B'lore</t>
        </is>
      </c>
      <c r="C203" s="48" t="inlineStr">
        <is>
          <t>JobShop</t>
        </is>
      </c>
      <c r="D203" s="48" t="inlineStr">
        <is>
          <t>Bengaluru</t>
        </is>
      </c>
      <c r="E203" s="48" t="inlineStr">
        <is>
          <t>Customer Service &amp; BPO</t>
        </is>
      </c>
      <c r="F203" s="48" t="inlineStr">
        <is>
          <t>Entry Level (0-2 yrs)</t>
        </is>
      </c>
      <c r="G203" s="48" t="inlineStr">
        <is>
          <t>Internship</t>
        </is>
      </c>
      <c r="H203" s="48" t="inlineStr">
        <is>
          <t>On-site</t>
        </is>
      </c>
      <c r="I203" s="49" t="n">
        <v>2.5</v>
      </c>
      <c r="J203" s="49" t="n">
        <v>6</v>
      </c>
      <c r="K203" s="48" t="inlineStr">
        <is>
          <t>International Call Center, International Voice, International Process, International Voice Process</t>
        </is>
      </c>
      <c r="L203" s="56" t="n">
        <v>45972</v>
      </c>
    </row>
    <row r="204">
      <c r="A204" s="48" t="inlineStr">
        <is>
          <t>J0371</t>
        </is>
      </c>
      <c r="B204" s="48" t="inlineStr">
        <is>
          <t>Data Engineer</t>
        </is>
      </c>
      <c r="C204" s="48" t="inlineStr">
        <is>
          <t>Growth Gamut</t>
        </is>
      </c>
      <c r="D204" s="48" t="inlineStr">
        <is>
          <t>Bengaluru</t>
        </is>
      </c>
      <c r="E204" s="48" t="inlineStr">
        <is>
          <t>IT / Software</t>
        </is>
      </c>
      <c r="F204" s="48" t="inlineStr">
        <is>
          <t>Mid Level (3-6 yrs)</t>
        </is>
      </c>
      <c r="G204" s="48" t="inlineStr">
        <is>
          <t>Full-time</t>
        </is>
      </c>
      <c r="H204" s="48" t="inlineStr">
        <is>
          <t>Hybrid</t>
        </is>
      </c>
      <c r="I204" s="49" t="n">
        <v>8</v>
      </c>
      <c r="J204" s="49" t="n">
        <v>15</v>
      </c>
      <c r="K204" s="48" t="inlineStr">
        <is>
          <t>Data Engineering, ETL, AWS, Data</t>
        </is>
      </c>
      <c r="L204" s="56" t="n">
        <v>45969</v>
      </c>
    </row>
    <row r="205">
      <c r="A205" s="48" t="inlineStr">
        <is>
          <t>J0280</t>
        </is>
      </c>
      <c r="B205" s="48" t="inlineStr">
        <is>
          <t>Software Test Automation Consultant</t>
        </is>
      </c>
      <c r="C205" s="48" t="inlineStr">
        <is>
          <t>Wolters Kluwer - Medknow Publications</t>
        </is>
      </c>
      <c r="D205" s="48" t="inlineStr">
        <is>
          <t>Kalyani</t>
        </is>
      </c>
      <c r="E205" s="48" t="inlineStr">
        <is>
          <t>IT / Software</t>
        </is>
      </c>
      <c r="F205" s="48" t="inlineStr">
        <is>
          <t>Mid Level (3-6 yrs)</t>
        </is>
      </c>
      <c r="G205" s="48" t="inlineStr">
        <is>
          <t>Full-time</t>
        </is>
      </c>
      <c r="H205" s="48" t="inlineStr">
        <is>
          <t>On-site</t>
        </is>
      </c>
      <c r="I205" s="49" t="n"/>
      <c r="J205" s="49" t="n"/>
      <c r="K205" s="48" t="inlineStr">
        <is>
          <t>Automation, Manager Quality Assurance, Test scripts, Test design</t>
        </is>
      </c>
      <c r="L205" s="56" t="n">
        <v>45968</v>
      </c>
    </row>
    <row r="206">
      <c r="A206" s="48" t="inlineStr">
        <is>
          <t>J0218</t>
        </is>
      </c>
      <c r="B206" s="48" t="inlineStr">
        <is>
          <t>Head of Master Data Management</t>
        </is>
      </c>
      <c r="C206" s="48" t="inlineStr">
        <is>
          <t>Unilever</t>
        </is>
      </c>
      <c r="D206" s="48" t="inlineStr">
        <is>
          <t>Pune</t>
        </is>
      </c>
      <c r="E206" s="48" t="inlineStr">
        <is>
          <t>IT / Software</t>
        </is>
      </c>
      <c r="F206" s="48" t="inlineStr">
        <is>
          <t>Senior Level (7+ yrs)</t>
        </is>
      </c>
      <c r="G206" s="48" t="inlineStr">
        <is>
          <t>Full-time</t>
        </is>
      </c>
      <c r="H206" s="48" t="inlineStr">
        <is>
          <t>On-site</t>
        </is>
      </c>
      <c r="I206" s="49" t="n"/>
      <c r="J206" s="49" t="n"/>
      <c r="K206" s="48" t="inlineStr">
        <is>
          <t>master data, sap, data analysis, supply chain</t>
        </is>
      </c>
      <c r="L206" s="56" t="n">
        <v>45969</v>
      </c>
    </row>
    <row r="207">
      <c r="A207" s="48" t="inlineStr">
        <is>
          <t>J0391</t>
        </is>
      </c>
      <c r="B207" s="48" t="inlineStr">
        <is>
          <t>Training Supervisor/ Trainer  - Immediate</t>
        </is>
      </c>
      <c r="C207" s="48" t="inlineStr">
        <is>
          <t>Takecare Manpower Services</t>
        </is>
      </c>
      <c r="D207" s="48" t="inlineStr">
        <is>
          <t>Bengaluru</t>
        </is>
      </c>
      <c r="E207" s="48" t="inlineStr">
        <is>
          <t>Education &amp; Training</t>
        </is>
      </c>
      <c r="F207" s="48" t="inlineStr">
        <is>
          <t>Mid Level (3-6 yrs)</t>
        </is>
      </c>
      <c r="G207" s="48" t="inlineStr">
        <is>
          <t>Full-time</t>
        </is>
      </c>
      <c r="H207" s="48" t="inlineStr">
        <is>
          <t>On-site</t>
        </is>
      </c>
      <c r="I207" s="49" t="n">
        <v>3</v>
      </c>
      <c r="J207" s="49" t="n">
        <v>4.25</v>
      </c>
      <c r="K207" s="48" t="inlineStr">
        <is>
          <t>English, BPO Collection, Kannada, Training Supervisor</t>
        </is>
      </c>
      <c r="L207" s="56" t="n">
        <v>45973</v>
      </c>
    </row>
    <row r="208">
      <c r="A208" s="48" t="inlineStr">
        <is>
          <t>J0134</t>
        </is>
      </c>
      <c r="B208" s="48" t="inlineStr">
        <is>
          <t>Wanted Nutrition &amp;Dietetics,Dietitian,food tech grad in Hyderabad</t>
        </is>
      </c>
      <c r="C208" s="48" t="inlineStr">
        <is>
          <t>Achievers Spot</t>
        </is>
      </c>
      <c r="D208" s="48" t="inlineStr">
        <is>
          <t>Ongole</t>
        </is>
      </c>
      <c r="E208" s="48" t="inlineStr">
        <is>
          <t>Healthcare &amp; Pharma</t>
        </is>
      </c>
      <c r="F208" s="48" t="inlineStr">
        <is>
          <t>Entry Level (0-2 yrs)</t>
        </is>
      </c>
      <c r="G208" s="48" t="inlineStr">
        <is>
          <t>Full-time</t>
        </is>
      </c>
      <c r="H208" s="48" t="inlineStr">
        <is>
          <t>On-site</t>
        </is>
      </c>
      <c r="I208" s="49" t="n">
        <v>3.25</v>
      </c>
      <c r="J208" s="49" t="n">
        <v>4.5</v>
      </c>
      <c r="K208" s="48" t="inlineStr">
        <is>
          <t>Dietetics, Nutritionist, Nutrition, Medical Coder Trainee</t>
        </is>
      </c>
      <c r="L208" s="56" t="n">
        <v>45972</v>
      </c>
    </row>
    <row r="209">
      <c r="A209" s="48" t="inlineStr">
        <is>
          <t>J0230</t>
        </is>
      </c>
      <c r="B209" s="48" t="inlineStr">
        <is>
          <t>Hiring For International  Semi Voice Process/ US Shift/ CTC UPTO 4.5L</t>
        </is>
      </c>
      <c r="C209" s="48" t="inlineStr">
        <is>
          <t>Rivera Manpower Services</t>
        </is>
      </c>
      <c r="D209" s="48" t="inlineStr">
        <is>
          <t>Bengaluru</t>
        </is>
      </c>
      <c r="E209" s="48" t="inlineStr">
        <is>
          <t>BFSI (Banking/Finance/Insurance)</t>
        </is>
      </c>
      <c r="F209" s="48" t="inlineStr">
        <is>
          <t>Entry Level (0-2 yrs)</t>
        </is>
      </c>
      <c r="G209" s="48" t="inlineStr">
        <is>
          <t>Internship</t>
        </is>
      </c>
      <c r="H209" s="48" t="inlineStr">
        <is>
          <t>On-site</t>
        </is>
      </c>
      <c r="I209" s="49" t="n">
        <v>3</v>
      </c>
      <c r="J209" s="49" t="n">
        <v>4.75</v>
      </c>
      <c r="K209" s="48" t="inlineStr">
        <is>
          <t>voice process, Customer Care, Inbound Process, insurance</t>
        </is>
      </c>
      <c r="L209" s="56" t="n">
        <v>45968</v>
      </c>
    </row>
    <row r="210">
      <c r="A210" s="48" t="inlineStr">
        <is>
          <t>J0368</t>
        </is>
      </c>
      <c r="B210" s="48" t="inlineStr">
        <is>
          <t>front office executive (medchal)</t>
        </is>
      </c>
      <c r="C210" s="48" t="inlineStr">
        <is>
          <t>Mdn Edify Education</t>
        </is>
      </c>
      <c r="D210" s="48" t="inlineStr">
        <is>
          <t>Hyderabad</t>
        </is>
      </c>
      <c r="E210" s="48" t="inlineStr">
        <is>
          <t>Other / General Business</t>
        </is>
      </c>
      <c r="F210" s="48" t="inlineStr">
        <is>
          <t>Entry Level (0-2 yrs)</t>
        </is>
      </c>
      <c r="G210" s="48" t="inlineStr">
        <is>
          <t>Full-time</t>
        </is>
      </c>
      <c r="H210" s="48" t="inlineStr">
        <is>
          <t>On-site</t>
        </is>
      </c>
      <c r="I210" s="49" t="n">
        <v>2</v>
      </c>
      <c r="J210" s="49" t="n">
        <v>3</v>
      </c>
      <c r="K210" s="48" t="inlineStr">
        <is>
          <t>Communication Skills, Front Desk, Front Office Operations, Guest Handling</t>
        </is>
      </c>
      <c r="L210" s="56" t="n">
        <v>45972</v>
      </c>
    </row>
    <row r="211">
      <c r="A211" s="48" t="inlineStr">
        <is>
          <t>J0366</t>
        </is>
      </c>
      <c r="B211" s="48" t="inlineStr">
        <is>
          <t>Business Development Manager_Reputed Edtech Industry_12 LPA</t>
        </is>
      </c>
      <c r="C211" s="48" t="inlineStr">
        <is>
          <t>Seven Consultancy</t>
        </is>
      </c>
      <c r="D211" s="48" t="inlineStr">
        <is>
          <t>Mumbai</t>
        </is>
      </c>
      <c r="E211" s="48" t="inlineStr">
        <is>
          <t>Marketing &amp; Advertising</t>
        </is>
      </c>
      <c r="F211" s="48" t="inlineStr">
        <is>
          <t>Mid Level (3-6 yrs)</t>
        </is>
      </c>
      <c r="G211" s="48" t="inlineStr">
        <is>
          <t>Full-time</t>
        </is>
      </c>
      <c r="H211" s="48" t="inlineStr">
        <is>
          <t>On-site</t>
        </is>
      </c>
      <c r="I211" s="49" t="n">
        <v>7</v>
      </c>
      <c r="J211" s="49" t="n">
        <v>12</v>
      </c>
      <c r="K211" s="48" t="inlineStr">
        <is>
          <t>Edtech, Educational Sales, Edtech Sales, Educational Marketing</t>
        </is>
      </c>
      <c r="L211" s="56" t="n">
        <v>45972</v>
      </c>
    </row>
    <row r="212">
      <c r="A212" s="48" t="inlineStr">
        <is>
          <t>J0135</t>
        </is>
      </c>
      <c r="B212" s="48" t="inlineStr">
        <is>
          <t>Urgent opening For MS Teams Consulting</t>
        </is>
      </c>
      <c r="C212" s="48" t="inlineStr">
        <is>
          <t>Talent21</t>
        </is>
      </c>
      <c r="D212" s="48" t="inlineStr">
        <is>
          <t>Hyderabad</t>
        </is>
      </c>
      <c r="E212" s="48" t="inlineStr">
        <is>
          <t>Other / General Business</t>
        </is>
      </c>
      <c r="F212" s="48" t="inlineStr">
        <is>
          <t>Mid Level (3-6 yrs)</t>
        </is>
      </c>
      <c r="G212" s="48" t="inlineStr">
        <is>
          <t>Full-time</t>
        </is>
      </c>
      <c r="H212" s="48" t="inlineStr">
        <is>
          <t>On-site</t>
        </is>
      </c>
      <c r="I212" s="49" t="n">
        <v>10</v>
      </c>
      <c r="J212" s="49" t="n">
        <v>18</v>
      </c>
      <c r="K212" s="48" t="inlineStr">
        <is>
          <t>Skype for Business, MS Teams, Cisco, SBCs</t>
        </is>
      </c>
      <c r="L212" s="56" t="n">
        <v>45969</v>
      </c>
    </row>
    <row r="213">
      <c r="A213" s="48" t="inlineStr">
        <is>
          <t>J0290</t>
        </is>
      </c>
      <c r="B213" s="48" t="inlineStr">
        <is>
          <t>Ppc Team Lead</t>
        </is>
      </c>
      <c r="C213" s="48" t="inlineStr">
        <is>
          <t>Petpooja</t>
        </is>
      </c>
      <c r="D213" s="48" t="inlineStr">
        <is>
          <t>Ahmedabad</t>
        </is>
      </c>
      <c r="E213" s="48" t="inlineStr">
        <is>
          <t>Marketing &amp; Advertising</t>
        </is>
      </c>
      <c r="F213" s="48" t="inlineStr">
        <is>
          <t>Mid Level (3-6 yrs)</t>
        </is>
      </c>
      <c r="G213" s="48" t="inlineStr">
        <is>
          <t>Full-time</t>
        </is>
      </c>
      <c r="H213" s="48" t="inlineStr">
        <is>
          <t>On-site</t>
        </is>
      </c>
      <c r="I213" s="49" t="n">
        <v>6</v>
      </c>
      <c r="J213" s="49" t="n">
        <v>9</v>
      </c>
      <c r="K213" s="48" t="inlineStr">
        <is>
          <t>Google ads, Click to whatsapp ads, Meta ads, Campaign Management</t>
        </is>
      </c>
      <c r="L213" s="56" t="n">
        <v>45974</v>
      </c>
    </row>
    <row r="214">
      <c r="A214" s="48" t="inlineStr">
        <is>
          <t>J0095</t>
        </is>
      </c>
      <c r="B214" s="48" t="inlineStr">
        <is>
          <t>Sales Coordinator</t>
        </is>
      </c>
      <c r="C214" s="48" t="inlineStr">
        <is>
          <t>Indigo Prints Smart</t>
        </is>
      </c>
      <c r="D214" s="48" t="inlineStr">
        <is>
          <t>Mumbai</t>
        </is>
      </c>
      <c r="E214" s="48" t="inlineStr">
        <is>
          <t>Logistics &amp; Supply Chain</t>
        </is>
      </c>
      <c r="F214" s="48" t="inlineStr">
        <is>
          <t>Entry Level (0-2 yrs)</t>
        </is>
      </c>
      <c r="G214" s="48" t="inlineStr">
        <is>
          <t>Full-time</t>
        </is>
      </c>
      <c r="H214" s="48" t="inlineStr">
        <is>
          <t>On-site</t>
        </is>
      </c>
      <c r="I214" s="49" t="n">
        <v>2.4</v>
      </c>
      <c r="J214" s="49" t="n">
        <v>3.6</v>
      </c>
      <c r="K214" s="48" t="inlineStr">
        <is>
          <t>Sales Coordination, Warehouse cordination, English, Sales Support</t>
        </is>
      </c>
      <c r="L214" s="56" t="n">
        <v>45969</v>
      </c>
    </row>
    <row r="215">
      <c r="A215" s="48" t="inlineStr">
        <is>
          <t>J0132</t>
        </is>
      </c>
      <c r="B215" s="48" t="inlineStr">
        <is>
          <t>AR Analyst | Charge QC | Payment | US Healthcare | Medical Billing</t>
        </is>
      </c>
      <c r="C215" s="48" t="inlineStr">
        <is>
          <t>Novigo Integrated Services</t>
        </is>
      </c>
      <c r="D215" s="48" t="inlineStr">
        <is>
          <t>Chennai</t>
        </is>
      </c>
      <c r="E215" s="48" t="inlineStr">
        <is>
          <t>Healthcare &amp; Pharma</t>
        </is>
      </c>
      <c r="F215" s="48" t="inlineStr">
        <is>
          <t>Entry Level (0-2 yrs)</t>
        </is>
      </c>
      <c r="G215" s="48" t="inlineStr">
        <is>
          <t>Full-time</t>
        </is>
      </c>
      <c r="H215" s="48" t="inlineStr">
        <is>
          <t>On-site</t>
        </is>
      </c>
      <c r="I215" s="49" t="n">
        <v>1</v>
      </c>
      <c r="J215" s="49" t="n">
        <v>4.75</v>
      </c>
      <c r="K215" s="48" t="inlineStr">
        <is>
          <t>Rejection, CMS1500, Denial Management, Authorization</t>
        </is>
      </c>
      <c r="L215" s="56" t="n">
        <v>45973</v>
      </c>
    </row>
    <row r="216">
      <c r="A216" s="48" t="inlineStr">
        <is>
          <t>J0256</t>
        </is>
      </c>
      <c r="B216" s="48" t="inlineStr">
        <is>
          <t>Technologist - Water</t>
        </is>
      </c>
      <c r="C216" s="48" t="inlineStr">
        <is>
          <t>Reliance Industries Limited</t>
        </is>
      </c>
      <c r="D216" s="48" t="inlineStr">
        <is>
          <t>Mumbai</t>
        </is>
      </c>
      <c r="E216" s="48" t="inlineStr">
        <is>
          <t>Other / General Business</t>
        </is>
      </c>
      <c r="F216" s="48" t="inlineStr">
        <is>
          <t>Mid Level (3-6 yrs)</t>
        </is>
      </c>
      <c r="G216" s="48" t="inlineStr">
        <is>
          <t>Full-time</t>
        </is>
      </c>
      <c r="H216" s="48" t="inlineStr">
        <is>
          <t>On-site</t>
        </is>
      </c>
      <c r="I216" s="49" t="n"/>
      <c r="J216" s="49" t="n"/>
      <c r="K216" s="48" t="inlineStr">
        <is>
          <t>Process design, Product quality, Simulation, Chemical engineering</t>
        </is>
      </c>
      <c r="L216" s="56" t="n">
        <v>45976</v>
      </c>
    </row>
    <row r="217">
      <c r="A217" s="48" t="inlineStr">
        <is>
          <t>J0270</t>
        </is>
      </c>
      <c r="B217" s="48" t="inlineStr">
        <is>
          <t>Academic Counsellor</t>
        </is>
      </c>
      <c r="C217" s="48" t="inlineStr">
        <is>
          <t>SAM Manpower &amp; Career Services</t>
        </is>
      </c>
      <c r="D217" s="48" t="inlineStr">
        <is>
          <t>Noida</t>
        </is>
      </c>
      <c r="E217" s="48" t="inlineStr">
        <is>
          <t>Education &amp; Training</t>
        </is>
      </c>
      <c r="F217" s="48" t="inlineStr">
        <is>
          <t>Entry Level (0-2 yrs)</t>
        </is>
      </c>
      <c r="G217" s="48" t="inlineStr">
        <is>
          <t>Full-time</t>
        </is>
      </c>
      <c r="H217" s="48" t="inlineStr">
        <is>
          <t>On-site</t>
        </is>
      </c>
      <c r="I217" s="49" t="n">
        <v>3</v>
      </c>
      <c r="J217" s="49" t="n">
        <v>4.5</v>
      </c>
      <c r="K217" s="48" t="inlineStr">
        <is>
          <t>Academic Counsellor, Edtech, Admission Counselling, Educational Sales</t>
        </is>
      </c>
      <c r="L217" s="56" t="n">
        <v>45972</v>
      </c>
    </row>
    <row r="218">
      <c r="A218" s="48" t="inlineStr">
        <is>
          <t>J0006</t>
        </is>
      </c>
      <c r="B218" s="48" t="inlineStr">
        <is>
          <t>HR MANAGER - HYDERABAD LOCATION</t>
        </is>
      </c>
      <c r="C218" s="48" t="inlineStr">
        <is>
          <t>Servicecare</t>
        </is>
      </c>
      <c r="D218" s="48" t="inlineStr">
        <is>
          <t>Hyderabad</t>
        </is>
      </c>
      <c r="E218" s="48" t="inlineStr">
        <is>
          <t>Education &amp; Training</t>
        </is>
      </c>
      <c r="F218" s="48" t="inlineStr">
        <is>
          <t>Senior Level (7+ yrs)</t>
        </is>
      </c>
      <c r="G218" s="48" t="inlineStr">
        <is>
          <t>Full-time</t>
        </is>
      </c>
      <c r="H218" s="48" t="inlineStr">
        <is>
          <t>On-site</t>
        </is>
      </c>
      <c r="I218" s="49" t="n">
        <v>16</v>
      </c>
      <c r="J218" s="49" t="n">
        <v>20</v>
      </c>
      <c r="K218" s="48" t="inlineStr">
        <is>
          <t>Hris Application, paycom, Statutory Compliance, Hr Automation</t>
        </is>
      </c>
      <c r="L218" s="56" t="n">
        <v>45976</v>
      </c>
    </row>
    <row r="219">
      <c r="A219" s="48" t="inlineStr">
        <is>
          <t>J0328</t>
        </is>
      </c>
      <c r="B219" s="48" t="inlineStr">
        <is>
          <t>Hiring Now :: Electronica Finance - Home Loan &amp; LAP || RM - 3.5LPA</t>
        </is>
      </c>
      <c r="C219" s="48" t="inlineStr">
        <is>
          <t xml:space="preserve">  Hirva Hr Solutions  </t>
        </is>
      </c>
      <c r="D219" s="48" t="inlineStr">
        <is>
          <t>Medak</t>
        </is>
      </c>
      <c r="E219" s="48" t="inlineStr">
        <is>
          <t>IT / Software</t>
        </is>
      </c>
      <c r="F219" s="48" t="inlineStr">
        <is>
          <t>Entry Level (0-2 yrs)</t>
        </is>
      </c>
      <c r="G219" s="48" t="inlineStr">
        <is>
          <t>Full-time</t>
        </is>
      </c>
      <c r="H219" s="48" t="inlineStr">
        <is>
          <t>On-site</t>
        </is>
      </c>
      <c r="I219" s="49" t="n">
        <v>2.5</v>
      </c>
      <c r="J219" s="49" t="n">
        <v>3.5</v>
      </c>
      <c r="K219" s="48" t="inlineStr">
        <is>
          <t>Sales, Banca, HL, Cross Sales</t>
        </is>
      </c>
      <c r="L219" s="56" t="n">
        <v>45970</v>
      </c>
    </row>
    <row r="220">
      <c r="A220" s="48" t="inlineStr">
        <is>
          <t>J0263</t>
        </is>
      </c>
      <c r="B220" s="48" t="inlineStr">
        <is>
          <t>Relationship Manager - Bancassurance</t>
        </is>
      </c>
      <c r="C220" s="48" t="inlineStr">
        <is>
          <t>Starpowerz Human Resources</t>
        </is>
      </c>
      <c r="D220" s="48" t="inlineStr">
        <is>
          <t>Hyderabad</t>
        </is>
      </c>
      <c r="E220" s="48" t="inlineStr">
        <is>
          <t>BFSI (Banking/Finance/Insurance)</t>
        </is>
      </c>
      <c r="F220" s="48" t="inlineStr">
        <is>
          <t>Entry Level (0-2 yrs)</t>
        </is>
      </c>
      <c r="G220" s="48" t="inlineStr">
        <is>
          <t>Full-time</t>
        </is>
      </c>
      <c r="H220" s="48" t="inlineStr">
        <is>
          <t>On-site</t>
        </is>
      </c>
      <c r="I220" s="49" t="n">
        <v>1.75</v>
      </c>
      <c r="J220" s="49" t="n">
        <v>5</v>
      </c>
      <c r="K220" s="48" t="inlineStr">
        <is>
          <t>Life Insurance, Bancassurance, sales, Insurance</t>
        </is>
      </c>
      <c r="L220" s="56" t="n">
        <v>45976</v>
      </c>
    </row>
    <row r="221">
      <c r="A221" s="48" t="inlineStr">
        <is>
          <t>J0027</t>
        </is>
      </c>
      <c r="B221" s="48" t="inlineStr">
        <is>
          <t>Growth Intern - (WFO - Hyderabad)</t>
        </is>
      </c>
      <c r="C221" s="48" t="inlineStr">
        <is>
          <t>Nxtwave Disruptive Technologies</t>
        </is>
      </c>
      <c r="D221" s="48" t="inlineStr">
        <is>
          <t>Hyderabad</t>
        </is>
      </c>
      <c r="E221" s="48" t="inlineStr">
        <is>
          <t>Marketing &amp; Advertising</t>
        </is>
      </c>
      <c r="F221" s="48" t="inlineStr">
        <is>
          <t>Entry Level (0-2 yrs)</t>
        </is>
      </c>
      <c r="G221" s="48" t="inlineStr">
        <is>
          <t>Internship</t>
        </is>
      </c>
      <c r="H221" s="48" t="inlineStr">
        <is>
          <t>On-site</t>
        </is>
      </c>
      <c r="I221" s="49" t="n"/>
      <c r="J221" s="49" t="n"/>
      <c r="K221" s="48" t="inlineStr">
        <is>
          <t>Lead Generation, Growth Management, Marketing Campaigns, Growth Strategy</t>
        </is>
      </c>
      <c r="L221" s="56" t="n">
        <v>45970</v>
      </c>
    </row>
    <row r="222">
      <c r="A222" s="48" t="inlineStr">
        <is>
          <t>J0257</t>
        </is>
      </c>
      <c r="B222" s="48" t="inlineStr">
        <is>
          <t>BANCA /DIRECT/AGENCY /HEALTH /GENERAL/LIFE INSURANCE</t>
        </is>
      </c>
      <c r="C222" s="48" t="inlineStr">
        <is>
          <t>Jobs Cruze</t>
        </is>
      </c>
      <c r="D222" s="48" t="inlineStr">
        <is>
          <t>Kochi</t>
        </is>
      </c>
      <c r="E222" s="48" t="inlineStr">
        <is>
          <t>BFSI (Banking/Finance/Insurance)</t>
        </is>
      </c>
      <c r="F222" s="48" t="inlineStr">
        <is>
          <t>Entry Level (0-2 yrs)</t>
        </is>
      </c>
      <c r="G222" s="48" t="inlineStr">
        <is>
          <t>Full-time</t>
        </is>
      </c>
      <c r="H222" s="48" t="inlineStr">
        <is>
          <t>On-site</t>
        </is>
      </c>
      <c r="I222" s="49" t="n">
        <v>2.5</v>
      </c>
      <c r="J222" s="49" t="n">
        <v>6</v>
      </c>
      <c r="K222" s="48" t="inlineStr">
        <is>
          <t>Agency Sales, Health Insurance Sales, Bfsi Sales, Direct Channel Sales</t>
        </is>
      </c>
      <c r="L222" s="56" t="n">
        <v>45973</v>
      </c>
    </row>
    <row r="223">
      <c r="A223" s="48" t="inlineStr">
        <is>
          <t>J0092</t>
        </is>
      </c>
      <c r="B223" s="48" t="inlineStr">
        <is>
          <t>ORRA Fine Jewellery is Hiring Area Business Manager</t>
        </is>
      </c>
      <c r="C223" s="48" t="inlineStr">
        <is>
          <t>Orra Fine Jewellery</t>
        </is>
      </c>
      <c r="D223" s="48" t="inlineStr">
        <is>
          <t>Indore</t>
        </is>
      </c>
      <c r="E223" s="48" t="inlineStr">
        <is>
          <t>Retail &amp; E-commerce</t>
        </is>
      </c>
      <c r="F223" s="48" t="inlineStr">
        <is>
          <t>Senior Level (7+ yrs)</t>
        </is>
      </c>
      <c r="G223" s="48" t="inlineStr">
        <is>
          <t>Full-time</t>
        </is>
      </c>
      <c r="H223" s="48" t="inlineStr">
        <is>
          <t>On-site</t>
        </is>
      </c>
      <c r="I223" s="49" t="n">
        <v>10</v>
      </c>
      <c r="J223" s="49" t="n">
        <v>17</v>
      </c>
      <c r="K223" s="48" t="inlineStr">
        <is>
          <t>Area Sales Management, Cluster Management, Zonal, Regional Sales</t>
        </is>
      </c>
      <c r="L223" s="56" t="n">
        <v>45975</v>
      </c>
    </row>
    <row r="224">
      <c r="A224" s="48" t="inlineStr">
        <is>
          <t>J0116</t>
        </is>
      </c>
      <c r="B224" s="48" t="inlineStr">
        <is>
          <t>DM R2R (Record To Report) - Gurgaon (Immediate Joiners &amp; CA's Only)</t>
        </is>
      </c>
      <c r="C224" s="48" t="inlineStr">
        <is>
          <t>Marvel Placements</t>
        </is>
      </c>
      <c r="D224" s="48" t="inlineStr">
        <is>
          <t>Gurugram</t>
        </is>
      </c>
      <c r="E224" s="48" t="inlineStr">
        <is>
          <t>Media &amp; Entertainment</t>
        </is>
      </c>
      <c r="F224" s="48" t="inlineStr">
        <is>
          <t>Mid Level (3-6 yrs)</t>
        </is>
      </c>
      <c r="G224" s="48" t="inlineStr">
        <is>
          <t>Full-time</t>
        </is>
      </c>
      <c r="H224" s="48" t="inlineStr">
        <is>
          <t>On-site</t>
        </is>
      </c>
      <c r="I224" s="49" t="n">
        <v>10</v>
      </c>
      <c r="J224" s="49" t="n">
        <v>13</v>
      </c>
      <c r="K224" s="48" t="inlineStr">
        <is>
          <t>R2R, Journal Entries, RTR, R2R Process</t>
        </is>
      </c>
      <c r="L224" s="56" t="n">
        <v>45974</v>
      </c>
    </row>
    <row r="225">
      <c r="A225" s="48" t="inlineStr">
        <is>
          <t>J0232</t>
        </is>
      </c>
      <c r="B225" s="48" t="inlineStr">
        <is>
          <t>React Js Frontend Developer</t>
        </is>
      </c>
      <c r="C225" s="48" t="inlineStr">
        <is>
          <t>Softmint Digital Services Private Limited</t>
        </is>
      </c>
      <c r="D225" s="48" t="inlineStr">
        <is>
          <t>Noida</t>
        </is>
      </c>
      <c r="E225" s="48" t="inlineStr">
        <is>
          <t>IT / Software</t>
        </is>
      </c>
      <c r="F225" s="48" t="inlineStr">
        <is>
          <t>Entry Level (0-2 yrs)</t>
        </is>
      </c>
      <c r="G225" s="48" t="inlineStr">
        <is>
          <t>Full-time</t>
        </is>
      </c>
      <c r="H225" s="48" t="inlineStr">
        <is>
          <t>On-site</t>
        </is>
      </c>
      <c r="I225" s="49" t="n">
        <v>0.5</v>
      </c>
      <c r="J225" s="49" t="n">
        <v>2.5</v>
      </c>
      <c r="K225" s="48" t="inlineStr">
        <is>
          <t>Rest Api Integration, Api Integration, React.Js, Reacts Js</t>
        </is>
      </c>
      <c r="L225" s="56" t="n">
        <v>45966</v>
      </c>
    </row>
    <row r="226">
      <c r="A226" s="48" t="inlineStr">
        <is>
          <t>J0076</t>
        </is>
      </c>
      <c r="B226" s="48" t="inlineStr">
        <is>
          <t>Territory Manager- Reserve Power-INDUSTRIAL_ Raipur</t>
        </is>
      </c>
      <c r="C226" s="48" t="inlineStr">
        <is>
          <t>Exide</t>
        </is>
      </c>
      <c r="D226" s="48" t="inlineStr">
        <is>
          <t>Raipur</t>
        </is>
      </c>
      <c r="E226" s="48" t="inlineStr">
        <is>
          <t>Marketing &amp; Advertising</t>
        </is>
      </c>
      <c r="F226" s="48" t="inlineStr">
        <is>
          <t>Mid Level (3-6 yrs)</t>
        </is>
      </c>
      <c r="G226" s="48" t="inlineStr">
        <is>
          <t>Full-time</t>
        </is>
      </c>
      <c r="H226" s="48" t="inlineStr">
        <is>
          <t>On-site</t>
        </is>
      </c>
      <c r="I226" s="49" t="n">
        <v>5</v>
      </c>
      <c r="J226" s="49" t="n">
        <v>7</v>
      </c>
      <c r="K226" s="48" t="inlineStr">
        <is>
          <t>B2B, Market Intelligence, Brand Building, Solar</t>
        </is>
      </c>
      <c r="L226" s="56" t="n">
        <v>45972</v>
      </c>
    </row>
    <row r="227">
      <c r="A227" s="48" t="inlineStr">
        <is>
          <t>J0303</t>
        </is>
      </c>
      <c r="B227" s="48" t="inlineStr">
        <is>
          <t>Ui Developer</t>
        </is>
      </c>
      <c r="C227" s="48" t="inlineStr">
        <is>
          <t>Talent21</t>
        </is>
      </c>
      <c r="D227" s="48" t="inlineStr">
        <is>
          <t>Chennai</t>
        </is>
      </c>
      <c r="E227" s="48" t="inlineStr">
        <is>
          <t>IT / Software</t>
        </is>
      </c>
      <c r="F227" s="48" t="inlineStr">
        <is>
          <t>Mid Level (3-6 yrs)</t>
        </is>
      </c>
      <c r="G227" s="48" t="inlineStr">
        <is>
          <t>Full-time</t>
        </is>
      </c>
      <c r="H227" s="48" t="inlineStr">
        <is>
          <t>On-site</t>
        </is>
      </c>
      <c r="I227" s="49" t="n">
        <v>10</v>
      </c>
      <c r="J227" s="49" t="n">
        <v>20</v>
      </c>
      <c r="K227" s="48" t="inlineStr">
        <is>
          <t>Reacts Js, Github, Redux, UI Development</t>
        </is>
      </c>
      <c r="L227" s="56" t="n">
        <v>45969</v>
      </c>
    </row>
    <row r="228">
      <c r="A228" s="48" t="inlineStr">
        <is>
          <t>J0197</t>
        </is>
      </c>
      <c r="B228" s="48" t="inlineStr">
        <is>
          <t>Client Relationship Associate</t>
        </is>
      </c>
      <c r="C228" s="48" t="inlineStr">
        <is>
          <t>Globiva</t>
        </is>
      </c>
      <c r="D228" s="48" t="inlineStr">
        <is>
          <t xml:space="preserve"> Gurugram</t>
        </is>
      </c>
      <c r="E228" s="48" t="inlineStr">
        <is>
          <t>Customer Service &amp; BPO</t>
        </is>
      </c>
      <c r="F228" s="48" t="inlineStr">
        <is>
          <t>Entry Level (0-2 yrs)</t>
        </is>
      </c>
      <c r="G228" s="48" t="inlineStr">
        <is>
          <t>Full-time</t>
        </is>
      </c>
      <c r="H228" s="48" t="inlineStr">
        <is>
          <t>On-site</t>
        </is>
      </c>
      <c r="I228" s="49" t="n">
        <v>2</v>
      </c>
      <c r="J228" s="49" t="n">
        <v>2.75</v>
      </c>
      <c r="K228" s="48" t="inlineStr">
        <is>
          <t>Lead Generation, Customer Relationship, Customer Support, Customer Handling</t>
        </is>
      </c>
      <c r="L228" s="56" t="n">
        <v>45967</v>
      </c>
    </row>
    <row r="229">
      <c r="A229" s="48" t="inlineStr">
        <is>
          <t>J0288</t>
        </is>
      </c>
      <c r="B229" s="48" t="inlineStr">
        <is>
          <t>Urgent opening For Technical support _ Pune location</t>
        </is>
      </c>
      <c r="C229" s="48" t="inlineStr">
        <is>
          <t>Crown Solutions</t>
        </is>
      </c>
      <c r="D229" s="48" t="inlineStr">
        <is>
          <t>Pune</t>
        </is>
      </c>
      <c r="E229" s="48" t="inlineStr">
        <is>
          <t>IT / Software</t>
        </is>
      </c>
      <c r="F229" s="48" t="inlineStr">
        <is>
          <t>Entry Level (0-2 yrs)</t>
        </is>
      </c>
      <c r="G229" s="48" t="inlineStr">
        <is>
          <t>Full-time</t>
        </is>
      </c>
      <c r="H229" s="48" t="inlineStr">
        <is>
          <t>On-site</t>
        </is>
      </c>
      <c r="I229" s="49" t="n">
        <v>1.5</v>
      </c>
      <c r="J229" s="49" t="n">
        <v>3.5</v>
      </c>
      <c r="K229" s="48" t="inlineStr">
        <is>
          <t>Service Desk, Technical Voice Process, te, Service Desk Management</t>
        </is>
      </c>
      <c r="L229" s="56" t="n">
        <v>45969</v>
      </c>
    </row>
    <row r="230">
      <c r="A230" s="48" t="inlineStr">
        <is>
          <t>J0400</t>
        </is>
      </c>
      <c r="B230" s="48" t="inlineStr">
        <is>
          <t>Banquet Sales Manager</t>
        </is>
      </c>
      <c r="C230" s="48" t="inlineStr">
        <is>
          <t>AHN Hotel And Management Services</t>
        </is>
      </c>
      <c r="D230" s="48" t="inlineStr">
        <is>
          <t>Gurugram</t>
        </is>
      </c>
      <c r="E230" s="48" t="inlineStr">
        <is>
          <t>Sales &amp; Business Development</t>
        </is>
      </c>
      <c r="F230" s="48" t="inlineStr">
        <is>
          <t>Entry Level (0-2 yrs)</t>
        </is>
      </c>
      <c r="G230" s="48" t="inlineStr">
        <is>
          <t>Full-time</t>
        </is>
      </c>
      <c r="H230" s="48" t="inlineStr">
        <is>
          <t>On-site</t>
        </is>
      </c>
      <c r="I230" s="49" t="n">
        <v>4.8</v>
      </c>
      <c r="J230" s="49" t="n">
        <v>7.2</v>
      </c>
      <c r="K230" s="48" t="inlineStr">
        <is>
          <t>Banquet Sales, Banquets, Management, Sales</t>
        </is>
      </c>
      <c r="L230" s="56" t="n">
        <v>45976</v>
      </c>
    </row>
    <row r="231">
      <c r="A231" s="48" t="inlineStr">
        <is>
          <t>J0119</t>
        </is>
      </c>
      <c r="B231" s="48" t="inlineStr">
        <is>
          <t>Record To Report</t>
        </is>
      </c>
      <c r="C231" s="48" t="inlineStr">
        <is>
          <t>Manpowergroup Services India</t>
        </is>
      </c>
      <c r="D231" s="48" t="inlineStr">
        <is>
          <t>Bengaluru</t>
        </is>
      </c>
      <c r="E231" s="48" t="inlineStr">
        <is>
          <t>Other / General Business</t>
        </is>
      </c>
      <c r="F231" s="48" t="inlineStr">
        <is>
          <t>Entry Level (0-2 yrs)</t>
        </is>
      </c>
      <c r="G231" s="48" t="inlineStr">
        <is>
          <t>Full-time</t>
        </is>
      </c>
      <c r="H231" s="48" t="inlineStr">
        <is>
          <t>On-site</t>
        </is>
      </c>
      <c r="I231" s="49" t="n">
        <v>2.5</v>
      </c>
      <c r="J231" s="49" t="n">
        <v>3</v>
      </c>
      <c r="K231" s="48" t="inlineStr">
        <is>
          <t>Record To Report, Intercompany, Fixed Assets, RTR</t>
        </is>
      </c>
      <c r="L231" s="56" t="n">
        <v>45969</v>
      </c>
    </row>
    <row r="232">
      <c r="A232" s="48" t="inlineStr">
        <is>
          <t>J0078</t>
        </is>
      </c>
      <c r="B232" s="48" t="inlineStr">
        <is>
          <t>Area Project Head -Builder Divison - Paints Industry For Chandigarh</t>
        </is>
      </c>
      <c r="C232" s="48" t="inlineStr">
        <is>
          <t>Flexability Hr Solutions</t>
        </is>
      </c>
      <c r="D232" s="48" t="inlineStr">
        <is>
          <t>Chandigarh</t>
        </is>
      </c>
      <c r="E232" s="48" t="inlineStr">
        <is>
          <t>BFSI (Banking/Finance/Insurance)</t>
        </is>
      </c>
      <c r="F232" s="48" t="inlineStr">
        <is>
          <t>Mid Level (3-6 yrs)</t>
        </is>
      </c>
      <c r="G232" s="48" t="inlineStr">
        <is>
          <t>Full-time</t>
        </is>
      </c>
      <c r="H232" s="48" t="inlineStr">
        <is>
          <t>On-site</t>
        </is>
      </c>
      <c r="I232" s="49" t="n">
        <v>6</v>
      </c>
      <c r="J232" s="49" t="n">
        <v>13</v>
      </c>
      <c r="K232" s="48" t="inlineStr">
        <is>
          <t>Project Sales, contractor, B2B, Government Sales</t>
        </is>
      </c>
      <c r="L232" s="56" t="n">
        <v>45974</v>
      </c>
    </row>
    <row r="233">
      <c r="A233" s="48" t="inlineStr">
        <is>
          <t>J0399</t>
        </is>
      </c>
      <c r="B233" s="48" t="inlineStr">
        <is>
          <t>Environmental Health and Safety Executive</t>
        </is>
      </c>
      <c r="C233" s="48" t="inlineStr">
        <is>
          <t>Luthra Group Company</t>
        </is>
      </c>
      <c r="D233" s="48" t="inlineStr">
        <is>
          <t>Vikarabad</t>
        </is>
      </c>
      <c r="E233" s="48" t="inlineStr">
        <is>
          <t>BFSI (Banking/Finance/Insurance)</t>
        </is>
      </c>
      <c r="F233" s="48" t="inlineStr">
        <is>
          <t>Mid Level (3-6 yrs)</t>
        </is>
      </c>
      <c r="G233" s="48" t="inlineStr">
        <is>
          <t>Full-time</t>
        </is>
      </c>
      <c r="H233" s="48" t="inlineStr">
        <is>
          <t>On-site</t>
        </is>
      </c>
      <c r="I233" s="49" t="n"/>
      <c r="J233" s="49" t="n"/>
      <c r="K233" s="48" t="inlineStr">
        <is>
          <t>EHS, Industrial Safety, Safety Management, Loto</t>
        </is>
      </c>
      <c r="L233" s="56" t="n">
        <v>45974</v>
      </c>
    </row>
    <row r="234">
      <c r="A234" s="48" t="inlineStr">
        <is>
          <t>J0207</t>
        </is>
      </c>
      <c r="B234" s="48" t="inlineStr">
        <is>
          <t>Electrical Engineer</t>
        </is>
      </c>
      <c r="C234" s="48" t="inlineStr">
        <is>
          <t>Taneja Developers &amp; Infrastructure</t>
        </is>
      </c>
      <c r="D234" s="48" t="inlineStr">
        <is>
          <t>Mohali</t>
        </is>
      </c>
      <c r="E234" s="48" t="inlineStr">
        <is>
          <t>Manufacturing &amp; Engineering</t>
        </is>
      </c>
      <c r="F234" s="48" t="inlineStr">
        <is>
          <t>Senior Level (7+ yrs)</t>
        </is>
      </c>
      <c r="G234" s="48" t="inlineStr">
        <is>
          <t>Full-time</t>
        </is>
      </c>
      <c r="H234" s="48" t="inlineStr">
        <is>
          <t>On-site</t>
        </is>
      </c>
      <c r="I234" s="49" t="n">
        <v>7</v>
      </c>
      <c r="J234" s="49" t="n">
        <v>8.5</v>
      </c>
      <c r="K234" s="48" t="inlineStr">
        <is>
          <t>Execution Planning, Planning, Electricals, Electrical engineering</t>
        </is>
      </c>
      <c r="L234" s="56" t="n">
        <v>45969</v>
      </c>
    </row>
    <row r="235">
      <c r="A235" s="48" t="inlineStr">
        <is>
          <t>J0074</t>
        </is>
      </c>
      <c r="B235" s="48" t="inlineStr">
        <is>
          <t>Deputy Manager - Quality Assurances</t>
        </is>
      </c>
      <c r="C235" s="48" t="inlineStr">
        <is>
          <t>Hindustan Composites</t>
        </is>
      </c>
      <c r="D235" s="48" t="inlineStr">
        <is>
          <t>Nagpur</t>
        </is>
      </c>
      <c r="E235" s="48" t="inlineStr">
        <is>
          <t>Other / General Business</t>
        </is>
      </c>
      <c r="F235" s="48" t="inlineStr">
        <is>
          <t>Senior Level (7+ yrs)</t>
        </is>
      </c>
      <c r="G235" s="48" t="inlineStr">
        <is>
          <t>Full-time</t>
        </is>
      </c>
      <c r="H235" s="48" t="inlineStr">
        <is>
          <t>On-site</t>
        </is>
      </c>
      <c r="I235" s="49" t="n">
        <v>5</v>
      </c>
      <c r="J235" s="49" t="n">
        <v>8</v>
      </c>
      <c r="K235" s="48" t="inlineStr">
        <is>
          <t>Quality Management, 8D Analysis, PPAP, Apqp Process</t>
        </is>
      </c>
      <c r="L235" s="56" t="n">
        <v>45976</v>
      </c>
    </row>
    <row r="236">
      <c r="A236" s="48" t="inlineStr">
        <is>
          <t>J0009</t>
        </is>
      </c>
      <c r="B236" s="48" t="inlineStr">
        <is>
          <t>Assistant General Manager</t>
        </is>
      </c>
      <c r="C236" s="48" t="inlineStr">
        <is>
          <t>SAEL Industries Limited</t>
        </is>
      </c>
      <c r="D236" s="48" t="inlineStr">
        <is>
          <t>Greater Noida</t>
        </is>
      </c>
      <c r="E236" s="48" t="inlineStr">
        <is>
          <t>Real Estate &amp; Construction</t>
        </is>
      </c>
      <c r="F236" s="48" t="inlineStr">
        <is>
          <t>Senior Level (7+ yrs)</t>
        </is>
      </c>
      <c r="G236" s="48" t="inlineStr">
        <is>
          <t>Full-time</t>
        </is>
      </c>
      <c r="H236" s="48" t="inlineStr">
        <is>
          <t>On-site</t>
        </is>
      </c>
      <c r="I236" s="49" t="n"/>
      <c r="J236" s="49" t="n"/>
      <c r="K236" s="48" t="inlineStr">
        <is>
          <t>Construction Management, Site Management, Civil Project Management, Utilities &amp; Infrastructure Development</t>
        </is>
      </c>
      <c r="L236" s="56" t="n">
        <v>45976</v>
      </c>
    </row>
    <row r="237">
      <c r="A237" s="48" t="inlineStr">
        <is>
          <t>J0223</t>
        </is>
      </c>
      <c r="B237" s="48" t="inlineStr">
        <is>
          <t>Security Analyst</t>
        </is>
      </c>
      <c r="C237" s="48" t="inlineStr">
        <is>
          <t>IDESLABS PRIVATE LIMITED</t>
        </is>
      </c>
      <c r="D237" s="48" t="inlineStr">
        <is>
          <t>Bengaluru</t>
        </is>
      </c>
      <c r="E237" s="48" t="inlineStr">
        <is>
          <t>Other / General Business</t>
        </is>
      </c>
      <c r="F237" s="48" t="inlineStr">
        <is>
          <t>Mid Level (3-6 yrs)</t>
        </is>
      </c>
      <c r="G237" s="48" t="inlineStr">
        <is>
          <t>Full-time</t>
        </is>
      </c>
      <c r="H237" s="48" t="inlineStr">
        <is>
          <t>On-site</t>
        </is>
      </c>
      <c r="I237" s="49" t="n"/>
      <c r="J237" s="49" t="n"/>
      <c r="K237" s="48" t="inlineStr">
        <is>
          <t>provisioning, dns, tunneling, troubleshooting</t>
        </is>
      </c>
      <c r="L237" s="56" t="n">
        <v>45972</v>
      </c>
    </row>
    <row r="238">
      <c r="A238" s="48" t="inlineStr">
        <is>
          <t>J0046</t>
        </is>
      </c>
      <c r="B238" s="48" t="inlineStr">
        <is>
          <t>Hiring For CHAT Process</t>
        </is>
      </c>
      <c r="C238" s="48" t="inlineStr">
        <is>
          <t>eClerx</t>
        </is>
      </c>
      <c r="D238" s="48" t="inlineStr">
        <is>
          <t>Dombivli</t>
        </is>
      </c>
      <c r="E238" s="48" t="inlineStr">
        <is>
          <t>Customer Service &amp; BPO</t>
        </is>
      </c>
      <c r="F238" s="48" t="inlineStr">
        <is>
          <t>Entry Level (0-2 yrs)</t>
        </is>
      </c>
      <c r="G238" s="48" t="inlineStr">
        <is>
          <t>Full-time</t>
        </is>
      </c>
      <c r="H238" s="48" t="inlineStr">
        <is>
          <t>On-site</t>
        </is>
      </c>
      <c r="I238" s="49" t="n"/>
      <c r="J238" s="49" t="n"/>
      <c r="K238" s="48" t="inlineStr">
        <is>
          <t>CHAT Process, Email Support, Bpo Customer Service, chat process BPO</t>
        </is>
      </c>
      <c r="L238" s="56" t="n">
        <v>45966</v>
      </c>
    </row>
    <row r="239">
      <c r="A239" s="48" t="inlineStr">
        <is>
          <t>J0213</t>
        </is>
      </c>
      <c r="B239" s="48" t="inlineStr">
        <is>
          <t>Assistant Officer, Personal Banker, Consumer Banking Group</t>
        </is>
      </c>
      <c r="C239" s="48" t="inlineStr">
        <is>
          <t>DBS Bank</t>
        </is>
      </c>
      <c r="D239" s="48" t="inlineStr">
        <is>
          <t>Mysuru</t>
        </is>
      </c>
      <c r="E239" s="48" t="inlineStr">
        <is>
          <t>IT / Software</t>
        </is>
      </c>
      <c r="F239" s="48" t="inlineStr">
        <is>
          <t>Entry Level (0-2 yrs)</t>
        </is>
      </c>
      <c r="G239" s="48" t="inlineStr">
        <is>
          <t>Full-time</t>
        </is>
      </c>
      <c r="H239" s="48" t="inlineStr">
        <is>
          <t>On-site</t>
        </is>
      </c>
      <c r="I239" s="49" t="n"/>
      <c r="J239" s="49" t="n"/>
      <c r="K239" s="48" t="inlineStr">
        <is>
          <t>Sales, IRDA, Networking, Banking</t>
        </is>
      </c>
      <c r="L239" s="56" t="n">
        <v>45972</v>
      </c>
    </row>
    <row r="240">
      <c r="A240" s="48" t="inlineStr">
        <is>
          <t>J0007</t>
        </is>
      </c>
      <c r="B240" s="48" t="inlineStr">
        <is>
          <t>Deputy Manager - Lifestyle Finance</t>
        </is>
      </c>
      <c r="C240" s="48" t="inlineStr">
        <is>
          <t xml:space="preserve">  Bajaj Finance  </t>
        </is>
      </c>
      <c r="D240" s="48" t="inlineStr">
        <is>
          <t>Wayanad</t>
        </is>
      </c>
      <c r="E240" s="48" t="inlineStr">
        <is>
          <t>BFSI (Banking/Finance/Insurance)</t>
        </is>
      </c>
      <c r="F240" s="48" t="inlineStr">
        <is>
          <t>Entry Level (0-2 yrs)</t>
        </is>
      </c>
      <c r="G240" s="48" t="inlineStr">
        <is>
          <t>Full-time</t>
        </is>
      </c>
      <c r="H240" s="48" t="inlineStr">
        <is>
          <t>On-site</t>
        </is>
      </c>
      <c r="I240" s="49" t="n"/>
      <c r="J240" s="49" t="n"/>
      <c r="K240" s="48" t="inlineStr">
        <is>
          <t>Finance, Sales, Relationship Management, Payments</t>
        </is>
      </c>
      <c r="L240" s="56" t="n">
        <v>45969</v>
      </c>
    </row>
    <row r="241">
      <c r="A241" s="48" t="inlineStr">
        <is>
          <t>J0028</t>
        </is>
      </c>
      <c r="B241" s="48" t="inlineStr">
        <is>
          <t>Accounts Executives 02 nos Male only,Thane</t>
        </is>
      </c>
      <c r="C241" s="48" t="inlineStr">
        <is>
          <t>Aum Staffing Services</t>
        </is>
      </c>
      <c r="D241" s="48" t="inlineStr">
        <is>
          <t>Thane</t>
        </is>
      </c>
      <c r="E241" s="48" t="inlineStr">
        <is>
          <t>BFSI (Banking/Finance/Insurance)</t>
        </is>
      </c>
      <c r="F241" s="48" t="inlineStr">
        <is>
          <t>Mid Level (3-6 yrs)</t>
        </is>
      </c>
      <c r="G241" s="48" t="inlineStr">
        <is>
          <t>Full-time</t>
        </is>
      </c>
      <c r="H241" s="48" t="inlineStr">
        <is>
          <t>On-site</t>
        </is>
      </c>
      <c r="I241" s="49" t="n">
        <v>4.25</v>
      </c>
      <c r="J241" s="49" t="n">
        <v>6</v>
      </c>
      <c r="K241" s="48" t="inlineStr">
        <is>
          <t>Tds Reconciliation, Gst, Accounts Receivable, Bank Reconciliation</t>
        </is>
      </c>
      <c r="L241" s="56" t="n">
        <v>45966</v>
      </c>
    </row>
    <row r="242">
      <c r="A242" s="48" t="inlineStr">
        <is>
          <t>J0004</t>
        </is>
      </c>
      <c r="B242" s="48" t="inlineStr">
        <is>
          <t>CNC Programmer And Setter</t>
        </is>
      </c>
      <c r="C242" s="48" t="inlineStr">
        <is>
          <t>AB Autocomponents</t>
        </is>
      </c>
      <c r="D242" s="48" t="inlineStr">
        <is>
          <t>Nelamangala</t>
        </is>
      </c>
      <c r="E242" s="48" t="inlineStr">
        <is>
          <t>Other / General Business</t>
        </is>
      </c>
      <c r="F242" s="48" t="inlineStr">
        <is>
          <t>Entry Level (0-2 yrs)</t>
        </is>
      </c>
      <c r="G242" s="48" t="inlineStr">
        <is>
          <t>Full-time</t>
        </is>
      </c>
      <c r="H242" s="48" t="inlineStr">
        <is>
          <t>On-site</t>
        </is>
      </c>
      <c r="I242" s="49" t="n">
        <v>3</v>
      </c>
      <c r="J242" s="49" t="n">
        <v>4.2</v>
      </c>
      <c r="K242" s="48" t="inlineStr">
        <is>
          <t>CNC Programming, Setter Activities, CNC Grinding, English</t>
        </is>
      </c>
      <c r="L242" s="56" t="n">
        <v>45972</v>
      </c>
    </row>
    <row r="243">
      <c r="A243" s="48" t="inlineStr">
        <is>
          <t>J0314</t>
        </is>
      </c>
      <c r="B243" s="48" t="inlineStr">
        <is>
          <t>SAP FI S/4HANA Accounting</t>
        </is>
      </c>
      <c r="C243" s="48" t="inlineStr">
        <is>
          <t>Venpa Staffing</t>
        </is>
      </c>
      <c r="D243" s="48" t="inlineStr">
        <is>
          <t>Hyderabad</t>
        </is>
      </c>
      <c r="E243" s="48" t="inlineStr">
        <is>
          <t>IT / Software</t>
        </is>
      </c>
      <c r="F243" s="48" t="inlineStr">
        <is>
          <t>Mid Level (3-6 yrs)</t>
        </is>
      </c>
      <c r="G243" s="48" t="inlineStr">
        <is>
          <t>Full-time</t>
        </is>
      </c>
      <c r="H243" s="48" t="inlineStr">
        <is>
          <t>On-site</t>
        </is>
      </c>
      <c r="I243" s="49" t="n">
        <v>8</v>
      </c>
      <c r="J243" s="49" t="n">
        <v>18</v>
      </c>
      <c r="K243" s="48" t="inlineStr">
        <is>
          <t>SAP FICO, SAP FI CO, FICO, SAP CO</t>
        </is>
      </c>
      <c r="L243" s="56" t="n">
        <v>45970</v>
      </c>
    </row>
    <row r="244">
      <c r="A244" s="48" t="inlineStr">
        <is>
          <t>J0369</t>
        </is>
      </c>
      <c r="B244" s="48" t="inlineStr">
        <is>
          <t>B2B Sales Associate</t>
        </is>
      </c>
      <c r="C244" s="48" t="inlineStr">
        <is>
          <t>Sawara Solutions</t>
        </is>
      </c>
      <c r="D244" s="48" t="inlineStr">
        <is>
          <t>BENGALURU</t>
        </is>
      </c>
      <c r="E244" s="48" t="inlineStr">
        <is>
          <t>BFSI (Banking/Finance/Insurance)</t>
        </is>
      </c>
      <c r="F244" s="48" t="inlineStr">
        <is>
          <t>Entry Level (0-2 yrs)</t>
        </is>
      </c>
      <c r="G244" s="48" t="inlineStr">
        <is>
          <t>Full-time</t>
        </is>
      </c>
      <c r="H244" s="48" t="inlineStr">
        <is>
          <t>On-site</t>
        </is>
      </c>
      <c r="I244" s="49" t="n">
        <v>3.96</v>
      </c>
      <c r="J244" s="49" t="n">
        <v>4.8</v>
      </c>
      <c r="K244" s="48" t="n"/>
      <c r="L244" s="56" t="n">
        <v>45976</v>
      </c>
    </row>
    <row r="245">
      <c r="A245" s="48" t="inlineStr">
        <is>
          <t>J0149</t>
        </is>
      </c>
      <c r="B245" s="48" t="inlineStr">
        <is>
          <t>senior manager - social Media (ORM)</t>
        </is>
      </c>
      <c r="C245" s="48" t="inlineStr">
        <is>
          <t>Aseup Consultancy</t>
        </is>
      </c>
      <c r="D245" s="48" t="inlineStr">
        <is>
          <t>Mumbai</t>
        </is>
      </c>
      <c r="E245" s="48" t="inlineStr">
        <is>
          <t>Marketing &amp; Advertising</t>
        </is>
      </c>
      <c r="F245" s="48" t="n"/>
      <c r="G245" s="48" t="inlineStr">
        <is>
          <t>Full-time</t>
        </is>
      </c>
      <c r="H245" s="48" t="inlineStr">
        <is>
          <t>On-site</t>
        </is>
      </c>
      <c r="I245" s="49" t="n">
        <v>12</v>
      </c>
      <c r="J245" s="49" t="n">
        <v>22</v>
      </c>
      <c r="K245" s="48" t="inlineStr">
        <is>
          <t>Online Reputation Management, Escalation Management, QMS, Complaint Management</t>
        </is>
      </c>
      <c r="L245" s="56" t="n">
        <v>45973</v>
      </c>
    </row>
    <row r="246">
      <c r="A246" s="48" t="inlineStr">
        <is>
          <t>J0379</t>
        </is>
      </c>
      <c r="B246" s="48" t="inlineStr">
        <is>
          <t>SALES MANAGER -TRACK AND TRACE</t>
        </is>
      </c>
      <c r="C246" s="48" t="inlineStr">
        <is>
          <t>Kevin Process Technologies</t>
        </is>
      </c>
      <c r="D246" s="48" t="inlineStr">
        <is>
          <t>Visakhapatnam</t>
        </is>
      </c>
      <c r="E246" s="48" t="inlineStr">
        <is>
          <t>Healthcare &amp; Pharma</t>
        </is>
      </c>
      <c r="F246" s="48" t="inlineStr">
        <is>
          <t>Senior Level (7+ yrs)</t>
        </is>
      </c>
      <c r="G246" s="48" t="inlineStr">
        <is>
          <t>Full-time</t>
        </is>
      </c>
      <c r="H246" s="48" t="inlineStr">
        <is>
          <t>On-site</t>
        </is>
      </c>
      <c r="I246" s="49" t="n">
        <v>8</v>
      </c>
      <c r="J246" s="49" t="n">
        <v>18</v>
      </c>
      <c r="K246" s="48" t="inlineStr">
        <is>
          <t>Barcode Scanners, Barcode, Packaging Machines, Pharma Machinery</t>
        </is>
      </c>
      <c r="L246" s="56" t="n">
        <v>45972</v>
      </c>
    </row>
    <row r="247">
      <c r="A247" s="48" t="inlineStr">
        <is>
          <t>J0042</t>
        </is>
      </c>
      <c r="B247" s="48" t="inlineStr">
        <is>
          <t>Urgent Opening For Technical Lead</t>
        </is>
      </c>
      <c r="C247" s="48" t="inlineStr">
        <is>
          <t>Garage Platform India Private Limited</t>
        </is>
      </c>
      <c r="D247" s="48" t="inlineStr">
        <is>
          <t>Bengaluru</t>
        </is>
      </c>
      <c r="E247" s="48" t="inlineStr">
        <is>
          <t>IT / Software</t>
        </is>
      </c>
      <c r="F247" s="48" t="inlineStr">
        <is>
          <t>Senior Level (7+ yrs)</t>
        </is>
      </c>
      <c r="G247" s="48" t="inlineStr">
        <is>
          <t>Full-time</t>
        </is>
      </c>
      <c r="H247" s="48" t="inlineStr">
        <is>
          <t>On-site</t>
        </is>
      </c>
      <c r="I247" s="49" t="n">
        <v>8</v>
      </c>
      <c r="J247" s="49" t="n">
        <v>17</v>
      </c>
      <c r="K247" s="48" t="inlineStr">
        <is>
          <t>ASP.Net MVC, C#, Azure, Full stack</t>
        </is>
      </c>
      <c r="L247" s="56" t="n">
        <v>45972</v>
      </c>
    </row>
    <row r="248">
      <c r="A248" s="48" t="inlineStr">
        <is>
          <t>J0358</t>
        </is>
      </c>
      <c r="B248" s="48" t="inlineStr">
        <is>
          <t>Business Development Manager : Investment Sales (Calicut)</t>
        </is>
      </c>
      <c r="C248" s="48" t="inlineStr">
        <is>
          <t>Bluemavericks</t>
        </is>
      </c>
      <c r="D248" s="48" t="inlineStr">
        <is>
          <t>Kozhikode(Palazhi)</t>
        </is>
      </c>
      <c r="E248" s="48" t="inlineStr">
        <is>
          <t>BFSI (Banking/Finance/Insurance)</t>
        </is>
      </c>
      <c r="F248" s="48" t="n"/>
      <c r="G248" s="48" t="inlineStr">
        <is>
          <t>Full-time</t>
        </is>
      </c>
      <c r="H248" s="48" t="inlineStr">
        <is>
          <t>Hybrid</t>
        </is>
      </c>
      <c r="I248" s="49" t="n">
        <v>4.75</v>
      </c>
      <c r="J248" s="49" t="n">
        <v>6</v>
      </c>
      <c r="K248" s="48" t="inlineStr">
        <is>
          <t>Investment Sales, Investor Relations, client acq, Client Acquisition</t>
        </is>
      </c>
      <c r="L248" s="56" t="n">
        <v>45972</v>
      </c>
    </row>
    <row r="249">
      <c r="A249" s="48" t="inlineStr">
        <is>
          <t>J0017</t>
        </is>
      </c>
      <c r="B249" s="48" t="inlineStr">
        <is>
          <t>Sap Certified Consultant</t>
        </is>
      </c>
      <c r="C249" s="48" t="inlineStr">
        <is>
          <t>Sita Corp</t>
        </is>
      </c>
      <c r="D249" s="48" t="inlineStr">
        <is>
          <t>Tumkur</t>
        </is>
      </c>
      <c r="E249" s="48" t="inlineStr">
        <is>
          <t>IT / Software</t>
        </is>
      </c>
      <c r="F249" s="48" t="inlineStr">
        <is>
          <t>Entry Level (0-2 yrs)</t>
        </is>
      </c>
      <c r="G249" s="48" t="inlineStr">
        <is>
          <t>Full-time</t>
        </is>
      </c>
      <c r="H249" s="48" t="inlineStr">
        <is>
          <t>On-site</t>
        </is>
      </c>
      <c r="I249" s="49" t="n">
        <v>2.25</v>
      </c>
      <c r="J249" s="49" t="n">
        <v>5</v>
      </c>
      <c r="K249" s="48" t="inlineStr">
        <is>
          <t>SAP FICO, SAP MM, SAP testing, MM</t>
        </is>
      </c>
      <c r="L249" s="56" t="n">
        <v>45968</v>
      </c>
    </row>
    <row r="250">
      <c r="A250" s="48" t="inlineStr">
        <is>
          <t>J0422</t>
        </is>
      </c>
      <c r="B250" s="48" t="inlineStr">
        <is>
          <t>Sales Officer</t>
        </is>
      </c>
      <c r="C250" s="48" t="inlineStr">
        <is>
          <t>Bajaj Housing Finance</t>
        </is>
      </c>
      <c r="D250" s="48" t="inlineStr">
        <is>
          <t>Chandigarh</t>
        </is>
      </c>
      <c r="E250" s="48" t="inlineStr">
        <is>
          <t>BFSI (Banking/Finance/Insurance)</t>
        </is>
      </c>
      <c r="F250" s="48" t="inlineStr">
        <is>
          <t>Entry Level (0-2 yrs)</t>
        </is>
      </c>
      <c r="G250" s="48" t="inlineStr">
        <is>
          <t>Full-time</t>
        </is>
      </c>
      <c r="H250" s="48" t="inlineStr">
        <is>
          <t>On-site</t>
        </is>
      </c>
      <c r="I250" s="49" t="n">
        <v>2</v>
      </c>
      <c r="J250" s="49" t="n">
        <v>3</v>
      </c>
      <c r="K250" s="48" t="inlineStr">
        <is>
          <t>Field Sales, home loans, Housing Finance, Sales</t>
        </is>
      </c>
      <c r="L250" s="56" t="n">
        <v>45976</v>
      </c>
    </row>
    <row r="251">
      <c r="A251" s="48" t="inlineStr">
        <is>
          <t>J0295</t>
        </is>
      </c>
      <c r="B251" s="48" t="inlineStr">
        <is>
          <t>Key Accounts Manager-IndiaMart|| Surat</t>
        </is>
      </c>
      <c r="C251" s="48" t="inlineStr">
        <is>
          <t>IndiaMART</t>
        </is>
      </c>
      <c r="D251" s="48" t="inlineStr">
        <is>
          <t>Surat</t>
        </is>
      </c>
      <c r="E251" s="48" t="inlineStr">
        <is>
          <t>BFSI (Banking/Finance/Insurance)</t>
        </is>
      </c>
      <c r="F251" s="48" t="inlineStr">
        <is>
          <t>Mid Level (3-6 yrs)</t>
        </is>
      </c>
      <c r="G251" s="48" t="inlineStr">
        <is>
          <t>Full-time</t>
        </is>
      </c>
      <c r="H251" s="48" t="inlineStr">
        <is>
          <t>On-site</t>
        </is>
      </c>
      <c r="I251" s="49" t="n"/>
      <c r="J251" s="49" t="n"/>
      <c r="K251" s="48" t="inlineStr">
        <is>
          <t>sales, upselling, Team Management, Cross Selling</t>
        </is>
      </c>
      <c r="L251" s="56" t="n">
        <v>45973</v>
      </c>
    </row>
    <row r="252">
      <c r="A252" s="48" t="inlineStr">
        <is>
          <t>J0164</t>
        </is>
      </c>
      <c r="B252" s="48" t="inlineStr">
        <is>
          <t>TPA Billing Executive</t>
        </is>
      </c>
      <c r="C252" s="48" t="inlineStr">
        <is>
          <t>Cancer Centers Of America</t>
        </is>
      </c>
      <c r="D252" s="48" t="inlineStr">
        <is>
          <t>Amritsar</t>
        </is>
      </c>
      <c r="E252" s="48" t="inlineStr">
        <is>
          <t>Healthcare &amp; Pharma</t>
        </is>
      </c>
      <c r="F252" s="48" t="inlineStr">
        <is>
          <t>Entry Level (0-2 yrs)</t>
        </is>
      </c>
      <c r="G252" s="48" t="inlineStr">
        <is>
          <t>Full-time</t>
        </is>
      </c>
      <c r="H252" s="48" t="inlineStr">
        <is>
          <t>On-site</t>
        </is>
      </c>
      <c r="I252" s="49" t="n"/>
      <c r="J252" s="49" t="n"/>
      <c r="K252" s="48" t="inlineStr">
        <is>
          <t>Data analysis, Medical billing, TPA, Compliance</t>
        </is>
      </c>
      <c r="L252" s="56" t="n">
        <v>45972</v>
      </c>
    </row>
    <row r="253">
      <c r="A253" s="48" t="inlineStr">
        <is>
          <t>J0008</t>
        </is>
      </c>
      <c r="B253" s="48" t="inlineStr">
        <is>
          <t>Bancassurance Manager @ ICICI Pru Ahmadabad</t>
        </is>
      </c>
      <c r="C253" s="48" t="inlineStr">
        <is>
          <t>Orange Corporate Solution</t>
        </is>
      </c>
      <c r="D253" s="48" t="inlineStr">
        <is>
          <t>Ahmedabad</t>
        </is>
      </c>
      <c r="E253" s="48" t="inlineStr">
        <is>
          <t>Sales &amp; Business Development</t>
        </is>
      </c>
      <c r="F253" s="48" t="inlineStr">
        <is>
          <t>Entry Level (0-2 yrs)</t>
        </is>
      </c>
      <c r="G253" s="48" t="inlineStr">
        <is>
          <t>Full-time</t>
        </is>
      </c>
      <c r="H253" s="48" t="inlineStr">
        <is>
          <t>On-site</t>
        </is>
      </c>
      <c r="I253" s="49" t="n">
        <v>3.25</v>
      </c>
      <c r="J253" s="49" t="n">
        <v>4</v>
      </c>
      <c r="K253" s="48" t="inlineStr">
        <is>
          <t>sales, Banca, HNI, Banca Sales</t>
        </is>
      </c>
      <c r="L253" s="56" t="n">
        <v>45973</v>
      </c>
    </row>
    <row r="254">
      <c r="A254" s="48" t="inlineStr">
        <is>
          <t>J0080</t>
        </is>
      </c>
      <c r="B254" s="48" t="inlineStr">
        <is>
          <t>Sap Fico Consultant</t>
        </is>
      </c>
      <c r="C254" s="48" t="inlineStr">
        <is>
          <t>Smart Placement Services</t>
        </is>
      </c>
      <c r="D254" s="48" t="inlineStr">
        <is>
          <t>Hyderabad</t>
        </is>
      </c>
      <c r="E254" s="48" t="inlineStr">
        <is>
          <t>IT / Software</t>
        </is>
      </c>
      <c r="F254" s="48" t="inlineStr">
        <is>
          <t>Entry Level (0-2 yrs)</t>
        </is>
      </c>
      <c r="G254" s="48" t="inlineStr">
        <is>
          <t>Full-time</t>
        </is>
      </c>
      <c r="H254" s="48" t="inlineStr">
        <is>
          <t>Hybrid</t>
        </is>
      </c>
      <c r="I254" s="49" t="n">
        <v>4</v>
      </c>
      <c r="J254" s="49" t="n">
        <v>4.5</v>
      </c>
      <c r="K254" s="48" t="inlineStr">
        <is>
          <t>SAP FICO, SAP FI, SAP FICO Implementation, FICO</t>
        </is>
      </c>
      <c r="L254" s="56" t="n">
        <v>45966</v>
      </c>
    </row>
    <row r="255">
      <c r="A255" s="48" t="inlineStr">
        <is>
          <t>J0147</t>
        </is>
      </c>
      <c r="B255" s="48" t="inlineStr">
        <is>
          <t>Mis Analyst</t>
        </is>
      </c>
      <c r="C255" s="48" t="inlineStr">
        <is>
          <t>Manpowergroup Services India</t>
        </is>
      </c>
      <c r="D255" s="48" t="inlineStr">
        <is>
          <t>Bengaluru</t>
        </is>
      </c>
      <c r="E255" s="48" t="inlineStr">
        <is>
          <t>Other / General Business</t>
        </is>
      </c>
      <c r="F255" s="48" t="n"/>
      <c r="G255" s="48" t="inlineStr">
        <is>
          <t>Full-time</t>
        </is>
      </c>
      <c r="H255" s="48" t="inlineStr">
        <is>
          <t>On-site</t>
        </is>
      </c>
      <c r="I255" s="49" t="n">
        <v>3</v>
      </c>
      <c r="J255" s="49" t="n">
        <v>4.5</v>
      </c>
      <c r="K255" s="48" t="inlineStr">
        <is>
          <t>Advanced Excel, Visualization Tools, Pivot Table, Power Bi</t>
        </is>
      </c>
      <c r="L255" s="56" t="n">
        <v>45973</v>
      </c>
    </row>
    <row r="256">
      <c r="A256" s="48" t="inlineStr">
        <is>
          <t>J0165</t>
        </is>
      </c>
      <c r="B256" s="48" t="inlineStr">
        <is>
          <t>Document Controller</t>
        </is>
      </c>
      <c r="C256" s="48" t="inlineStr">
        <is>
          <t>Centre For Recruitment &amp; Selection</t>
        </is>
      </c>
      <c r="D256" s="48" t="inlineStr">
        <is>
          <t>Ahmedabad</t>
        </is>
      </c>
      <c r="E256" s="48" t="inlineStr">
        <is>
          <t>Other / General Business</t>
        </is>
      </c>
      <c r="F256" s="48" t="inlineStr">
        <is>
          <t>Mid Level (3-6 yrs)</t>
        </is>
      </c>
      <c r="G256" s="48" t="inlineStr">
        <is>
          <t>Full-time</t>
        </is>
      </c>
      <c r="H256" s="48" t="inlineStr">
        <is>
          <t>On-site</t>
        </is>
      </c>
      <c r="I256" s="49" t="n">
        <v>1</v>
      </c>
      <c r="J256" s="49" t="n">
        <v>4</v>
      </c>
      <c r="K256" s="48" t="inlineStr">
        <is>
          <t>Document Control, document controller, Documentation, Documents</t>
        </is>
      </c>
      <c r="L256" s="56" t="n">
        <v>45968</v>
      </c>
    </row>
    <row r="257">
      <c r="A257" s="48" t="inlineStr">
        <is>
          <t>J0152</t>
        </is>
      </c>
      <c r="B257" s="48" t="inlineStr">
        <is>
          <t>Sales Manager - Used Car Loans</t>
        </is>
      </c>
      <c r="C257" s="48" t="inlineStr">
        <is>
          <t>Tata Capital</t>
        </is>
      </c>
      <c r="D257" s="48" t="inlineStr">
        <is>
          <t>BENGALURU</t>
        </is>
      </c>
      <c r="E257" s="48" t="inlineStr">
        <is>
          <t>BFSI (Banking/Finance/Insurance)</t>
        </is>
      </c>
      <c r="F257" s="48" t="inlineStr">
        <is>
          <t>Mid Level (3-6 yrs)</t>
        </is>
      </c>
      <c r="G257" s="48" t="inlineStr">
        <is>
          <t>Full-time</t>
        </is>
      </c>
      <c r="H257" s="48" t="inlineStr">
        <is>
          <t>On-site</t>
        </is>
      </c>
      <c r="I257" s="49" t="n"/>
      <c r="J257" s="49" t="n"/>
      <c r="K257" s="48" t="inlineStr">
        <is>
          <t>sales, marketing, sales management, lead generation</t>
        </is>
      </c>
      <c r="L257" s="56" t="n">
        <v>45966</v>
      </c>
    </row>
    <row r="258">
      <c r="A258" s="48" t="inlineStr">
        <is>
          <t>J0425</t>
        </is>
      </c>
      <c r="B258" s="48" t="inlineStr">
        <is>
          <t>Receptionist And Telephone Operator/ Panvel , Navi Mumbai</t>
        </is>
      </c>
      <c r="C258" s="48" t="inlineStr">
        <is>
          <t xml:space="preserve">  Shubhvastu Property  </t>
        </is>
      </c>
      <c r="D258" s="48" t="inlineStr">
        <is>
          <t>Panvel</t>
        </is>
      </c>
      <c r="E258" s="48" t="inlineStr">
        <is>
          <t>Other / General Business</t>
        </is>
      </c>
      <c r="F258" s="48" t="inlineStr">
        <is>
          <t>Entry Level (0-2 yrs)</t>
        </is>
      </c>
      <c r="G258" s="48" t="inlineStr">
        <is>
          <t>Full-time</t>
        </is>
      </c>
      <c r="H258" s="48" t="inlineStr">
        <is>
          <t>On-site</t>
        </is>
      </c>
      <c r="I258" s="49" t="n">
        <v>1.2</v>
      </c>
      <c r="J258" s="49" t="n">
        <v>1.8</v>
      </c>
      <c r="K258" s="48" t="inlineStr">
        <is>
          <t>Computer Knowledge, Receptionist Activities, Computer Operating, Front Office Management</t>
        </is>
      </c>
      <c r="L258" s="56" t="n">
        <v>45966</v>
      </c>
    </row>
    <row r="259">
      <c r="A259" s="48" t="inlineStr">
        <is>
          <t>J0271</t>
        </is>
      </c>
      <c r="B259" s="48" t="inlineStr">
        <is>
          <t>TOSCA Automation Tester For Chennai IT Companies</t>
        </is>
      </c>
      <c r="C259" s="48" t="inlineStr">
        <is>
          <t>White Horse Manpower Consultancy</t>
        </is>
      </c>
      <c r="D259" s="48" t="inlineStr">
        <is>
          <t>Chennai</t>
        </is>
      </c>
      <c r="E259" s="48" t="inlineStr">
        <is>
          <t>IT / Software</t>
        </is>
      </c>
      <c r="F259" s="48" t="inlineStr">
        <is>
          <t>Entry Level (0-2 yrs)</t>
        </is>
      </c>
      <c r="G259" s="48" t="inlineStr">
        <is>
          <t>Full-time</t>
        </is>
      </c>
      <c r="H259" s="48" t="inlineStr">
        <is>
          <t>On-site</t>
        </is>
      </c>
      <c r="I259" s="49" t="n">
        <v>3</v>
      </c>
      <c r="J259" s="49" t="n">
        <v>7</v>
      </c>
      <c r="K259" s="48" t="inlineStr">
        <is>
          <t>TOSCA QA Jobs, Software QA Automation Careers, Automation Testing Jobs Chennai, TOSCA Automation Tester Chennai</t>
        </is>
      </c>
      <c r="L259" s="56" t="n">
        <v>45972</v>
      </c>
    </row>
    <row r="260">
      <c r="A260" s="48" t="inlineStr">
        <is>
          <t>J0302</t>
        </is>
      </c>
      <c r="B260" s="48" t="inlineStr">
        <is>
          <t>Client Relationship Officer</t>
        </is>
      </c>
      <c r="C260" s="48" t="inlineStr">
        <is>
          <t>Bajaj Capital</t>
        </is>
      </c>
      <c r="D260" s="48" t="inlineStr">
        <is>
          <t>Gurgaon</t>
        </is>
      </c>
      <c r="E260" s="48" t="inlineStr">
        <is>
          <t>Sales &amp; Business Development</t>
        </is>
      </c>
      <c r="F260" s="48" t="inlineStr">
        <is>
          <t>Entry Level (0-2 yrs)</t>
        </is>
      </c>
      <c r="G260" s="48" t="inlineStr">
        <is>
          <t>Full-time</t>
        </is>
      </c>
      <c r="H260" s="48" t="inlineStr">
        <is>
          <t>On-site</t>
        </is>
      </c>
      <c r="I260" s="49" t="n">
        <v>3</v>
      </c>
      <c r="J260" s="49" t="n">
        <v>3.75</v>
      </c>
      <c r="K260" s="48" t="inlineStr">
        <is>
          <t>Mutual Funds Sales, Customer Relationship, Upselling, Virtual Relationship</t>
        </is>
      </c>
      <c r="L260" s="56" t="n">
        <v>45973</v>
      </c>
    </row>
    <row r="261">
      <c r="A261" s="48" t="inlineStr">
        <is>
          <t>J0184</t>
        </is>
      </c>
      <c r="B261" s="48" t="inlineStr">
        <is>
          <t>Azure Architect</t>
        </is>
      </c>
      <c r="C261" s="48" t="inlineStr">
        <is>
          <t>Asky Services Llp</t>
        </is>
      </c>
      <c r="D261" s="48" t="inlineStr">
        <is>
          <t>Hyderabad</t>
        </is>
      </c>
      <c r="E261" s="48" t="inlineStr">
        <is>
          <t>IT / Software</t>
        </is>
      </c>
      <c r="F261" s="48" t="inlineStr">
        <is>
          <t>Senior Level (7+ yrs)</t>
        </is>
      </c>
      <c r="G261" s="48" t="inlineStr">
        <is>
          <t>Full-time</t>
        </is>
      </c>
      <c r="H261" s="48" t="inlineStr">
        <is>
          <t>On-site</t>
        </is>
      </c>
      <c r="I261" s="49" t="n">
        <v>25</v>
      </c>
      <c r="J261" s="49" t="n">
        <v>30</v>
      </c>
      <c r="K261" s="48" t="inlineStr">
        <is>
          <t>Architect, Azure, Team Lead, Spark</t>
        </is>
      </c>
      <c r="L261" s="56" t="n">
        <v>45969</v>
      </c>
    </row>
    <row r="262">
      <c r="A262" s="48" t="inlineStr">
        <is>
          <t>J0178</t>
        </is>
      </c>
      <c r="B262" s="48" t="inlineStr">
        <is>
          <t>SR. Manager | RCM | US Healthcare</t>
        </is>
      </c>
      <c r="C262" s="48" t="inlineStr">
        <is>
          <t>GM Analytics Solutions</t>
        </is>
      </c>
      <c r="D262" s="48" t="inlineStr">
        <is>
          <t>Gurugram</t>
        </is>
      </c>
      <c r="E262" s="48" t="inlineStr">
        <is>
          <t>Healthcare &amp; Pharma</t>
        </is>
      </c>
      <c r="F262" s="48" t="inlineStr">
        <is>
          <t>Senior Level (7+ yrs)</t>
        </is>
      </c>
      <c r="G262" s="48" t="inlineStr">
        <is>
          <t>Full-time</t>
        </is>
      </c>
      <c r="H262" s="48" t="inlineStr">
        <is>
          <t>On-site</t>
        </is>
      </c>
      <c r="I262" s="49" t="n"/>
      <c r="J262" s="49" t="n"/>
      <c r="K262" s="48" t="inlineStr">
        <is>
          <t>Revenue Cycle Management, US Healthcare, Denial Management, RCM</t>
        </is>
      </c>
      <c r="L262" s="56" t="n">
        <v>45974</v>
      </c>
    </row>
    <row r="263">
      <c r="A263" s="48" t="inlineStr">
        <is>
          <t>J0094</t>
        </is>
      </c>
      <c r="B263" s="48" t="inlineStr">
        <is>
          <t>Java Developer and Sr Java Developer</t>
        </is>
      </c>
      <c r="C263" s="48" t="inlineStr">
        <is>
          <t>XON Solutions</t>
        </is>
      </c>
      <c r="D263" s="48" t="inlineStr">
        <is>
          <t>Gurugram</t>
        </is>
      </c>
      <c r="E263" s="48" t="inlineStr">
        <is>
          <t>IT / Software</t>
        </is>
      </c>
      <c r="F263" s="48" t="inlineStr">
        <is>
          <t>Mid Level (3-6 yrs)</t>
        </is>
      </c>
      <c r="G263" s="48" t="inlineStr">
        <is>
          <t>Full-time</t>
        </is>
      </c>
      <c r="H263" s="48" t="inlineStr">
        <is>
          <t>On-site</t>
        </is>
      </c>
      <c r="I263" s="49" t="n">
        <v>5</v>
      </c>
      <c r="J263" s="49" t="n">
        <v>15</v>
      </c>
      <c r="K263" s="48" t="inlineStr">
        <is>
          <t>Core Java, Hibernate, Struts, Spring Boot</t>
        </is>
      </c>
      <c r="L263" s="56" t="n">
        <v>45972</v>
      </c>
    </row>
    <row r="264">
      <c r="A264" s="48" t="inlineStr">
        <is>
          <t>J0169</t>
        </is>
      </c>
      <c r="B264" s="48" t="inlineStr">
        <is>
          <t>Senior Accountant - Export Documentation</t>
        </is>
      </c>
      <c r="C264" s="48" t="inlineStr">
        <is>
          <t>PRO Hr Complete Solutions</t>
        </is>
      </c>
      <c r="D264" s="48" t="inlineStr">
        <is>
          <t>Jaipur</t>
        </is>
      </c>
      <c r="E264" s="48" t="inlineStr">
        <is>
          <t>BFSI (Banking/Finance/Insurance)</t>
        </is>
      </c>
      <c r="F264" s="48" t="inlineStr">
        <is>
          <t>Mid Level (3-6 yrs)</t>
        </is>
      </c>
      <c r="G264" s="48" t="inlineStr">
        <is>
          <t>Full-time</t>
        </is>
      </c>
      <c r="H264" s="48" t="inlineStr">
        <is>
          <t>On-site</t>
        </is>
      </c>
      <c r="I264" s="49" t="n">
        <v>4</v>
      </c>
      <c r="J264" s="49" t="n">
        <v>6</v>
      </c>
      <c r="K264" s="48" t="n"/>
      <c r="L264" s="56" t="n">
        <v>45974</v>
      </c>
    </row>
    <row r="265">
      <c r="A265" s="48" t="inlineStr">
        <is>
          <t>J0202</t>
        </is>
      </c>
      <c r="B265" s="48" t="inlineStr">
        <is>
          <t>SALES EXECUTIVE</t>
        </is>
      </c>
      <c r="C265" s="48" t="inlineStr">
        <is>
          <t>Berger Paints</t>
        </is>
      </c>
      <c r="D265" s="48" t="inlineStr">
        <is>
          <t>Dhamtari</t>
        </is>
      </c>
      <c r="E265" s="48" t="inlineStr">
        <is>
          <t>Sales &amp; Business Development</t>
        </is>
      </c>
      <c r="F265" s="48" t="inlineStr">
        <is>
          <t>Entry Level (0-2 yrs)</t>
        </is>
      </c>
      <c r="G265" s="48" t="inlineStr">
        <is>
          <t>Full-time</t>
        </is>
      </c>
      <c r="H265" s="48" t="inlineStr">
        <is>
          <t>On-site</t>
        </is>
      </c>
      <c r="I265" s="49" t="n">
        <v>2.75</v>
      </c>
      <c r="J265" s="49" t="n">
        <v>4.5</v>
      </c>
      <c r="K265" s="48" t="inlineStr">
        <is>
          <t>Chanel Sales, Distributor Sales, Distribution Channel Sales, Channel Sales Management</t>
        </is>
      </c>
      <c r="L265" s="56" t="n">
        <v>45972</v>
      </c>
    </row>
    <row r="266">
      <c r="A266" s="48" t="inlineStr">
        <is>
          <t>J0083</t>
        </is>
      </c>
      <c r="B266" s="48" t="inlineStr">
        <is>
          <t>Biotech/biomedical/bioinformatics/biochemistry fresher Jobs in Chennai</t>
        </is>
      </c>
      <c r="C266" s="48" t="inlineStr">
        <is>
          <t>Achievers Spot</t>
        </is>
      </c>
      <c r="D266" s="48" t="inlineStr">
        <is>
          <t>Tirupati</t>
        </is>
      </c>
      <c r="E266" s="48" t="inlineStr">
        <is>
          <t>Healthcare &amp; Pharma</t>
        </is>
      </c>
      <c r="F266" s="48" t="inlineStr">
        <is>
          <t>Entry Level (0-2 yrs)</t>
        </is>
      </c>
      <c r="G266" s="48" t="inlineStr">
        <is>
          <t>Full-time</t>
        </is>
      </c>
      <c r="H266" s="48" t="inlineStr">
        <is>
          <t>On-site</t>
        </is>
      </c>
      <c r="I266" s="49" t="n">
        <v>3.5</v>
      </c>
      <c r="J266" s="49" t="n">
        <v>4.5</v>
      </c>
      <c r="K266" s="48" t="inlineStr">
        <is>
          <t>Biomedical Engineering, bsc bioinformatics, Bioinformatics, be biomedical</t>
        </is>
      </c>
      <c r="L266" s="56" t="n">
        <v>45973</v>
      </c>
    </row>
    <row r="267">
      <c r="A267" s="48" t="inlineStr">
        <is>
          <t>J0159</t>
        </is>
      </c>
      <c r="B267" s="48" t="inlineStr">
        <is>
          <t>Product Manager : Lower Parel : Sal 15 LPA</t>
        </is>
      </c>
      <c r="C267" s="48" t="inlineStr">
        <is>
          <t>Jobspothr</t>
        </is>
      </c>
      <c r="D267" s="48" t="inlineStr">
        <is>
          <t>Mumbai</t>
        </is>
      </c>
      <c r="E267" s="48" t="inlineStr">
        <is>
          <t>Healthcare &amp; Pharma</t>
        </is>
      </c>
      <c r="F267" s="48" t="inlineStr">
        <is>
          <t>Entry Level (0-2 yrs)</t>
        </is>
      </c>
      <c r="G267" s="48" t="inlineStr">
        <is>
          <t>Full-time</t>
        </is>
      </c>
      <c r="H267" s="48" t="inlineStr">
        <is>
          <t>On-site</t>
        </is>
      </c>
      <c r="I267" s="49" t="n">
        <v>10</v>
      </c>
      <c r="J267" s="49" t="n">
        <v>15</v>
      </c>
      <c r="K267" s="48" t="inlineStr">
        <is>
          <t>Product Strategy, Brand Marketing, marketing, Product Launch</t>
        </is>
      </c>
      <c r="L267" s="56" t="n">
        <v>45970</v>
      </c>
    </row>
    <row r="268">
      <c r="A268" s="48" t="inlineStr">
        <is>
          <t>J0086</t>
        </is>
      </c>
      <c r="B268" s="48" t="inlineStr">
        <is>
          <t>Qa Engineer</t>
        </is>
      </c>
      <c r="C268" s="48" t="inlineStr">
        <is>
          <t>Wissenpro It Solutions</t>
        </is>
      </c>
      <c r="D268" s="48" t="inlineStr">
        <is>
          <t>Hyderabad</t>
        </is>
      </c>
      <c r="E268" s="48" t="inlineStr">
        <is>
          <t>IT / Software</t>
        </is>
      </c>
      <c r="F268" s="48" t="inlineStr">
        <is>
          <t>Mid Level (3-6 yrs)</t>
        </is>
      </c>
      <c r="G268" s="48" t="inlineStr">
        <is>
          <t>Full-time</t>
        </is>
      </c>
      <c r="H268" s="48" t="inlineStr">
        <is>
          <t>On-site</t>
        </is>
      </c>
      <c r="I268" s="49" t="n">
        <v>8</v>
      </c>
      <c r="J268" s="49" t="n">
        <v>12</v>
      </c>
      <c r="K268" s="48" t="inlineStr">
        <is>
          <t>Fintech, Payments, Quality Assurance Testing, Mobile Application Testing</t>
        </is>
      </c>
      <c r="L268" s="56" t="n">
        <v>45969</v>
      </c>
    </row>
    <row r="269">
      <c r="A269" s="48" t="inlineStr">
        <is>
          <t>J0192</t>
        </is>
      </c>
      <c r="B269" s="48" t="inlineStr">
        <is>
          <t xml:space="preserve">  Electrical Lead - Solar  </t>
        </is>
      </c>
      <c r="C269" s="48" t="inlineStr">
        <is>
          <t xml:space="preserve">  Everrenew  </t>
        </is>
      </c>
      <c r="D269" s="48" t="inlineStr">
        <is>
          <t>Chennai</t>
        </is>
      </c>
      <c r="E269" s="48" t="inlineStr">
        <is>
          <t>Manufacturing &amp; Engineering</t>
        </is>
      </c>
      <c r="F269" s="48" t="inlineStr">
        <is>
          <t>Senior Level (7+ yrs)</t>
        </is>
      </c>
      <c r="G269" s="48" t="inlineStr">
        <is>
          <t>Full-time</t>
        </is>
      </c>
      <c r="H269" s="48" t="inlineStr">
        <is>
          <t>On-site</t>
        </is>
      </c>
      <c r="I269" s="49" t="n"/>
      <c r="J269" s="49" t="n"/>
      <c r="K269" s="48" t="n"/>
      <c r="L269" s="56" t="n">
        <v>45975</v>
      </c>
    </row>
    <row r="270">
      <c r="A270" s="48" t="inlineStr">
        <is>
          <t>J0154</t>
        </is>
      </c>
      <c r="B270" s="48" t="inlineStr">
        <is>
          <t>Customer Relations Associate (Marathi/Hindi) - Freshers Welcome</t>
        </is>
      </c>
      <c r="C270" s="48" t="inlineStr">
        <is>
          <t>Altruist Technologies</t>
        </is>
      </c>
      <c r="D270" s="48" t="inlineStr">
        <is>
          <t>Pimpri-Chinchwad</t>
        </is>
      </c>
      <c r="E270" s="48" t="inlineStr">
        <is>
          <t>Customer Service &amp; BPO</t>
        </is>
      </c>
      <c r="F270" s="48" t="inlineStr">
        <is>
          <t>Entry Level (0-2 yrs)</t>
        </is>
      </c>
      <c r="G270" s="48" t="inlineStr">
        <is>
          <t>Full-time</t>
        </is>
      </c>
      <c r="H270" s="48" t="inlineStr">
        <is>
          <t>On-site</t>
        </is>
      </c>
      <c r="I270" s="49" t="n">
        <v>1.25</v>
      </c>
      <c r="J270" s="49" t="n">
        <v>3.25</v>
      </c>
      <c r="K270" s="48" t="inlineStr">
        <is>
          <t>Customer Service, Voice Process, Outbound Process, Customer Relationship</t>
        </is>
      </c>
      <c r="L270" s="56" t="n">
        <v>45976</v>
      </c>
    </row>
    <row r="271">
      <c r="A271" s="48" t="inlineStr">
        <is>
          <t>J0155</t>
        </is>
      </c>
      <c r="B271" s="48" t="inlineStr">
        <is>
          <t>Psychologist</t>
        </is>
      </c>
      <c r="C271" s="48" t="inlineStr">
        <is>
          <t xml:space="preserve">  Pragyan Child Development Centre  </t>
        </is>
      </c>
      <c r="D271" s="48" t="inlineStr">
        <is>
          <t>Bengaluru</t>
        </is>
      </c>
      <c r="E271" s="48" t="inlineStr">
        <is>
          <t>Healthcare &amp; Pharma</t>
        </is>
      </c>
      <c r="F271" s="48" t="inlineStr">
        <is>
          <t>Entry Level (0-2 yrs)</t>
        </is>
      </c>
      <c r="G271" s="48" t="inlineStr">
        <is>
          <t>Full-time</t>
        </is>
      </c>
      <c r="H271" s="48" t="inlineStr">
        <is>
          <t>On-site</t>
        </is>
      </c>
      <c r="I271" s="49" t="n">
        <v>1.75</v>
      </c>
      <c r="J271" s="49" t="n">
        <v>5.5</v>
      </c>
      <c r="K271" s="48" t="inlineStr">
        <is>
          <t>Psychology, ABA Therapist, Child Psychology, Clinical Psychology</t>
        </is>
      </c>
      <c r="L271" s="56" t="n">
        <v>45970</v>
      </c>
    </row>
    <row r="272">
      <c r="A272" s="48" t="inlineStr">
        <is>
          <t>J0131</t>
        </is>
      </c>
      <c r="B272" s="48" t="inlineStr">
        <is>
          <t>BPO Hiring - UK E- Commerce Voice Process 4.70 LPA GGN</t>
        </is>
      </c>
      <c r="C272" s="48" t="inlineStr">
        <is>
          <t>Smart Source</t>
        </is>
      </c>
      <c r="D272" s="48" t="inlineStr">
        <is>
          <t xml:space="preserve"> Gurugram</t>
        </is>
      </c>
      <c r="E272" s="48" t="inlineStr">
        <is>
          <t>Media &amp; Entertainment</t>
        </is>
      </c>
      <c r="F272" s="48" t="inlineStr">
        <is>
          <t>Entry Level (0-2 yrs)</t>
        </is>
      </c>
      <c r="G272" s="48" t="inlineStr">
        <is>
          <t>Full-time</t>
        </is>
      </c>
      <c r="H272" s="48" t="inlineStr">
        <is>
          <t>On-site</t>
        </is>
      </c>
      <c r="I272" s="49" t="n">
        <v>1</v>
      </c>
      <c r="J272" s="49" t="n">
        <v>4.75</v>
      </c>
      <c r="K272" s="48" t="inlineStr">
        <is>
          <t>B.COM, Intermediate, Graduate, Post</t>
        </is>
      </c>
      <c r="L272" s="56" t="n">
        <v>45976</v>
      </c>
    </row>
    <row r="273">
      <c r="A273" s="48" t="inlineStr">
        <is>
          <t>J0336</t>
        </is>
      </c>
      <c r="B273" s="48" t="inlineStr">
        <is>
          <t>Manual Test Engineer</t>
        </is>
      </c>
      <c r="C273" s="48" t="inlineStr">
        <is>
          <t>NuWare</t>
        </is>
      </c>
      <c r="D273" s="48" t="inlineStr">
        <is>
          <t>Bengaluru</t>
        </is>
      </c>
      <c r="E273" s="48" t="inlineStr">
        <is>
          <t>IT / Software</t>
        </is>
      </c>
      <c r="F273" s="48" t="inlineStr">
        <is>
          <t>Mid Level (3-6 yrs)</t>
        </is>
      </c>
      <c r="G273" s="48" t="inlineStr">
        <is>
          <t>Full-time</t>
        </is>
      </c>
      <c r="H273" s="48" t="inlineStr">
        <is>
          <t>Hybrid</t>
        </is>
      </c>
      <c r="I273" s="49" t="n"/>
      <c r="J273" s="49" t="n"/>
      <c r="K273" s="48" t="inlineStr">
        <is>
          <t>Sql Database Testing, Manual Testing, SQL, SQL database</t>
        </is>
      </c>
      <c r="L273" s="56" t="n">
        <v>45972</v>
      </c>
    </row>
    <row r="274">
      <c r="A274" s="48" t="inlineStr">
        <is>
          <t>J0283</t>
        </is>
      </c>
      <c r="B274" s="48" t="inlineStr">
        <is>
          <t>Wordpress Developer</t>
        </is>
      </c>
      <c r="C274" s="48" t="inlineStr">
        <is>
          <t>Triforce</t>
        </is>
      </c>
      <c r="D274" s="48" t="inlineStr">
        <is>
          <t>Ahmedabad</t>
        </is>
      </c>
      <c r="E274" s="48" t="inlineStr">
        <is>
          <t>IT / Software</t>
        </is>
      </c>
      <c r="F274" s="48" t="inlineStr">
        <is>
          <t>Entry Level (0-2 yrs)</t>
        </is>
      </c>
      <c r="G274" s="48" t="inlineStr">
        <is>
          <t>Full-time</t>
        </is>
      </c>
      <c r="H274" s="48" t="inlineStr">
        <is>
          <t>On-site</t>
        </is>
      </c>
      <c r="I274" s="49" t="n">
        <v>0.6</v>
      </c>
      <c r="J274" s="49" t="n">
        <v>2.4</v>
      </c>
      <c r="K274" s="48" t="inlineStr">
        <is>
          <t>Wordpress, Php Wordpress, Wordpress Development, Theme Development</t>
        </is>
      </c>
      <c r="L274" s="56" t="n">
        <v>45967</v>
      </c>
    </row>
    <row r="275">
      <c r="A275" s="48" t="inlineStr">
        <is>
          <t>J0011</t>
        </is>
      </c>
      <c r="B275" s="48" t="inlineStr">
        <is>
          <t>National Sales Manager</t>
        </is>
      </c>
      <c r="C275" s="48" t="inlineStr">
        <is>
          <t>ALL Time Plastics</t>
        </is>
      </c>
      <c r="D275" s="48" t="inlineStr">
        <is>
          <t>Mumbai Suburban</t>
        </is>
      </c>
      <c r="E275" s="48" t="inlineStr">
        <is>
          <t>Sales &amp; Business Development</t>
        </is>
      </c>
      <c r="F275" s="48" t="inlineStr">
        <is>
          <t>Senior Level (7+ yrs)</t>
        </is>
      </c>
      <c r="G275" s="48" t="inlineStr">
        <is>
          <t>Full-time</t>
        </is>
      </c>
      <c r="H275" s="48" t="inlineStr">
        <is>
          <t>On-site</t>
        </is>
      </c>
      <c r="I275" s="49" t="n">
        <v>30</v>
      </c>
      <c r="J275" s="49" t="n">
        <v>40</v>
      </c>
      <c r="K275" s="48" t="inlineStr">
        <is>
          <t>General Trade, National Sales, Distribution Management, Distribution Development</t>
        </is>
      </c>
      <c r="L275" s="56" t="n">
        <v>45976</v>
      </c>
    </row>
    <row r="276">
      <c r="A276" s="48" t="inlineStr">
        <is>
          <t>J0087</t>
        </is>
      </c>
      <c r="B276" s="48" t="inlineStr">
        <is>
          <t>Site Safety Officer (Pune)</t>
        </is>
      </c>
      <c r="C276" s="48" t="inlineStr">
        <is>
          <t>THERMAX</t>
        </is>
      </c>
      <c r="D276" s="48" t="inlineStr">
        <is>
          <t>Pune</t>
        </is>
      </c>
      <c r="E276" s="48" t="inlineStr">
        <is>
          <t>Other / General Business</t>
        </is>
      </c>
      <c r="F276" s="48" t="inlineStr">
        <is>
          <t>Entry Level (0-2 yrs)</t>
        </is>
      </c>
      <c r="G276" s="48" t="inlineStr">
        <is>
          <t>Full-time</t>
        </is>
      </c>
      <c r="H276" s="48" t="inlineStr">
        <is>
          <t>On-site</t>
        </is>
      </c>
      <c r="I276" s="49" t="n">
        <v>3</v>
      </c>
      <c r="J276" s="49" t="n">
        <v>5</v>
      </c>
      <c r="K276" s="48" t="inlineStr">
        <is>
          <t>ADIS, PDIS, Site, Site Safety</t>
        </is>
      </c>
      <c r="L276" s="56" t="n">
        <v>45976</v>
      </c>
    </row>
    <row r="277">
      <c r="A277" s="48" t="inlineStr">
        <is>
          <t>J0036</t>
        </is>
      </c>
      <c r="B277" s="48" t="inlineStr">
        <is>
          <t>Dot Net Fullstack Developer</t>
        </is>
      </c>
      <c r="C277" s="48" t="inlineStr">
        <is>
          <t>Tech Mahindra</t>
        </is>
      </c>
      <c r="D277" s="48" t="inlineStr">
        <is>
          <t>Nagpur</t>
        </is>
      </c>
      <c r="E277" s="48" t="inlineStr">
        <is>
          <t>IT / Software</t>
        </is>
      </c>
      <c r="F277" s="48" t="inlineStr">
        <is>
          <t>Mid Level (3-6 yrs)</t>
        </is>
      </c>
      <c r="G277" s="48" t="inlineStr">
        <is>
          <t>Full-time</t>
        </is>
      </c>
      <c r="H277" s="48" t="inlineStr">
        <is>
          <t>Hybrid</t>
        </is>
      </c>
      <c r="I277" s="49" t="n">
        <v>15</v>
      </c>
      <c r="J277" s="49" t="n">
        <v>20</v>
      </c>
      <c r="K277" s="48" t="inlineStr">
        <is>
          <t>C#, Azure, SQL Database, Asp.Net Core Mvc</t>
        </is>
      </c>
      <c r="L277" s="56" t="n">
        <v>45973</v>
      </c>
    </row>
    <row r="278">
      <c r="A278" s="48" t="inlineStr">
        <is>
          <t>J0214</t>
        </is>
      </c>
      <c r="B278" s="48" t="inlineStr">
        <is>
          <t>branch head - wealth mgmt - mum, kolkata, delhi ncr wealth mgmt firm)</t>
        </is>
      </c>
      <c r="C278" s="48" t="inlineStr">
        <is>
          <t>The Firm P</t>
        </is>
      </c>
      <c r="D278" s="48" t="inlineStr">
        <is>
          <t>Kolkata</t>
        </is>
      </c>
      <c r="E278" s="48" t="inlineStr">
        <is>
          <t>BFSI (Banking/Finance/Insurance)</t>
        </is>
      </c>
      <c r="F278" s="48" t="inlineStr">
        <is>
          <t>Senior Level (7+ yrs)</t>
        </is>
      </c>
      <c r="G278" s="48" t="inlineStr">
        <is>
          <t>Full-time</t>
        </is>
      </c>
      <c r="H278" s="48" t="inlineStr">
        <is>
          <t>On-site</t>
        </is>
      </c>
      <c r="I278" s="49" t="n">
        <v>45</v>
      </c>
      <c r="J278" s="49" t="n">
        <v>50</v>
      </c>
      <c r="K278" s="48" t="inlineStr">
        <is>
          <t>private wealth, Investment Planning, Wealth Mngr, HNI Sales</t>
        </is>
      </c>
      <c r="L278" s="56" t="n">
        <v>45971</v>
      </c>
    </row>
    <row r="279">
      <c r="A279" s="48" t="inlineStr">
        <is>
          <t>J0029</t>
        </is>
      </c>
      <c r="B279" s="48" t="inlineStr">
        <is>
          <t>Software Engineer, Production Engineer, FA</t>
        </is>
      </c>
      <c r="C279" s="48" t="inlineStr">
        <is>
          <t>Pure Storage</t>
        </is>
      </c>
      <c r="D279" s="48" t="inlineStr">
        <is>
          <t>Bengaluru</t>
        </is>
      </c>
      <c r="E279" s="48" t="inlineStr">
        <is>
          <t>IT / Software</t>
        </is>
      </c>
      <c r="F279" s="48" t="inlineStr">
        <is>
          <t>Mid Level (3-6 yrs)</t>
        </is>
      </c>
      <c r="G279" s="48" t="inlineStr">
        <is>
          <t>Full-time</t>
        </is>
      </c>
      <c r="H279" s="48" t="inlineStr">
        <is>
          <t>On-site</t>
        </is>
      </c>
      <c r="I279" s="49" t="n"/>
      <c r="J279" s="49" t="n"/>
      <c r="K279" s="48" t="inlineStr">
        <is>
          <t>container, continuous integration, kubernetes, python</t>
        </is>
      </c>
      <c r="L279" s="56" t="n">
        <v>45974</v>
      </c>
    </row>
    <row r="280">
      <c r="A280" s="48" t="inlineStr">
        <is>
          <t>J0412</t>
        </is>
      </c>
      <c r="B280" s="48" t="inlineStr">
        <is>
          <t>Branch Manager</t>
        </is>
      </c>
      <c r="C280" s="48" t="inlineStr">
        <is>
          <t>Vilwaa Tech Enablers</t>
        </is>
      </c>
      <c r="D280" s="48" t="inlineStr">
        <is>
          <t>Madurai</t>
        </is>
      </c>
      <c r="E280" s="48" t="inlineStr">
        <is>
          <t>BFSI (Banking/Finance/Insurance)</t>
        </is>
      </c>
      <c r="F280" s="48" t="inlineStr">
        <is>
          <t>Senior Level (7+ yrs)</t>
        </is>
      </c>
      <c r="G280" s="48" t="inlineStr">
        <is>
          <t>Full-time</t>
        </is>
      </c>
      <c r="H280" s="48" t="inlineStr">
        <is>
          <t>On-site</t>
        </is>
      </c>
      <c r="I280" s="49" t="n">
        <v>5</v>
      </c>
      <c r="J280" s="49" t="n">
        <v>15</v>
      </c>
      <c r="K280" s="48" t="inlineStr">
        <is>
          <t>Team Handling, Stock Broking, Team Management, Brokerage Generation</t>
        </is>
      </c>
      <c r="L280" s="56" t="n">
        <v>45976</v>
      </c>
    </row>
    <row r="281">
      <c r="A281" s="48" t="inlineStr">
        <is>
          <t>J0420</t>
        </is>
      </c>
      <c r="B281" s="48" t="inlineStr">
        <is>
          <t>Urgent Requirement For Java Fullstack</t>
        </is>
      </c>
      <c r="C281" s="48" t="inlineStr">
        <is>
          <t>Talent21</t>
        </is>
      </c>
      <c r="D281" s="48" t="inlineStr">
        <is>
          <t>Chennai</t>
        </is>
      </c>
      <c r="E281" s="48" t="inlineStr">
        <is>
          <t>IT / Software</t>
        </is>
      </c>
      <c r="F281" s="48" t="inlineStr">
        <is>
          <t>Senior Level (7+ yrs)</t>
        </is>
      </c>
      <c r="G281" s="48" t="inlineStr">
        <is>
          <t>Full-time</t>
        </is>
      </c>
      <c r="H281" s="48" t="inlineStr">
        <is>
          <t>On-site</t>
        </is>
      </c>
      <c r="I281" s="49" t="n"/>
      <c r="J281" s="49" t="n"/>
      <c r="K281" s="48" t="inlineStr">
        <is>
          <t>Microservices Development, Rest Api Development, Spring Boot Framework, Java Fullstack</t>
        </is>
      </c>
      <c r="L281" s="56" t="n">
        <v>45969</v>
      </c>
    </row>
    <row r="282">
      <c r="A282" s="48" t="inlineStr">
        <is>
          <t>J0108</t>
        </is>
      </c>
      <c r="B282" s="48" t="inlineStr">
        <is>
          <t>Package Consultant-SAP SCM APO</t>
        </is>
      </c>
      <c r="C282" s="48" t="inlineStr">
        <is>
          <t>IBM</t>
        </is>
      </c>
      <c r="D282" s="48" t="inlineStr">
        <is>
          <t>Navi Mumbai</t>
        </is>
      </c>
      <c r="E282" s="48" t="inlineStr">
        <is>
          <t>IT / Software</t>
        </is>
      </c>
      <c r="F282" s="48" t="inlineStr">
        <is>
          <t>Mid Level (3-6 yrs)</t>
        </is>
      </c>
      <c r="G282" s="48" t="inlineStr">
        <is>
          <t>Full-time</t>
        </is>
      </c>
      <c r="H282" s="48" t="inlineStr">
        <is>
          <t>On-site</t>
        </is>
      </c>
      <c r="I282" s="49" t="n"/>
      <c r="J282" s="49" t="n"/>
      <c r="K282" s="48" t="inlineStr">
        <is>
          <t>sap, unit testing, planning management, acceptance testing</t>
        </is>
      </c>
      <c r="L282" s="56" t="n">
        <v>45968</v>
      </c>
    </row>
    <row r="283">
      <c r="A283" s="48" t="inlineStr">
        <is>
          <t>J0199</t>
        </is>
      </c>
      <c r="B283" s="48" t="inlineStr">
        <is>
          <t>Female AutoCAD Draftsman</t>
        </is>
      </c>
      <c r="C283" s="48" t="inlineStr">
        <is>
          <t>Versatile</t>
        </is>
      </c>
      <c r="D283" s="48" t="inlineStr">
        <is>
          <t>Nagercoil</t>
        </is>
      </c>
      <c r="E283" s="48" t="inlineStr">
        <is>
          <t>Other / General Business</t>
        </is>
      </c>
      <c r="F283" s="48" t="inlineStr">
        <is>
          <t>Entry Level (0-2 yrs)</t>
        </is>
      </c>
      <c r="G283" s="48" t="inlineStr">
        <is>
          <t>Full-time</t>
        </is>
      </c>
      <c r="H283" s="48" t="inlineStr">
        <is>
          <t>On-site</t>
        </is>
      </c>
      <c r="I283" s="49" t="n">
        <v>1.2</v>
      </c>
      <c r="J283" s="49" t="n">
        <v>1.8</v>
      </c>
      <c r="K283" s="48" t="inlineStr">
        <is>
          <t>Autocad Drafting, AutoCAD, Drafting, Draftsman activities</t>
        </is>
      </c>
      <c r="L283" s="56" t="n">
        <v>45976</v>
      </c>
    </row>
    <row r="284">
      <c r="A284" s="48" t="inlineStr">
        <is>
          <t>J0428</t>
        </is>
      </c>
      <c r="B284" s="48" t="inlineStr">
        <is>
          <t>Hiring For Account Manager Into *B2B Sales* -Ludhiana &amp; Jalandhar</t>
        </is>
      </c>
      <c r="C284" s="48" t="inlineStr">
        <is>
          <t>Airtel</t>
        </is>
      </c>
      <c r="D284" s="48" t="inlineStr">
        <is>
          <t>Jalandhar</t>
        </is>
      </c>
      <c r="E284" s="48" t="inlineStr">
        <is>
          <t>Telecom</t>
        </is>
      </c>
      <c r="F284" s="48" t="inlineStr">
        <is>
          <t>Entry Level (0-2 yrs)</t>
        </is>
      </c>
      <c r="G284" s="48" t="inlineStr">
        <is>
          <t>Full-time</t>
        </is>
      </c>
      <c r="H284" s="48" t="inlineStr">
        <is>
          <t>On-site</t>
        </is>
      </c>
      <c r="I284" s="49" t="n">
        <v>3</v>
      </c>
      <c r="J284" s="49" t="n">
        <v>6</v>
      </c>
      <c r="K284" s="48" t="inlineStr">
        <is>
          <t>Telecom Sales, B2B Sales, Field Sales, Corporate Sales</t>
        </is>
      </c>
      <c r="L284" s="56" t="n">
        <v>45972</v>
      </c>
    </row>
    <row r="285">
      <c r="A285" s="48" t="inlineStr">
        <is>
          <t>J0282</t>
        </is>
      </c>
      <c r="B285" s="48" t="inlineStr">
        <is>
          <t>Executive Accounts ( Hubli )</t>
        </is>
      </c>
      <c r="C285" s="48" t="inlineStr">
        <is>
          <t>Aranis</t>
        </is>
      </c>
      <c r="D285" s="48" t="inlineStr">
        <is>
          <t>Hubli</t>
        </is>
      </c>
      <c r="E285" s="48" t="inlineStr">
        <is>
          <t>BFSI (Banking/Finance/Insurance)</t>
        </is>
      </c>
      <c r="F285" s="48" t="inlineStr">
        <is>
          <t>Entry Level (0-2 yrs)</t>
        </is>
      </c>
      <c r="G285" s="48" t="inlineStr">
        <is>
          <t>Full-time</t>
        </is>
      </c>
      <c r="H285" s="48" t="inlineStr">
        <is>
          <t>On-site</t>
        </is>
      </c>
      <c r="I285" s="49" t="n">
        <v>3</v>
      </c>
      <c r="J285" s="49" t="n">
        <v>4.5</v>
      </c>
      <c r="K285" s="48" t="inlineStr">
        <is>
          <t>Finance And Accounts, Accounts, Accounting, Finance</t>
        </is>
      </c>
      <c r="L285" s="56" t="n">
        <v>45967</v>
      </c>
    </row>
    <row r="286">
      <c r="A286" s="48" t="inlineStr">
        <is>
          <t>J0309</t>
        </is>
      </c>
      <c r="B286" s="48" t="inlineStr">
        <is>
          <t>Infosys hiring Customer Support salary 7lks</t>
        </is>
      </c>
      <c r="C286" s="48" t="inlineStr">
        <is>
          <t>Ignites Human Capital</t>
        </is>
      </c>
      <c r="D286" s="48" t="inlineStr">
        <is>
          <t>Bengaluru</t>
        </is>
      </c>
      <c r="E286" s="48" t="inlineStr">
        <is>
          <t>Customer Service &amp; BPO</t>
        </is>
      </c>
      <c r="F286" s="48" t="inlineStr">
        <is>
          <t>Entry Level (0-2 yrs)</t>
        </is>
      </c>
      <c r="G286" s="48" t="inlineStr">
        <is>
          <t>Full-time</t>
        </is>
      </c>
      <c r="H286" s="48" t="inlineStr">
        <is>
          <t>On-site</t>
        </is>
      </c>
      <c r="I286" s="49" t="n">
        <v>2</v>
      </c>
      <c r="J286" s="49" t="n">
        <v>7</v>
      </c>
      <c r="K286" s="48" t="inlineStr">
        <is>
          <t>associate, college, bpo, Customer Service</t>
        </is>
      </c>
      <c r="L286" s="56" t="n">
        <v>45968</v>
      </c>
    </row>
    <row r="287">
      <c r="A287" s="48" t="inlineStr">
        <is>
          <t>J0030</t>
        </is>
      </c>
      <c r="B287" s="48" t="inlineStr">
        <is>
          <t xml:space="preserve">  Civil Supervisor  </t>
        </is>
      </c>
      <c r="C287" s="48" t="inlineStr">
        <is>
          <t>Patliputra  Resource</t>
        </is>
      </c>
      <c r="D287" s="48" t="inlineStr">
        <is>
          <t>Greater Noida(Sector Chi 5 Gr Noida)</t>
        </is>
      </c>
      <c r="E287" s="48" t="inlineStr">
        <is>
          <t>Manufacturing &amp; Engineering</t>
        </is>
      </c>
      <c r="F287" s="48" t="inlineStr">
        <is>
          <t>Senior Level (7+ yrs)</t>
        </is>
      </c>
      <c r="G287" s="48" t="inlineStr">
        <is>
          <t>Full-time</t>
        </is>
      </c>
      <c r="H287" s="48" t="inlineStr">
        <is>
          <t>Hybrid</t>
        </is>
      </c>
      <c r="I287" s="49" t="n">
        <v>2</v>
      </c>
      <c r="J287" s="49" t="n">
        <v>3</v>
      </c>
      <c r="K287" s="48" t="inlineStr">
        <is>
          <t>Civil Supervision, Civil Maintenance, Site Planning, Bar Bending Schedule</t>
        </is>
      </c>
      <c r="L287" s="56" t="n">
        <v>45969</v>
      </c>
    </row>
    <row r="288">
      <c r="A288" s="48" t="inlineStr">
        <is>
          <t>J0012</t>
        </is>
      </c>
      <c r="B288" s="48" t="inlineStr">
        <is>
          <t>Manager - Procurement I Avighna Group I Mumbai</t>
        </is>
      </c>
      <c r="C288" s="48" t="inlineStr">
        <is>
          <t>Nish Developers</t>
        </is>
      </c>
      <c r="D288" s="48" t="inlineStr">
        <is>
          <t>Mumbai</t>
        </is>
      </c>
      <c r="E288" s="48" t="inlineStr">
        <is>
          <t>Logistics &amp; Supply Chain</t>
        </is>
      </c>
      <c r="F288" s="48" t="inlineStr">
        <is>
          <t>Senior Level (7+ yrs)</t>
        </is>
      </c>
      <c r="G288" s="48" t="inlineStr">
        <is>
          <t>Full-time</t>
        </is>
      </c>
      <c r="H288" s="48" t="inlineStr">
        <is>
          <t>On-site</t>
        </is>
      </c>
      <c r="I288" s="49" t="n"/>
      <c r="J288" s="49" t="n"/>
      <c r="K288" s="48" t="inlineStr">
        <is>
          <t>procurement, PR, Purchase Requisition, negotiation</t>
        </is>
      </c>
      <c r="L288" s="56" t="n">
        <v>45968</v>
      </c>
    </row>
    <row r="289">
      <c r="A289" s="48" t="inlineStr">
        <is>
          <t>J0143</t>
        </is>
      </c>
      <c r="B289" s="48" t="inlineStr">
        <is>
          <t>Business Development Executive</t>
        </is>
      </c>
      <c r="C289" s="48" t="inlineStr">
        <is>
          <t>HD Placement</t>
        </is>
      </c>
      <c r="D289" s="48" t="inlineStr">
        <is>
          <t>Ludhiana</t>
        </is>
      </c>
      <c r="E289" s="48" t="inlineStr">
        <is>
          <t>Sales &amp; Business Development</t>
        </is>
      </c>
      <c r="F289" s="48" t="inlineStr">
        <is>
          <t>Entry Level (0-2 yrs)</t>
        </is>
      </c>
      <c r="G289" s="48" t="inlineStr">
        <is>
          <t>Full-time</t>
        </is>
      </c>
      <c r="H289" s="48" t="inlineStr">
        <is>
          <t>On-site</t>
        </is>
      </c>
      <c r="I289" s="49" t="n">
        <v>1</v>
      </c>
      <c r="J289" s="49" t="n">
        <v>3.75</v>
      </c>
      <c r="K289" s="48" t="inlineStr">
        <is>
          <t>Negotiation, Lead Generation, AutoCAD, Business Development</t>
        </is>
      </c>
      <c r="L289" s="56" t="n">
        <v>45968</v>
      </c>
    </row>
    <row r="290">
      <c r="A290" s="48" t="inlineStr">
        <is>
          <t>J0315</t>
        </is>
      </c>
      <c r="B290" s="48" t="inlineStr">
        <is>
          <t xml:space="preserve">  Shift IN charge-Production , Pune ,Wagholi , Relocated Can applying  </t>
        </is>
      </c>
      <c r="C290" s="48" t="inlineStr">
        <is>
          <t>HR Innovation Group</t>
        </is>
      </c>
      <c r="D290" s="48" t="inlineStr">
        <is>
          <t>Aurangabad</t>
        </is>
      </c>
      <c r="E290" s="48" t="inlineStr">
        <is>
          <t>Manufacturing &amp; Engineering</t>
        </is>
      </c>
      <c r="F290" s="48" t="inlineStr">
        <is>
          <t>Senior Level (7+ yrs)</t>
        </is>
      </c>
      <c r="G290" s="48" t="inlineStr">
        <is>
          <t>Full-time</t>
        </is>
      </c>
      <c r="H290" s="48" t="inlineStr">
        <is>
          <t>On-site</t>
        </is>
      </c>
      <c r="I290" s="49" t="n">
        <v>5</v>
      </c>
      <c r="J290" s="49" t="n">
        <v>6</v>
      </c>
      <c r="K290" s="48" t="inlineStr">
        <is>
          <t>Shift Planning, Shift Operation, Shift Production, ERP</t>
        </is>
      </c>
      <c r="L290" s="56" t="n">
        <v>45973</v>
      </c>
    </row>
    <row r="291">
      <c r="A291" s="48" t="inlineStr">
        <is>
          <t>J0327</t>
        </is>
      </c>
      <c r="B291" s="48" t="inlineStr">
        <is>
          <t>Vacancies For Gastroenterologists</t>
        </is>
      </c>
      <c r="C291" s="48" t="inlineStr">
        <is>
          <t>Space Consultant</t>
        </is>
      </c>
      <c r="D291" s="48" t="inlineStr">
        <is>
          <t>Tezpur</t>
        </is>
      </c>
      <c r="E291" s="48" t="inlineStr">
        <is>
          <t>Other / General Business</t>
        </is>
      </c>
      <c r="F291" s="48" t="inlineStr">
        <is>
          <t>Entry Level (0-2 yrs)</t>
        </is>
      </c>
      <c r="G291" s="48" t="inlineStr">
        <is>
          <t>Full-time</t>
        </is>
      </c>
      <c r="H291" s="48" t="inlineStr">
        <is>
          <t>On-site</t>
        </is>
      </c>
      <c r="I291" s="49" t="n">
        <v>50</v>
      </c>
      <c r="J291" s="49" t="n">
        <v>85</v>
      </c>
      <c r="K291" s="48" t="inlineStr">
        <is>
          <t>Gastroenterologist, Gastroenterology, DM</t>
        </is>
      </c>
      <c r="L291" s="56" t="n">
        <v>45968</v>
      </c>
    </row>
    <row r="292">
      <c r="A292" s="48" t="inlineStr">
        <is>
          <t>J0323</t>
        </is>
      </c>
      <c r="B292" s="48" t="inlineStr">
        <is>
          <t>Direct Sales Manager</t>
        </is>
      </c>
      <c r="C292" s="48" t="inlineStr">
        <is>
          <t>Paradigm Mumbai</t>
        </is>
      </c>
      <c r="D292" s="48" t="inlineStr">
        <is>
          <t>Thane</t>
        </is>
      </c>
      <c r="E292" s="48" t="inlineStr">
        <is>
          <t>IT / Software</t>
        </is>
      </c>
      <c r="F292" s="48" t="inlineStr">
        <is>
          <t>Entry Level (0-2 yrs)</t>
        </is>
      </c>
      <c r="G292" s="48" t="inlineStr">
        <is>
          <t>Full-time</t>
        </is>
      </c>
      <c r="H292" s="48" t="inlineStr">
        <is>
          <t>On-site</t>
        </is>
      </c>
      <c r="I292" s="49" t="n">
        <v>2.75</v>
      </c>
      <c r="J292" s="49" t="n">
        <v>3.75</v>
      </c>
      <c r="K292" s="48" t="inlineStr">
        <is>
          <t>Sales, Relationship Development, Agency Channel, Life Insurance</t>
        </is>
      </c>
      <c r="L292" s="56" t="n">
        <v>45972</v>
      </c>
    </row>
    <row r="293">
      <c r="A293" s="48" t="inlineStr">
        <is>
          <t>J0068</t>
        </is>
      </c>
      <c r="B293" s="48" t="inlineStr">
        <is>
          <t>accounts manager</t>
        </is>
      </c>
      <c r="C293" s="48" t="inlineStr">
        <is>
          <t>Raltech Precision Engineering</t>
        </is>
      </c>
      <c r="D293" s="48" t="inlineStr">
        <is>
          <t>Mumbai Suburban</t>
        </is>
      </c>
      <c r="E293" s="48" t="inlineStr">
        <is>
          <t>BFSI (Banking/Finance/Insurance)</t>
        </is>
      </c>
      <c r="F293" s="48" t="inlineStr">
        <is>
          <t>Senior Level (7+ yrs)</t>
        </is>
      </c>
      <c r="G293" s="48" t="inlineStr">
        <is>
          <t>Full-time</t>
        </is>
      </c>
      <c r="H293" s="48" t="inlineStr">
        <is>
          <t>On-site</t>
        </is>
      </c>
      <c r="I293" s="49" t="n">
        <v>0.5</v>
      </c>
      <c r="J293" s="49" t="n">
        <v>0.8</v>
      </c>
      <c r="K293" s="48" t="inlineStr">
        <is>
          <t>Tally ERP, Creditors Reconciliation, Export Documentation, TDS</t>
        </is>
      </c>
      <c r="L293" s="56" t="n">
        <v>45969</v>
      </c>
    </row>
    <row r="294">
      <c r="A294" s="48" t="inlineStr">
        <is>
          <t>J0330</t>
        </is>
      </c>
      <c r="B294" s="48" t="inlineStr">
        <is>
          <t>Export Sales Manager</t>
        </is>
      </c>
      <c r="C294" s="48" t="inlineStr">
        <is>
          <t>Domatel Services</t>
        </is>
      </c>
      <c r="D294" s="48" t="inlineStr">
        <is>
          <t>Surat</t>
        </is>
      </c>
      <c r="E294" s="48" t="inlineStr">
        <is>
          <t>Marketing &amp; Advertising</t>
        </is>
      </c>
      <c r="F294" s="48" t="inlineStr">
        <is>
          <t>Entry Level (0-2 yrs)</t>
        </is>
      </c>
      <c r="G294" s="48" t="inlineStr">
        <is>
          <t>Full-time</t>
        </is>
      </c>
      <c r="H294" s="48" t="inlineStr">
        <is>
          <t>On-site</t>
        </is>
      </c>
      <c r="I294" s="49" t="n">
        <v>2</v>
      </c>
      <c r="J294" s="49" t="n">
        <v>4.5</v>
      </c>
      <c r="K294" s="48" t="inlineStr">
        <is>
          <t>Field Sales, Export Sales, Export Documentation, Textile</t>
        </is>
      </c>
      <c r="L294" s="56" t="n">
        <v>45973</v>
      </c>
    </row>
    <row r="295">
      <c r="A295" s="48" t="inlineStr">
        <is>
          <t>J0421</t>
        </is>
      </c>
      <c r="B295" s="48" t="inlineStr">
        <is>
          <t>Accounts And Marketing Executive</t>
        </is>
      </c>
      <c r="C295" s="48" t="inlineStr">
        <is>
          <t>SONA SALES CORPORATION</t>
        </is>
      </c>
      <c r="D295" s="48" t="inlineStr">
        <is>
          <t>Guwahati</t>
        </is>
      </c>
      <c r="E295" s="48" t="inlineStr">
        <is>
          <t>BFSI (Banking/Finance/Insurance)</t>
        </is>
      </c>
      <c r="F295" s="48" t="inlineStr">
        <is>
          <t>Entry Level (0-2 yrs)</t>
        </is>
      </c>
      <c r="G295" s="48" t="inlineStr">
        <is>
          <t>Full-time</t>
        </is>
      </c>
      <c r="H295" s="48" t="inlineStr">
        <is>
          <t>On-site</t>
        </is>
      </c>
      <c r="I295" s="49" t="n">
        <v>2</v>
      </c>
      <c r="J295" s="49" t="n">
        <v>2.5</v>
      </c>
      <c r="K295" s="48" t="inlineStr">
        <is>
          <t>Dealer Sales, Tally ERP, Accounting, Gst Return</t>
        </is>
      </c>
      <c r="L295" s="56" t="n">
        <v>45967</v>
      </c>
    </row>
    <row r="296">
      <c r="A296" s="48" t="inlineStr">
        <is>
          <t>J0264</t>
        </is>
      </c>
      <c r="B296" s="48" t="inlineStr">
        <is>
          <t>Talent Acquisition Specialist</t>
        </is>
      </c>
      <c r="C296" s="48" t="inlineStr">
        <is>
          <t>PRO Hr Complete Solutions</t>
        </is>
      </c>
      <c r="D296" s="48" t="inlineStr">
        <is>
          <t>Gurugram</t>
        </is>
      </c>
      <c r="E296" s="48" t="inlineStr">
        <is>
          <t>HR &amp; Staffing</t>
        </is>
      </c>
      <c r="F296" s="48" t="inlineStr">
        <is>
          <t>Entry Level (0-2 yrs)</t>
        </is>
      </c>
      <c r="G296" s="48" t="inlineStr">
        <is>
          <t>Full-time</t>
        </is>
      </c>
      <c r="H296" s="48" t="inlineStr">
        <is>
          <t>On-site</t>
        </is>
      </c>
      <c r="I296" s="49" t="n">
        <v>1</v>
      </c>
      <c r="J296" s="49" t="n">
        <v>2.5</v>
      </c>
      <c r="K296" s="48" t="inlineStr">
        <is>
          <t>Excellent Verbal And Written Communication Skills, Acquisition, Talent acquisition, Communication Skills Written</t>
        </is>
      </c>
      <c r="L296" s="56" t="n">
        <v>45974</v>
      </c>
    </row>
    <row r="297">
      <c r="A297" s="48" t="inlineStr">
        <is>
          <t>J0020</t>
        </is>
      </c>
      <c r="B297" s="48" t="inlineStr">
        <is>
          <t>Simulation Engineer (FEA)</t>
        </is>
      </c>
      <c r="C297" s="48" t="inlineStr">
        <is>
          <t>BorgWarner</t>
        </is>
      </c>
      <c r="D297" s="48" t="inlineStr">
        <is>
          <t>Bengaluru</t>
        </is>
      </c>
      <c r="E297" s="48" t="inlineStr">
        <is>
          <t>Manufacturing &amp; Engineering</t>
        </is>
      </c>
      <c r="F297" s="48" t="inlineStr">
        <is>
          <t>Mid Level (3-6 yrs)</t>
        </is>
      </c>
      <c r="G297" s="48" t="inlineStr">
        <is>
          <t>Full-time</t>
        </is>
      </c>
      <c r="H297" s="48" t="inlineStr">
        <is>
          <t>On-site</t>
        </is>
      </c>
      <c r="I297" s="49" t="n"/>
      <c r="J297" s="49" t="n"/>
      <c r="K297" s="48" t="inlineStr">
        <is>
          <t>Abaqus, C++, Simulation, Ansys</t>
        </is>
      </c>
      <c r="L297" s="56" t="n">
        <v>45967</v>
      </c>
    </row>
    <row r="298">
      <c r="A298" s="48" t="inlineStr">
        <is>
          <t>J0301</t>
        </is>
      </c>
      <c r="B298" s="48" t="inlineStr">
        <is>
          <t>Senior Accountant  For Gulf Countries</t>
        </is>
      </c>
      <c r="C298" s="48" t="inlineStr">
        <is>
          <t>Rise &amp; Shine Insulation And Fire Protection</t>
        </is>
      </c>
      <c r="D298" s="48" t="inlineStr">
        <is>
          <t>Tirupati</t>
        </is>
      </c>
      <c r="E298" s="48" t="inlineStr">
        <is>
          <t>BFSI (Banking/Finance/Insurance)</t>
        </is>
      </c>
      <c r="F298" s="48" t="inlineStr">
        <is>
          <t>Mid Level (3-6 yrs)</t>
        </is>
      </c>
      <c r="G298" s="48" t="inlineStr">
        <is>
          <t>Full-time</t>
        </is>
      </c>
      <c r="H298" s="48" t="inlineStr">
        <is>
          <t>On-site</t>
        </is>
      </c>
      <c r="I298" s="49" t="n">
        <v>3.5</v>
      </c>
      <c r="J298" s="49" t="n">
        <v>5</v>
      </c>
      <c r="K298" s="48" t="inlineStr">
        <is>
          <t>Data Presentation, MIS Preparation, Data Collection, Data Preparation</t>
        </is>
      </c>
      <c r="L298" s="56" t="n">
        <v>45968</v>
      </c>
    </row>
    <row r="299">
      <c r="A299" s="48" t="inlineStr">
        <is>
          <t>J0122</t>
        </is>
      </c>
      <c r="B299" s="48" t="inlineStr">
        <is>
          <t>Plant Head</t>
        </is>
      </c>
      <c r="C299" s="48" t="inlineStr">
        <is>
          <t>Manhunt Consultants</t>
        </is>
      </c>
      <c r="D299" s="48" t="inlineStr">
        <is>
          <t>Hyderabad</t>
        </is>
      </c>
      <c r="E299" s="48" t="inlineStr">
        <is>
          <t>Manufacturing &amp; Engineering</t>
        </is>
      </c>
      <c r="F299" s="48" t="inlineStr">
        <is>
          <t>Senior Level (7+ yrs)</t>
        </is>
      </c>
      <c r="G299" s="48" t="inlineStr">
        <is>
          <t>Full-time</t>
        </is>
      </c>
      <c r="H299" s="48" t="inlineStr">
        <is>
          <t>On-site</t>
        </is>
      </c>
      <c r="I299" s="49" t="n"/>
      <c r="J299" s="49" t="n"/>
      <c r="K299" s="48" t="inlineStr">
        <is>
          <t>production, Plant Management, ERP, Kaizen</t>
        </is>
      </c>
      <c r="L299" s="56" t="n">
        <v>45968</v>
      </c>
    </row>
    <row r="300">
      <c r="A300" s="48" t="inlineStr">
        <is>
          <t>J0317</t>
        </is>
      </c>
      <c r="B300" s="48" t="inlineStr">
        <is>
          <t>Wipro || Customer Service || Chat &amp; Voice || Sal Upto 5LPA</t>
        </is>
      </c>
      <c r="C300" s="48" t="inlineStr">
        <is>
          <t>Uttrayon Properties</t>
        </is>
      </c>
      <c r="D300" s="48" t="inlineStr">
        <is>
          <t>Ahmedabad</t>
        </is>
      </c>
      <c r="E300" s="48" t="inlineStr">
        <is>
          <t>Customer Service &amp; BPO</t>
        </is>
      </c>
      <c r="F300" s="48" t="inlineStr">
        <is>
          <t>Entry Level (0-2 yrs)</t>
        </is>
      </c>
      <c r="G300" s="48" t="inlineStr">
        <is>
          <t>Full-time</t>
        </is>
      </c>
      <c r="H300" s="48" t="inlineStr">
        <is>
          <t>On-site</t>
        </is>
      </c>
      <c r="I300" s="49" t="n">
        <v>3</v>
      </c>
      <c r="J300" s="49" t="n">
        <v>5</v>
      </c>
      <c r="K300" s="48" t="inlineStr">
        <is>
          <t>Customer Service, Customer Support, Communication Skills, BPO</t>
        </is>
      </c>
      <c r="L300" s="56" t="n">
        <v>45967</v>
      </c>
    </row>
    <row r="301">
      <c r="A301" s="48" t="inlineStr">
        <is>
          <t>J0137</t>
        </is>
      </c>
      <c r="B301" s="48" t="inlineStr">
        <is>
          <t>Manager Product Costing</t>
        </is>
      </c>
      <c r="C301" s="48" t="inlineStr">
        <is>
          <t>Jindal Aluminium</t>
        </is>
      </c>
      <c r="D301" s="48" t="inlineStr">
        <is>
          <t>BENGALURU</t>
        </is>
      </c>
      <c r="E301" s="48" t="inlineStr">
        <is>
          <t>Other / General Business</t>
        </is>
      </c>
      <c r="F301" s="48" t="inlineStr">
        <is>
          <t>Senior Level (7+ yrs)</t>
        </is>
      </c>
      <c r="G301" s="48" t="inlineStr">
        <is>
          <t>Full-time</t>
        </is>
      </c>
      <c r="H301" s="48" t="inlineStr">
        <is>
          <t>On-site</t>
        </is>
      </c>
      <c r="I301" s="49" t="n">
        <v>10</v>
      </c>
      <c r="J301" s="49" t="n">
        <v>15</v>
      </c>
      <c r="K301" s="48" t="inlineStr">
        <is>
          <t>Product Costing, Cost Sheet, Cost Analysis, Costing</t>
        </is>
      </c>
      <c r="L301" s="56" t="n">
        <v>45967</v>
      </c>
    </row>
    <row r="302">
      <c r="A302" s="48" t="inlineStr">
        <is>
          <t>J0359</t>
        </is>
      </c>
      <c r="B302" s="48" t="inlineStr">
        <is>
          <t>Deputy Automation Manager</t>
        </is>
      </c>
      <c r="C302" s="48" t="inlineStr">
        <is>
          <t>Maxim Smt Technologies</t>
        </is>
      </c>
      <c r="D302" s="48" t="inlineStr">
        <is>
          <t>Ahmedabad</t>
        </is>
      </c>
      <c r="E302" s="48" t="inlineStr">
        <is>
          <t>Other / General Business</t>
        </is>
      </c>
      <c r="F302" s="48" t="inlineStr">
        <is>
          <t>Senior Level (7+ yrs)</t>
        </is>
      </c>
      <c r="G302" s="48" t="inlineStr">
        <is>
          <t>Full-time</t>
        </is>
      </c>
      <c r="H302" s="48" t="inlineStr">
        <is>
          <t>On-site</t>
        </is>
      </c>
      <c r="I302" s="49" t="n">
        <v>8.5</v>
      </c>
      <c r="J302" s="49" t="n">
        <v>12</v>
      </c>
      <c r="K302" s="48" t="inlineStr">
        <is>
          <t>Project Management, Technology Consulting, Stakeholder Management, Consulting</t>
        </is>
      </c>
      <c r="L302" s="56" t="n">
        <v>45972</v>
      </c>
    </row>
    <row r="303">
      <c r="A303" s="48" t="inlineStr">
        <is>
          <t>J0203</t>
        </is>
      </c>
      <c r="B303" s="48" t="inlineStr">
        <is>
          <t>Onboarding Specialist</t>
        </is>
      </c>
      <c r="C303" s="48" t="inlineStr">
        <is>
          <t>Cloudxtreme</t>
        </is>
      </c>
      <c r="D303" s="48" t="inlineStr">
        <is>
          <t>Hyderabad</t>
        </is>
      </c>
      <c r="E303" s="48" t="inlineStr">
        <is>
          <t>Other / General Business</t>
        </is>
      </c>
      <c r="F303" s="48" t="inlineStr">
        <is>
          <t>Entry Level (0-2 yrs)</t>
        </is>
      </c>
      <c r="G303" s="48" t="inlineStr">
        <is>
          <t>Full-time</t>
        </is>
      </c>
      <c r="H303" s="48" t="inlineStr">
        <is>
          <t>Hybrid</t>
        </is>
      </c>
      <c r="I303" s="49" t="n">
        <v>1</v>
      </c>
      <c r="J303" s="49" t="n">
        <v>4.5</v>
      </c>
      <c r="K303" s="48" t="inlineStr">
        <is>
          <t>contingent onboarding processes, Stakeholder Management, Management, Onboarding</t>
        </is>
      </c>
      <c r="L303" s="56" t="n">
        <v>45976</v>
      </c>
    </row>
    <row r="304">
      <c r="A304" s="48" t="inlineStr">
        <is>
          <t>J0085</t>
        </is>
      </c>
      <c r="B304" s="48" t="inlineStr">
        <is>
          <t>Accounts Executive And Office Assistant</t>
        </is>
      </c>
      <c r="C304" s="48" t="inlineStr">
        <is>
          <t xml:space="preserve">  Indo Lifestyle  Ltd  </t>
        </is>
      </c>
      <c r="D304" s="48" t="inlineStr">
        <is>
          <t>Kolkata</t>
        </is>
      </c>
      <c r="E304" s="48" t="inlineStr">
        <is>
          <t>BFSI (Banking/Finance/Insurance)</t>
        </is>
      </c>
      <c r="F304" s="48" t="inlineStr">
        <is>
          <t>Entry Level (0-2 yrs)</t>
        </is>
      </c>
      <c r="G304" s="48" t="inlineStr">
        <is>
          <t>Full-time</t>
        </is>
      </c>
      <c r="H304" s="48" t="inlineStr">
        <is>
          <t>On-site</t>
        </is>
      </c>
      <c r="I304" s="49" t="n">
        <v>1.2</v>
      </c>
      <c r="J304" s="49" t="n">
        <v>1.8</v>
      </c>
      <c r="K304" s="48" t="inlineStr">
        <is>
          <t>Accounting, Digital Marketing, BPO, Calling</t>
        </is>
      </c>
      <c r="L304" s="56" t="n">
        <v>45975</v>
      </c>
    </row>
    <row r="305">
      <c r="A305" s="48" t="inlineStr">
        <is>
          <t>J0411</t>
        </is>
      </c>
      <c r="B305" s="48" t="inlineStr">
        <is>
          <t>PR and Communications</t>
        </is>
      </c>
      <c r="C305" s="48" t="inlineStr">
        <is>
          <t>O2 Spa</t>
        </is>
      </c>
      <c r="D305" s="48" t="inlineStr">
        <is>
          <t>Hyderabad</t>
        </is>
      </c>
      <c r="E305" s="48" t="inlineStr">
        <is>
          <t>Marketing &amp; Advertising</t>
        </is>
      </c>
      <c r="F305" s="48" t="inlineStr">
        <is>
          <t>Mid Level (3-6 yrs)</t>
        </is>
      </c>
      <c r="G305" s="48" t="inlineStr">
        <is>
          <t>Full-time</t>
        </is>
      </c>
      <c r="H305" s="48" t="inlineStr">
        <is>
          <t>On-site</t>
        </is>
      </c>
      <c r="I305" s="49" t="n">
        <v>4</v>
      </c>
      <c r="J305" s="49" t="n">
        <v>7.5</v>
      </c>
      <c r="K305" s="48" t="inlineStr">
        <is>
          <t>Public Relations, Pr Agency, Media Relations, Corporate Communication</t>
        </is>
      </c>
      <c r="L305" s="56" t="n">
        <v>45976</v>
      </c>
    </row>
    <row r="306">
      <c r="A306" s="48" t="inlineStr">
        <is>
          <t>J0114</t>
        </is>
      </c>
      <c r="B306" s="48" t="inlineStr">
        <is>
          <t>Delivery Boy</t>
        </is>
      </c>
      <c r="C306" s="48" t="inlineStr">
        <is>
          <t>Kwaliteit De Servici</t>
        </is>
      </c>
      <c r="D306" s="48" t="inlineStr">
        <is>
          <t>Vasai</t>
        </is>
      </c>
      <c r="E306" s="48" t="inlineStr">
        <is>
          <t>Other / General Business</t>
        </is>
      </c>
      <c r="F306" s="48" t="inlineStr">
        <is>
          <t>Entry Level (0-2 yrs)</t>
        </is>
      </c>
      <c r="G306" s="48" t="inlineStr">
        <is>
          <t>Full-time</t>
        </is>
      </c>
      <c r="H306" s="48" t="inlineStr">
        <is>
          <t>On-site</t>
        </is>
      </c>
      <c r="I306" s="49" t="n">
        <v>1.56</v>
      </c>
      <c r="J306" s="49" t="n">
        <v>1.8</v>
      </c>
      <c r="K306" s="48" t="inlineStr">
        <is>
          <t>Field Work, Hindi, Field, Delivery</t>
        </is>
      </c>
      <c r="L306" s="56" t="n">
        <v>45976</v>
      </c>
    </row>
    <row r="307">
      <c r="A307" s="48" t="inlineStr">
        <is>
          <t>J0406</t>
        </is>
      </c>
      <c r="B307" s="48" t="inlineStr">
        <is>
          <t>Electrical Site Engineer</t>
        </is>
      </c>
      <c r="C307" s="48" t="inlineStr">
        <is>
          <t>Trans Enterprises</t>
        </is>
      </c>
      <c r="D307" s="48" t="inlineStr">
        <is>
          <t>Erode</t>
        </is>
      </c>
      <c r="E307" s="48" t="inlineStr">
        <is>
          <t>Real Estate &amp; Construction</t>
        </is>
      </c>
      <c r="F307" s="48" t="inlineStr">
        <is>
          <t>Entry Level (0-2 yrs)</t>
        </is>
      </c>
      <c r="G307" s="48" t="inlineStr">
        <is>
          <t>Full-time</t>
        </is>
      </c>
      <c r="H307" s="48" t="inlineStr">
        <is>
          <t>On-site</t>
        </is>
      </c>
      <c r="I307" s="49" t="n">
        <v>2.16</v>
      </c>
      <c r="J307" s="49" t="n">
        <v>3.6</v>
      </c>
      <c r="K307" s="48" t="n"/>
      <c r="L307" s="56" t="n">
        <v>45966</v>
      </c>
    </row>
    <row r="308">
      <c r="A308" s="48" t="inlineStr">
        <is>
          <t>J0044</t>
        </is>
      </c>
      <c r="B308" s="48" t="inlineStr">
        <is>
          <t>Nexus - LAN/WAN/Wireless</t>
        </is>
      </c>
      <c r="C308" s="48" t="inlineStr">
        <is>
          <t>Tech Mahindra</t>
        </is>
      </c>
      <c r="D308" s="48" t="inlineStr">
        <is>
          <t>Noida</t>
        </is>
      </c>
      <c r="E308" s="48" t="inlineStr">
        <is>
          <t>Other / General Business</t>
        </is>
      </c>
      <c r="F308" s="48" t="inlineStr">
        <is>
          <t>Mid Level (3-6 yrs)</t>
        </is>
      </c>
      <c r="G308" s="48" t="inlineStr">
        <is>
          <t>Full-time</t>
        </is>
      </c>
      <c r="H308" s="48" t="inlineStr">
        <is>
          <t>On-site</t>
        </is>
      </c>
      <c r="I308" s="49" t="n">
        <v>8</v>
      </c>
      <c r="J308" s="49" t="n">
        <v>12</v>
      </c>
      <c r="K308" s="48" t="inlineStr">
        <is>
          <t>Lan Wan, Nexus, Nexus 7K, Nexus Switches</t>
        </is>
      </c>
      <c r="L308" s="56" t="n">
        <v>45973</v>
      </c>
    </row>
    <row r="309">
      <c r="A309" s="48" t="inlineStr">
        <is>
          <t>J0321</t>
        </is>
      </c>
      <c r="B309" s="48" t="inlineStr">
        <is>
          <t xml:space="preserve">  Senior Data Engineer  </t>
        </is>
      </c>
      <c r="C309" s="48" t="inlineStr">
        <is>
          <t>Purview India Consulting And Services</t>
        </is>
      </c>
      <c r="D309" s="48" t="inlineStr">
        <is>
          <t>Mawal</t>
        </is>
      </c>
      <c r="E309" s="48" t="inlineStr">
        <is>
          <t>IT / Software</t>
        </is>
      </c>
      <c r="F309" s="48" t="inlineStr">
        <is>
          <t>Senior Level (7+ yrs)</t>
        </is>
      </c>
      <c r="G309" s="48" t="inlineStr">
        <is>
          <t>Full-time</t>
        </is>
      </c>
      <c r="H309" s="48" t="inlineStr">
        <is>
          <t>Hybrid</t>
        </is>
      </c>
      <c r="I309" s="49" t="n"/>
      <c r="J309" s="49" t="n"/>
      <c r="K309" s="48" t="inlineStr">
        <is>
          <t>Airflow, SQL, Unix Linux, SCALA</t>
        </is>
      </c>
      <c r="L309" s="56" t="n">
        <v>45966</v>
      </c>
    </row>
    <row r="310">
      <c r="A310" s="48" t="inlineStr">
        <is>
          <t>J0352</t>
        </is>
      </c>
      <c r="B310" s="48" t="inlineStr">
        <is>
          <t>Japanese Speaking Quality Manager - JLPT N2</t>
        </is>
      </c>
      <c r="C310" s="48" t="inlineStr">
        <is>
          <t>Pasona</t>
        </is>
      </c>
      <c r="D310" s="48" t="inlineStr">
        <is>
          <t>Udaipur</t>
        </is>
      </c>
      <c r="E310" s="48" t="inlineStr">
        <is>
          <t>Manufacturing &amp; Engineering</t>
        </is>
      </c>
      <c r="F310" s="48" t="inlineStr">
        <is>
          <t>Senior Level (7+ yrs)</t>
        </is>
      </c>
      <c r="G310" s="48" t="inlineStr">
        <is>
          <t>Full-time</t>
        </is>
      </c>
      <c r="H310" s="48" t="inlineStr">
        <is>
          <t>On-site</t>
        </is>
      </c>
      <c r="I310" s="49" t="n">
        <v>15</v>
      </c>
      <c r="J310" s="49" t="n">
        <v>20</v>
      </c>
      <c r="K310" s="48" t="inlineStr">
        <is>
          <t>Japanese Speaking, Quality Management, Quality Control, automation systems</t>
        </is>
      </c>
      <c r="L310" s="56" t="n">
        <v>45972</v>
      </c>
    </row>
    <row r="311">
      <c r="A311" s="48" t="inlineStr">
        <is>
          <t>J0363</t>
        </is>
      </c>
      <c r="B311" s="48" t="inlineStr">
        <is>
          <t>Human Resource Executive</t>
        </is>
      </c>
      <c r="C311" s="48" t="inlineStr">
        <is>
          <t>Mars Placement And Hr Solutions</t>
        </is>
      </c>
      <c r="D311" s="48" t="inlineStr">
        <is>
          <t>Ghaziabad</t>
        </is>
      </c>
      <c r="E311" s="48" t="inlineStr">
        <is>
          <t>HR &amp; Staffing</t>
        </is>
      </c>
      <c r="F311" s="48" t="inlineStr">
        <is>
          <t>Entry Level (0-2 yrs)</t>
        </is>
      </c>
      <c r="G311" s="48" t="inlineStr">
        <is>
          <t>Full-time</t>
        </is>
      </c>
      <c r="H311" s="48" t="inlineStr">
        <is>
          <t>On-site</t>
        </is>
      </c>
      <c r="I311" s="49" t="n">
        <v>1.5</v>
      </c>
      <c r="J311" s="49" t="n">
        <v>4</v>
      </c>
      <c r="K311" s="48" t="inlineStr">
        <is>
          <t>Recruitment, Onboarding, Human Resource, Employee Engagement</t>
        </is>
      </c>
      <c r="L311" s="56" t="n">
        <v>45976</v>
      </c>
    </row>
    <row r="312">
      <c r="A312" s="48" t="inlineStr">
        <is>
          <t>J0345</t>
        </is>
      </c>
      <c r="B312" s="48" t="inlineStr">
        <is>
          <t>.Net Developer</t>
        </is>
      </c>
      <c r="C312" s="48" t="inlineStr">
        <is>
          <t>Talent21 Management  Shared Services Pvt. ltd.</t>
        </is>
      </c>
      <c r="D312" s="48" t="inlineStr">
        <is>
          <t>Pune</t>
        </is>
      </c>
      <c r="E312" s="48" t="inlineStr">
        <is>
          <t>IT / Software</t>
        </is>
      </c>
      <c r="F312" s="48" t="inlineStr">
        <is>
          <t>Mid Level (3-6 yrs)</t>
        </is>
      </c>
      <c r="G312" s="48" t="inlineStr">
        <is>
          <t>Full-time</t>
        </is>
      </c>
      <c r="H312" s="48" t="inlineStr">
        <is>
          <t>On-site</t>
        </is>
      </c>
      <c r="I312" s="49" t="n"/>
      <c r="J312" s="49" t="n"/>
      <c r="K312" s="48" t="inlineStr">
        <is>
          <t>.Net, MVVM, XML, GitHub</t>
        </is>
      </c>
      <c r="L312" s="56" t="n">
        <v>45969</v>
      </c>
    </row>
    <row r="313">
      <c r="A313" s="48" t="inlineStr">
        <is>
          <t>J0342</t>
        </is>
      </c>
      <c r="B313" s="48" t="inlineStr">
        <is>
          <t>Process Associate</t>
        </is>
      </c>
      <c r="C313" s="48" t="inlineStr">
        <is>
          <t>Shell Infotech</t>
        </is>
      </c>
      <c r="D313" s="48" t="inlineStr">
        <is>
          <t>Bengaluru</t>
        </is>
      </c>
      <c r="E313" s="48" t="inlineStr">
        <is>
          <t>Customer Service &amp; BPO</t>
        </is>
      </c>
      <c r="F313" s="48" t="inlineStr">
        <is>
          <t>Entry Level (0-2 yrs)</t>
        </is>
      </c>
      <c r="G313" s="48" t="inlineStr">
        <is>
          <t>Full-time</t>
        </is>
      </c>
      <c r="H313" s="48" t="inlineStr">
        <is>
          <t>On-site</t>
        </is>
      </c>
      <c r="I313" s="49" t="n">
        <v>0.5</v>
      </c>
      <c r="J313" s="49" t="n">
        <v>2</v>
      </c>
      <c r="K313" s="48" t="inlineStr">
        <is>
          <t>Customer Support, International Voice Process, International BPO, International Calling</t>
        </is>
      </c>
      <c r="L313" s="56" t="n">
        <v>45967</v>
      </c>
    </row>
    <row r="314">
      <c r="A314" s="48" t="inlineStr">
        <is>
          <t>J0227</t>
        </is>
      </c>
      <c r="B314" s="48" t="inlineStr">
        <is>
          <t>Sales Executive</t>
        </is>
      </c>
      <c r="C314" s="48" t="inlineStr">
        <is>
          <t>Innovious Healthcare</t>
        </is>
      </c>
      <c r="D314" s="48" t="inlineStr">
        <is>
          <t>Banda</t>
        </is>
      </c>
      <c r="E314" s="48" t="inlineStr">
        <is>
          <t>Sales &amp; Business Development</t>
        </is>
      </c>
      <c r="F314" s="48" t="inlineStr">
        <is>
          <t>Entry Level (0-2 yrs)</t>
        </is>
      </c>
      <c r="G314" s="48" t="inlineStr">
        <is>
          <t>Full-time</t>
        </is>
      </c>
      <c r="H314" s="48" t="inlineStr">
        <is>
          <t>On-site</t>
        </is>
      </c>
      <c r="I314" s="49" t="n">
        <v>1.25</v>
      </c>
      <c r="J314" s="49" t="n">
        <v>2</v>
      </c>
      <c r="K314" s="48" t="inlineStr">
        <is>
          <t>DL, Graduate, Sales executive activities, Sales</t>
        </is>
      </c>
      <c r="L314" s="56" t="n">
        <v>45970</v>
      </c>
    </row>
    <row r="315">
      <c r="A315" s="48" t="inlineStr">
        <is>
          <t>J0292</t>
        </is>
      </c>
      <c r="B315" s="48" t="inlineStr">
        <is>
          <t>GSOC Operator</t>
        </is>
      </c>
      <c r="C315" s="48" t="inlineStr">
        <is>
          <t>G4S Corporate Services (india)</t>
        </is>
      </c>
      <c r="D315" s="48" t="inlineStr">
        <is>
          <t>Hyderabad</t>
        </is>
      </c>
      <c r="E315" s="48" t="inlineStr">
        <is>
          <t>Other / General Business</t>
        </is>
      </c>
      <c r="F315" s="48" t="inlineStr">
        <is>
          <t>Entry Level (0-2 yrs)</t>
        </is>
      </c>
      <c r="G315" s="48" t="inlineStr">
        <is>
          <t>Full-time</t>
        </is>
      </c>
      <c r="H315" s="48" t="inlineStr">
        <is>
          <t>On-site</t>
        </is>
      </c>
      <c r="I315" s="49" t="n">
        <v>5.5</v>
      </c>
      <c r="J315" s="49" t="n">
        <v>6.5</v>
      </c>
      <c r="K315" s="48" t="inlineStr">
        <is>
          <t>Security operations, GSOC, alarm monitoring, incident reporting</t>
        </is>
      </c>
      <c r="L315" s="56" t="n">
        <v>45974</v>
      </c>
    </row>
    <row r="316">
      <c r="A316" s="48" t="inlineStr">
        <is>
          <t>J0434</t>
        </is>
      </c>
      <c r="B316" s="48" t="inlineStr">
        <is>
          <t>Package Consultant-SAP SCM APO</t>
        </is>
      </c>
      <c r="C316" s="48" t="inlineStr">
        <is>
          <t>IBM</t>
        </is>
      </c>
      <c r="D316" s="48" t="inlineStr">
        <is>
          <t>Navi Mumbai</t>
        </is>
      </c>
      <c r="E316" s="48" t="inlineStr">
        <is>
          <t>IT / Software</t>
        </is>
      </c>
      <c r="F316" s="48" t="inlineStr">
        <is>
          <t>Mid Level (3-6 yrs)</t>
        </is>
      </c>
      <c r="G316" s="48" t="inlineStr">
        <is>
          <t>Full-time</t>
        </is>
      </c>
      <c r="H316" s="48" t="inlineStr">
        <is>
          <t>On-site</t>
        </is>
      </c>
      <c r="I316" s="49" t="n"/>
      <c r="J316" s="49" t="n"/>
      <c r="K316" s="48" t="inlineStr">
        <is>
          <t>sap, unit testing, planning management, acceptance testing</t>
        </is>
      </c>
      <c r="L316" s="56" t="n">
        <v>45968</v>
      </c>
    </row>
    <row r="317">
      <c r="A317" s="48" t="inlineStr">
        <is>
          <t>J0112</t>
        </is>
      </c>
      <c r="B317" s="48" t="inlineStr">
        <is>
          <t>Executive - Finance &amp; Accounts</t>
        </is>
      </c>
      <c r="C317" s="48" t="inlineStr">
        <is>
          <t>Plumgoodness</t>
        </is>
      </c>
      <c r="D317" s="48" t="inlineStr">
        <is>
          <t>Thane</t>
        </is>
      </c>
      <c r="E317" s="48" t="inlineStr">
        <is>
          <t>BFSI (Banking/Finance/Insurance)</t>
        </is>
      </c>
      <c r="F317" s="48" t="inlineStr">
        <is>
          <t>Entry Level (0-2 yrs)</t>
        </is>
      </c>
      <c r="G317" s="48" t="inlineStr">
        <is>
          <t>Full-time</t>
        </is>
      </c>
      <c r="H317" s="48" t="inlineStr">
        <is>
          <t>On-site</t>
        </is>
      </c>
      <c r="I317" s="49" t="n"/>
      <c r="J317" s="49" t="n"/>
      <c r="K317" s="48" t="inlineStr">
        <is>
          <t>Business Head, ERP, Automation, Sales audit</t>
        </is>
      </c>
      <c r="L317" s="56" t="n">
        <v>45967</v>
      </c>
    </row>
    <row r="318">
      <c r="A318" s="48" t="inlineStr">
        <is>
          <t>J0034</t>
        </is>
      </c>
      <c r="B318" s="48" t="inlineStr">
        <is>
          <t>Consultant Doctor</t>
        </is>
      </c>
      <c r="C318" s="48" t="inlineStr">
        <is>
          <t>Cancer Healer Centre</t>
        </is>
      </c>
      <c r="D318" s="48" t="inlineStr">
        <is>
          <t>Thane</t>
        </is>
      </c>
      <c r="E318" s="48" t="inlineStr">
        <is>
          <t>Healthcare &amp; Pharma</t>
        </is>
      </c>
      <c r="F318" s="48" t="inlineStr">
        <is>
          <t>Senior Level (7+ yrs)</t>
        </is>
      </c>
      <c r="G318" s="48" t="inlineStr">
        <is>
          <t>Full-time</t>
        </is>
      </c>
      <c r="H318" s="48" t="inlineStr">
        <is>
          <t>On-site</t>
        </is>
      </c>
      <c r="I318" s="49" t="n">
        <v>6.5</v>
      </c>
      <c r="J318" s="49" t="n">
        <v>8.5</v>
      </c>
      <c r="K318" s="48" t="inlineStr">
        <is>
          <t>Sales Activities, BHMS, BAMS, Target Achievement</t>
        </is>
      </c>
      <c r="L318" s="56" t="n">
        <v>45974</v>
      </c>
    </row>
    <row r="319">
      <c r="A319" s="48" t="inlineStr">
        <is>
          <t>J0174</t>
        </is>
      </c>
      <c r="B319" s="48" t="inlineStr">
        <is>
          <t>Hiring AR Analyst(Night Shift)</t>
        </is>
      </c>
      <c r="C319" s="48" t="inlineStr">
        <is>
          <t>Savista</t>
        </is>
      </c>
      <c r="D319" s="48" t="inlineStr">
        <is>
          <t>Chennai</t>
        </is>
      </c>
      <c r="E319" s="48" t="inlineStr">
        <is>
          <t>Other / General Business</t>
        </is>
      </c>
      <c r="F319" s="48" t="inlineStr">
        <is>
          <t>Entry Level (0-2 yrs)</t>
        </is>
      </c>
      <c r="G319" s="48" t="inlineStr">
        <is>
          <t>Full-time</t>
        </is>
      </c>
      <c r="H319" s="48" t="inlineStr">
        <is>
          <t>On-site</t>
        </is>
      </c>
      <c r="I319" s="49" t="n"/>
      <c r="J319" s="49" t="n"/>
      <c r="K319" s="48" t="inlineStr">
        <is>
          <t>Ar Billing, Billing, Augmented Reality, Hiring</t>
        </is>
      </c>
      <c r="L319" s="56" t="n">
        <v>45970</v>
      </c>
    </row>
    <row r="320">
      <c r="A320" s="48" t="inlineStr">
        <is>
          <t>J0001</t>
        </is>
      </c>
      <c r="B320" s="48" t="inlineStr">
        <is>
          <t>Shift Incharge</t>
        </is>
      </c>
      <c r="C320" s="48" t="inlineStr">
        <is>
          <t>UPL Limited</t>
        </is>
      </c>
      <c r="D320" s="48" t="inlineStr">
        <is>
          <t>Bengaluru</t>
        </is>
      </c>
      <c r="E320" s="48" t="inlineStr">
        <is>
          <t>Healthcare &amp; Pharma</t>
        </is>
      </c>
      <c r="F320" s="48" t="inlineStr">
        <is>
          <t>Mid Level (3-6 yrs)</t>
        </is>
      </c>
      <c r="G320" s="48" t="inlineStr">
        <is>
          <t>Full-time</t>
        </is>
      </c>
      <c r="H320" s="48" t="inlineStr">
        <is>
          <t>On-site</t>
        </is>
      </c>
      <c r="I320" s="49" t="n">
        <v>3.5</v>
      </c>
      <c r="J320" s="49" t="n">
        <v>6.5</v>
      </c>
      <c r="K320" s="48" t="inlineStr">
        <is>
          <t>Biotechnology, Analytical, Production, Fermentation Techniques</t>
        </is>
      </c>
      <c r="L320" s="56" t="n">
        <v>45966</v>
      </c>
    </row>
    <row r="321">
      <c r="A321" s="48" t="inlineStr">
        <is>
          <t>J0136</t>
        </is>
      </c>
      <c r="B321" s="48" t="inlineStr">
        <is>
          <t>Hiring Igcse Mathematics Teacher-Gurgaon</t>
        </is>
      </c>
      <c r="C321" s="48" t="inlineStr">
        <is>
          <t>Maps Hr Solution</t>
        </is>
      </c>
      <c r="D321" s="48" t="inlineStr">
        <is>
          <t>Gurugram</t>
        </is>
      </c>
      <c r="E321" s="48" t="inlineStr">
        <is>
          <t>Education &amp; Training</t>
        </is>
      </c>
      <c r="F321" s="48" t="inlineStr">
        <is>
          <t>Mid Level (3-6 yrs)</t>
        </is>
      </c>
      <c r="G321" s="48" t="inlineStr">
        <is>
          <t>Full-time</t>
        </is>
      </c>
      <c r="H321" s="48" t="inlineStr">
        <is>
          <t>On-site</t>
        </is>
      </c>
      <c r="I321" s="49" t="n">
        <v>6</v>
      </c>
      <c r="J321" s="49" t="n">
        <v>15</v>
      </c>
      <c r="K321" s="48" t="inlineStr">
        <is>
          <t>IG Maths Teacher, IGCSE Mathematics Teacher, Teaching mathematics, Teaching</t>
        </is>
      </c>
      <c r="L321" s="56" t="n">
        <v>45975</v>
      </c>
    </row>
    <row r="322">
      <c r="A322" s="48" t="inlineStr">
        <is>
          <t>J0388</t>
        </is>
      </c>
      <c r="B322" s="48" t="inlineStr">
        <is>
          <t>SR. DM/SRM-S2S/Loyalty-Canara HSBC Life Insurance-Direct Channel</t>
        </is>
      </c>
      <c r="C322" s="48" t="inlineStr">
        <is>
          <t>Bfsi Hr Solution</t>
        </is>
      </c>
      <c r="D322" s="48" t="inlineStr">
        <is>
          <t>Thane</t>
        </is>
      </c>
      <c r="E322" s="48" t="inlineStr">
        <is>
          <t>BFSI (Banking/Finance/Insurance)</t>
        </is>
      </c>
      <c r="F322" s="48" t="inlineStr">
        <is>
          <t>Entry Level (0-2 yrs)</t>
        </is>
      </c>
      <c r="G322" s="48" t="inlineStr">
        <is>
          <t>Full-time</t>
        </is>
      </c>
      <c r="H322" s="48" t="inlineStr">
        <is>
          <t>On-site</t>
        </is>
      </c>
      <c r="I322" s="49" t="n">
        <v>3.25</v>
      </c>
      <c r="J322" s="49" t="n">
        <v>4</v>
      </c>
      <c r="K322" s="48" t="inlineStr">
        <is>
          <t>Sales, Life insurance sales, Agency Channel, Financial Services</t>
        </is>
      </c>
      <c r="L322" s="56" t="n">
        <v>45966</v>
      </c>
    </row>
    <row r="323">
      <c r="A323" s="48" t="inlineStr">
        <is>
          <t>J0377</t>
        </is>
      </c>
      <c r="B323" s="48" t="inlineStr">
        <is>
          <t>Executive - Tendering/Bid/Proposals</t>
        </is>
      </c>
      <c r="C323" s="48" t="inlineStr">
        <is>
          <t>TUV SUD South Asia</t>
        </is>
      </c>
      <c r="D323" s="48" t="inlineStr">
        <is>
          <t>Pune</t>
        </is>
      </c>
      <c r="E323" s="48" t="inlineStr">
        <is>
          <t>Other / General Business</t>
        </is>
      </c>
      <c r="F323" s="48" t="inlineStr">
        <is>
          <t>Entry Level (0-2 yrs)</t>
        </is>
      </c>
      <c r="G323" s="48" t="inlineStr">
        <is>
          <t>Full-time</t>
        </is>
      </c>
      <c r="H323" s="48" t="inlineStr">
        <is>
          <t>On-site</t>
        </is>
      </c>
      <c r="I323" s="49" t="n">
        <v>2</v>
      </c>
      <c r="J323" s="49" t="n">
        <v>4</v>
      </c>
      <c r="K323" s="48" t="inlineStr">
        <is>
          <t>Bidding, Gem Portal, Bid Management, Government Tender</t>
        </is>
      </c>
      <c r="L323" s="56" t="n">
        <v>45967</v>
      </c>
    </row>
    <row r="324">
      <c r="A324" s="48" t="inlineStr">
        <is>
          <t>J0226</t>
        </is>
      </c>
      <c r="B324" s="48" t="inlineStr">
        <is>
          <t>Education Counselors @ Gurgaon</t>
        </is>
      </c>
      <c r="C324" s="48" t="inlineStr">
        <is>
          <t>Prompt Career Consultants</t>
        </is>
      </c>
      <c r="D324" s="48" t="inlineStr">
        <is>
          <t>Gurugram</t>
        </is>
      </c>
      <c r="E324" s="48" t="inlineStr">
        <is>
          <t>Marketing &amp; Advertising</t>
        </is>
      </c>
      <c r="F324" s="48" t="inlineStr">
        <is>
          <t>Mid Level (3-6 yrs)</t>
        </is>
      </c>
      <c r="G324" s="48" t="inlineStr">
        <is>
          <t>Full-time</t>
        </is>
      </c>
      <c r="H324" s="48" t="inlineStr">
        <is>
          <t>On-site</t>
        </is>
      </c>
      <c r="I324" s="49" t="n">
        <v>5</v>
      </c>
      <c r="J324" s="49" t="n">
        <v>6</v>
      </c>
      <c r="K324" s="48" t="inlineStr">
        <is>
          <t>Admission Counselling, Education Counseling, Career Counselling, Overseas Education</t>
        </is>
      </c>
      <c r="L324" s="56" t="n">
        <v>45968</v>
      </c>
    </row>
    <row r="325">
      <c r="A325" s="48" t="inlineStr">
        <is>
          <t>J0374</t>
        </is>
      </c>
      <c r="B325" s="48" t="inlineStr">
        <is>
          <t>Accountant</t>
        </is>
      </c>
      <c r="C325" s="48" t="inlineStr">
        <is>
          <t>Sial Valves Co</t>
        </is>
      </c>
      <c r="D325" s="48" t="inlineStr">
        <is>
          <t>Mumbai</t>
        </is>
      </c>
      <c r="E325" s="48" t="inlineStr">
        <is>
          <t>BFSI (Banking/Finance/Insurance)</t>
        </is>
      </c>
      <c r="F325" s="48" t="inlineStr">
        <is>
          <t>Mid Level (3-6 yrs)</t>
        </is>
      </c>
      <c r="G325" s="48" t="inlineStr">
        <is>
          <t>Full-time</t>
        </is>
      </c>
      <c r="H325" s="48" t="inlineStr">
        <is>
          <t>On-site</t>
        </is>
      </c>
      <c r="I325" s="49" t="n">
        <v>2.16</v>
      </c>
      <c r="J325" s="49" t="n">
        <v>3.6</v>
      </c>
      <c r="K325" s="48" t="inlineStr">
        <is>
          <t>Accounting, Tally, Gst</t>
        </is>
      </c>
      <c r="L325" s="56" t="n">
        <v>45974</v>
      </c>
    </row>
    <row r="326">
      <c r="A326" s="48" t="inlineStr">
        <is>
          <t>J0191</t>
        </is>
      </c>
      <c r="B326" s="48" t="inlineStr">
        <is>
          <t>SAP RAR</t>
        </is>
      </c>
      <c r="C326" s="48" t="inlineStr">
        <is>
          <t>Shell Infotech</t>
        </is>
      </c>
      <c r="D326" s="48" t="inlineStr">
        <is>
          <t>Bengaluru</t>
        </is>
      </c>
      <c r="E326" s="48" t="inlineStr">
        <is>
          <t>IT / Software</t>
        </is>
      </c>
      <c r="F326" s="48" t="inlineStr">
        <is>
          <t>Mid Level (3-6 yrs)</t>
        </is>
      </c>
      <c r="G326" s="48" t="inlineStr">
        <is>
          <t>Full-time</t>
        </is>
      </c>
      <c r="H326" s="48" t="inlineStr">
        <is>
          <t>On-site</t>
        </is>
      </c>
      <c r="I326" s="49" t="n">
        <v>15</v>
      </c>
      <c r="J326" s="49" t="n">
        <v>30</v>
      </c>
      <c r="K326" s="48" t="inlineStr">
        <is>
          <t>Sap Rar, SAP FICO, End To End Implementation, Agile</t>
        </is>
      </c>
      <c r="L326" s="56" t="n">
        <v>45972</v>
      </c>
    </row>
    <row r="327">
      <c r="A327" s="48" t="inlineStr">
        <is>
          <t>J0404</t>
        </is>
      </c>
      <c r="B327" s="48" t="inlineStr">
        <is>
          <t>Compliance Surveillance</t>
        </is>
      </c>
      <c r="C327" s="48" t="inlineStr">
        <is>
          <t>Rekrut India</t>
        </is>
      </c>
      <c r="D327" s="48" t="inlineStr">
        <is>
          <t>Thane</t>
        </is>
      </c>
      <c r="E327" s="48" t="inlineStr">
        <is>
          <t>Other / General Business</t>
        </is>
      </c>
      <c r="F327" s="48" t="inlineStr">
        <is>
          <t>Entry Level (0-2 yrs)</t>
        </is>
      </c>
      <c r="G327" s="48" t="inlineStr">
        <is>
          <t>Full-time</t>
        </is>
      </c>
      <c r="H327" s="48" t="inlineStr">
        <is>
          <t>On-site</t>
        </is>
      </c>
      <c r="I327" s="49" t="n">
        <v>1</v>
      </c>
      <c r="J327" s="49" t="n">
        <v>6</v>
      </c>
      <c r="K327" s="48" t="inlineStr">
        <is>
          <t>Compliance Officer, Trade Surveillance, Compliance Surveillance, Compliance Monitoring</t>
        </is>
      </c>
      <c r="L327" s="56" t="n">
        <v>45968</v>
      </c>
    </row>
    <row r="328">
      <c r="A328" s="48" t="inlineStr">
        <is>
          <t>J0286</t>
        </is>
      </c>
      <c r="B328" s="48" t="inlineStr">
        <is>
          <t>2D Spine Animator</t>
        </is>
      </c>
      <c r="C328" s="48" t="inlineStr">
        <is>
          <t>Code Orion</t>
        </is>
      </c>
      <c r="D328" s="48" t="inlineStr">
        <is>
          <t>Dombivli</t>
        </is>
      </c>
      <c r="E328" s="48" t="inlineStr">
        <is>
          <t>Other / General Business</t>
        </is>
      </c>
      <c r="F328" s="48" t="inlineStr">
        <is>
          <t>Entry Level (0-2 yrs)</t>
        </is>
      </c>
      <c r="G328" s="48" t="inlineStr">
        <is>
          <t>Full-time</t>
        </is>
      </c>
      <c r="H328" s="48" t="inlineStr">
        <is>
          <t>On-site</t>
        </is>
      </c>
      <c r="I328" s="49" t="n"/>
      <c r="J328" s="49" t="n"/>
      <c r="K328" s="48" t="inlineStr">
        <is>
          <t>adobe after effects, photoshop, sketching, 2d animation</t>
        </is>
      </c>
      <c r="L328" s="56" t="n">
        <v>45967</v>
      </c>
    </row>
    <row r="329">
      <c r="A329" s="48" t="inlineStr">
        <is>
          <t>J0337</t>
        </is>
      </c>
      <c r="B329" s="48" t="inlineStr">
        <is>
          <t>Zonal Coordinator- Little Elly</t>
        </is>
      </c>
      <c r="C329" s="48" t="inlineStr">
        <is>
          <t>Learning Edge India</t>
        </is>
      </c>
      <c r="D329" s="48" t="inlineStr">
        <is>
          <t>Remote</t>
        </is>
      </c>
      <c r="E329" s="48" t="inlineStr">
        <is>
          <t>Sales &amp; Business Development</t>
        </is>
      </c>
      <c r="F329" s="48" t="inlineStr">
        <is>
          <t>Entry Level (0-2 yrs)</t>
        </is>
      </c>
      <c r="G329" s="48" t="inlineStr">
        <is>
          <t>Full-time</t>
        </is>
      </c>
      <c r="H329" s="48" t="inlineStr">
        <is>
          <t>Remote</t>
        </is>
      </c>
      <c r="I329" s="49" t="n">
        <v>4</v>
      </c>
      <c r="J329" s="49" t="n">
        <v>5</v>
      </c>
      <c r="K329" s="48" t="inlineStr">
        <is>
          <t>Sales, Zonal</t>
        </is>
      </c>
      <c r="L329" s="56" t="n">
        <v>45973</v>
      </c>
    </row>
    <row r="330">
      <c r="A330" s="48" t="inlineStr">
        <is>
          <t>J0244</t>
        </is>
      </c>
      <c r="B330" s="48" t="inlineStr">
        <is>
          <t>Hiring For Account Manager Into *B2B Sales* -Ludhiana &amp; Jalandhar</t>
        </is>
      </c>
      <c r="C330" s="48" t="inlineStr">
        <is>
          <t>Airtel</t>
        </is>
      </c>
      <c r="D330" s="48" t="inlineStr">
        <is>
          <t>Jalandhar</t>
        </is>
      </c>
      <c r="E330" s="48" t="inlineStr">
        <is>
          <t>Telecom</t>
        </is>
      </c>
      <c r="F330" s="48" t="inlineStr">
        <is>
          <t>Entry Level (0-2 yrs)</t>
        </is>
      </c>
      <c r="G330" s="48" t="inlineStr">
        <is>
          <t>Full-time</t>
        </is>
      </c>
      <c r="H330" s="48" t="inlineStr">
        <is>
          <t>On-site</t>
        </is>
      </c>
      <c r="I330" s="49" t="n">
        <v>3</v>
      </c>
      <c r="J330" s="49" t="n">
        <v>6</v>
      </c>
      <c r="K330" s="48" t="inlineStr">
        <is>
          <t>Telecom Sales, B2B Sales, Field Sales, Corporate Sales</t>
        </is>
      </c>
      <c r="L330" s="56" t="n">
        <v>45972</v>
      </c>
    </row>
    <row r="331">
      <c r="A331" s="48" t="inlineStr">
        <is>
          <t>J0267</t>
        </is>
      </c>
      <c r="B331" s="48" t="inlineStr">
        <is>
          <t>Hiring For Collection Specialist ||40k In hand ||Us Collection|| Noida</t>
        </is>
      </c>
      <c r="C331" s="48" t="inlineStr">
        <is>
          <t>iQor</t>
        </is>
      </c>
      <c r="D331" s="48" t="inlineStr">
        <is>
          <t>Noida</t>
        </is>
      </c>
      <c r="E331" s="48" t="inlineStr">
        <is>
          <t>Other / General Business</t>
        </is>
      </c>
      <c r="F331" s="48" t="inlineStr">
        <is>
          <t>Entry Level (0-2 yrs)</t>
        </is>
      </c>
      <c r="G331" s="48" t="inlineStr">
        <is>
          <t>Full-time</t>
        </is>
      </c>
      <c r="H331" s="48" t="inlineStr">
        <is>
          <t>On-site</t>
        </is>
      </c>
      <c r="I331" s="49" t="n">
        <v>3</v>
      </c>
      <c r="J331" s="49" t="n">
        <v>5.5</v>
      </c>
      <c r="K331" s="48" t="inlineStr">
        <is>
          <t>Debt Collection, Provana, 3Rd Party Collection, Us Collection</t>
        </is>
      </c>
      <c r="L331" s="56" t="n">
        <v>45966</v>
      </c>
    </row>
    <row r="332">
      <c r="A332" s="48" t="inlineStr">
        <is>
          <t>J0408</t>
        </is>
      </c>
      <c r="B332" s="48" t="inlineStr">
        <is>
          <t>ML OPs</t>
        </is>
      </c>
      <c r="C332" s="48" t="inlineStr">
        <is>
          <t>Dhira Software Labs</t>
        </is>
      </c>
      <c r="D332" s="48" t="inlineStr">
        <is>
          <t>Bangalore</t>
        </is>
      </c>
      <c r="E332" s="48" t="inlineStr">
        <is>
          <t>IT / Software</t>
        </is>
      </c>
      <c r="F332" s="48" t="inlineStr">
        <is>
          <t>Mid Level (3-6 yrs)</t>
        </is>
      </c>
      <c r="G332" s="48" t="inlineStr">
        <is>
          <t>Full-time</t>
        </is>
      </c>
      <c r="H332" s="48" t="inlineStr">
        <is>
          <t>On-site</t>
        </is>
      </c>
      <c r="I332" s="49" t="n">
        <v>13</v>
      </c>
      <c r="J332" s="49" t="n">
        <v>23</v>
      </c>
      <c r="K332" s="48" t="inlineStr">
        <is>
          <t>Ops, Machine Learning, Android, Deep Learning</t>
        </is>
      </c>
      <c r="L332" s="56" t="n">
        <v>45966</v>
      </c>
    </row>
    <row r="333">
      <c r="A333" s="48" t="inlineStr">
        <is>
          <t>J0049</t>
        </is>
      </c>
      <c r="B333" s="48" t="inlineStr">
        <is>
          <t>Executive Transport</t>
        </is>
      </c>
      <c r="C333" s="48" t="inlineStr">
        <is>
          <t>Cantor Fitzgerald</t>
        </is>
      </c>
      <c r="D333" s="48" t="inlineStr">
        <is>
          <t>Hyderabad</t>
        </is>
      </c>
      <c r="E333" s="48" t="inlineStr">
        <is>
          <t>Other / General Business</t>
        </is>
      </c>
      <c r="F333" s="48" t="inlineStr">
        <is>
          <t>Entry Level (0-2 yrs)</t>
        </is>
      </c>
      <c r="G333" s="48" t="inlineStr">
        <is>
          <t>Full-time</t>
        </is>
      </c>
      <c r="H333" s="48" t="inlineStr">
        <is>
          <t>On-site</t>
        </is>
      </c>
      <c r="I333" s="49" t="n"/>
      <c r="J333" s="49" t="n"/>
      <c r="K333" s="48" t="inlineStr">
        <is>
          <t>Data management, EHS management, MIS, Analytical</t>
        </is>
      </c>
      <c r="L333" s="56" t="n">
        <v>45972</v>
      </c>
    </row>
    <row r="334">
      <c r="A334" s="48" t="inlineStr">
        <is>
          <t>J0205</t>
        </is>
      </c>
      <c r="B334" s="48" t="inlineStr">
        <is>
          <t>SOCIAL COMPLIANCE AUDITOR</t>
        </is>
      </c>
      <c r="C334" s="48" t="inlineStr">
        <is>
          <t>Eshana Hr Consultants</t>
        </is>
      </c>
      <c r="D334" s="48" t="inlineStr">
        <is>
          <t>Hyderabad</t>
        </is>
      </c>
      <c r="E334" s="48" t="inlineStr">
        <is>
          <t>BFSI (Banking/Finance/Insurance)</t>
        </is>
      </c>
      <c r="F334" s="48" t="inlineStr">
        <is>
          <t>Senior Level (7+ yrs)</t>
        </is>
      </c>
      <c r="G334" s="48" t="inlineStr">
        <is>
          <t>Full-time</t>
        </is>
      </c>
      <c r="H334" s="48" t="inlineStr">
        <is>
          <t>On-site</t>
        </is>
      </c>
      <c r="I334" s="49" t="n">
        <v>20</v>
      </c>
      <c r="J334" s="49" t="n">
        <v>27.5</v>
      </c>
      <c r="K334" s="48" t="inlineStr">
        <is>
          <t>SA 8000, APSCA Level 3, Social Compliance Auditor, CSCA</t>
        </is>
      </c>
      <c r="L334" s="56" t="n">
        <v>45972</v>
      </c>
    </row>
    <row r="335">
      <c r="A335" s="48" t="inlineStr">
        <is>
          <t>J0103</t>
        </is>
      </c>
      <c r="B335" s="48" t="inlineStr">
        <is>
          <t>Unit &amp; Branch Manager - Agency &amp; Direct Channel</t>
        </is>
      </c>
      <c r="C335" s="48" t="inlineStr">
        <is>
          <t>Spotshine Consulting Delhi</t>
        </is>
      </c>
      <c r="D335" s="48" t="inlineStr">
        <is>
          <t>Kolkata</t>
        </is>
      </c>
      <c r="E335" s="48" t="inlineStr">
        <is>
          <t>IT / Software</t>
        </is>
      </c>
      <c r="F335" s="48" t="inlineStr">
        <is>
          <t>Entry Level (0-2 yrs)</t>
        </is>
      </c>
      <c r="G335" s="48" t="inlineStr">
        <is>
          <t>Full-time</t>
        </is>
      </c>
      <c r="H335" s="48" t="inlineStr">
        <is>
          <t>On-site</t>
        </is>
      </c>
      <c r="I335" s="49" t="n">
        <v>1</v>
      </c>
      <c r="J335" s="49" t="n">
        <v>6</v>
      </c>
      <c r="K335" s="48" t="inlineStr">
        <is>
          <t>Life Insurance, Direct Marketing, Team Handling, Banca</t>
        </is>
      </c>
      <c r="L335" s="56" t="n">
        <v>45967</v>
      </c>
    </row>
    <row r="336">
      <c r="A336" s="48" t="inlineStr">
        <is>
          <t>J0067</t>
        </is>
      </c>
      <c r="B336" s="48" t="inlineStr">
        <is>
          <t>Loan Officer - Retail MFB - Sales</t>
        </is>
      </c>
      <c r="C336" s="48" t="inlineStr">
        <is>
          <t>Tata Capital</t>
        </is>
      </c>
      <c r="D336" s="48" t="inlineStr">
        <is>
          <t>Mumbai</t>
        </is>
      </c>
      <c r="E336" s="48" t="inlineStr">
        <is>
          <t>BFSI (Banking/Finance/Insurance)</t>
        </is>
      </c>
      <c r="F336" s="48" t="inlineStr">
        <is>
          <t>Entry Level (0-2 yrs)</t>
        </is>
      </c>
      <c r="G336" s="48" t="inlineStr">
        <is>
          <t>Full-time</t>
        </is>
      </c>
      <c r="H336" s="48" t="inlineStr">
        <is>
          <t>On-site</t>
        </is>
      </c>
      <c r="I336" s="49" t="n"/>
      <c r="J336" s="49" t="n"/>
      <c r="K336" s="48" t="inlineStr">
        <is>
          <t>microfinance, customer service, sourcing, delinquency management</t>
        </is>
      </c>
      <c r="L336" s="56" t="n">
        <v>45967</v>
      </c>
    </row>
    <row r="337">
      <c r="A337" s="48" t="inlineStr">
        <is>
          <t>J0298</t>
        </is>
      </c>
      <c r="B337" s="48" t="inlineStr">
        <is>
          <t>Joiners Temenos Analytics Engineer</t>
        </is>
      </c>
      <c r="C337" s="48" t="inlineStr">
        <is>
          <t>IDESLABS PRIVATE LIMITED</t>
        </is>
      </c>
      <c r="D337" s="48" t="inlineStr">
        <is>
          <t>Bangalore</t>
        </is>
      </c>
      <c r="E337" s="48" t="inlineStr">
        <is>
          <t>IT / Software</t>
        </is>
      </c>
      <c r="F337" s="48" t="inlineStr">
        <is>
          <t>Mid Level (3-6 yrs)</t>
        </is>
      </c>
      <c r="G337" s="48" t="inlineStr">
        <is>
          <t>Full-time</t>
        </is>
      </c>
      <c r="H337" s="48" t="inlineStr">
        <is>
          <t>On-site</t>
        </is>
      </c>
      <c r="I337" s="49" t="n"/>
      <c r="J337" s="49" t="n"/>
      <c r="K337" s="48" t="inlineStr">
        <is>
          <t>data analysis, documentation, sql server dba, database administration</t>
        </is>
      </c>
      <c r="L337" s="56" t="n">
        <v>45968</v>
      </c>
    </row>
    <row r="338">
      <c r="A338" s="48" t="inlineStr">
        <is>
          <t>J0426</t>
        </is>
      </c>
      <c r="B338" s="48" t="inlineStr">
        <is>
          <t>Area Sales Manager</t>
        </is>
      </c>
      <c r="C338" s="48" t="inlineStr">
        <is>
          <t xml:space="preserve">  Skillventory  </t>
        </is>
      </c>
      <c r="D338" s="48" t="inlineStr">
        <is>
          <t>Mysuru</t>
        </is>
      </c>
      <c r="E338" s="48" t="inlineStr">
        <is>
          <t>BFSI (Banking/Finance/Insurance)</t>
        </is>
      </c>
      <c r="F338" s="48" t="inlineStr">
        <is>
          <t>Entry Level (0-2 yrs)</t>
        </is>
      </c>
      <c r="G338" s="48" t="inlineStr">
        <is>
          <t>Full-time</t>
        </is>
      </c>
      <c r="H338" s="48" t="inlineStr">
        <is>
          <t>On-site</t>
        </is>
      </c>
      <c r="I338" s="49" t="n">
        <v>7</v>
      </c>
      <c r="J338" s="49" t="n">
        <v>15</v>
      </c>
      <c r="K338" s="48" t="inlineStr">
        <is>
          <t>Personal Loans, Team Handling, DSA, Unsecured Loans</t>
        </is>
      </c>
      <c r="L338" s="56" t="n">
        <v>45967</v>
      </c>
    </row>
    <row r="339">
      <c r="A339" s="48" t="inlineStr">
        <is>
          <t>J0333</t>
        </is>
      </c>
      <c r="B339" s="48" t="inlineStr">
        <is>
          <t>CAD modeller in CATIA/NX - mechanical engineer</t>
        </is>
      </c>
      <c r="C339" s="48" t="inlineStr">
        <is>
          <t>Bimindustrieseurope</t>
        </is>
      </c>
      <c r="D339" s="48" t="inlineStr">
        <is>
          <t>Remote</t>
        </is>
      </c>
      <c r="E339" s="48" t="inlineStr">
        <is>
          <t>Manufacturing &amp; Engineering</t>
        </is>
      </c>
      <c r="F339" s="48" t="inlineStr">
        <is>
          <t>Mid Level (3-6 yrs)</t>
        </is>
      </c>
      <c r="G339" s="48" t="inlineStr">
        <is>
          <t>Full-time</t>
        </is>
      </c>
      <c r="H339" s="48" t="inlineStr">
        <is>
          <t>Remote</t>
        </is>
      </c>
      <c r="I339" s="49" t="n">
        <v>9</v>
      </c>
      <c r="J339" s="49" t="n">
        <v>10</v>
      </c>
      <c r="K339" s="48" t="inlineStr">
        <is>
          <t>CATIA, Siemens Nx, Mechanical Engineering, Engineering</t>
        </is>
      </c>
      <c r="L339" s="56" t="n">
        <v>45974</v>
      </c>
    </row>
    <row r="340">
      <c r="A340" s="48" t="inlineStr">
        <is>
          <t>J0367</t>
        </is>
      </c>
      <c r="B340" s="48" t="inlineStr">
        <is>
          <t>Bulk Hiring For Freshers/ Exp Salary upto 4.5LPA To 6 LPA</t>
        </is>
      </c>
      <c r="C340" s="48" t="inlineStr">
        <is>
          <t>Izee Manpower</t>
        </is>
      </c>
      <c r="D340" s="48" t="inlineStr">
        <is>
          <t>Bengaluru</t>
        </is>
      </c>
      <c r="E340" s="48" t="inlineStr">
        <is>
          <t>Customer Service &amp; BPO</t>
        </is>
      </c>
      <c r="F340" s="48" t="inlineStr">
        <is>
          <t>Entry Level (0-2 yrs)</t>
        </is>
      </c>
      <c r="G340" s="48" t="inlineStr">
        <is>
          <t>Full-time</t>
        </is>
      </c>
      <c r="H340" s="48" t="inlineStr">
        <is>
          <t>On-site</t>
        </is>
      </c>
      <c r="I340" s="49" t="n">
        <v>4.5</v>
      </c>
      <c r="J340" s="49" t="n">
        <v>7</v>
      </c>
      <c r="K340" s="48" t="inlineStr">
        <is>
          <t>International Voice, Us Calling, Inbound Voice Process, Bpo Voice</t>
        </is>
      </c>
      <c r="L340" s="56" t="n">
        <v>45969</v>
      </c>
    </row>
    <row r="341">
      <c r="A341" s="48" t="inlineStr">
        <is>
          <t>J0254</t>
        </is>
      </c>
      <c r="B341" s="48" t="inlineStr">
        <is>
          <t>Corporate Sales Manager- B2B SaaS Sales</t>
        </is>
      </c>
      <c r="C341" s="48" t="inlineStr">
        <is>
          <t>Webtel Electrosoft</t>
        </is>
      </c>
      <c r="D341" s="48" t="inlineStr">
        <is>
          <t>Hyderabad</t>
        </is>
      </c>
      <c r="E341" s="48" t="inlineStr">
        <is>
          <t>IT / Software</t>
        </is>
      </c>
      <c r="F341" s="48" t="inlineStr">
        <is>
          <t>Entry Level (0-2 yrs)</t>
        </is>
      </c>
      <c r="G341" s="48" t="inlineStr">
        <is>
          <t>Full-time</t>
        </is>
      </c>
      <c r="H341" s="48" t="inlineStr">
        <is>
          <t>On-site</t>
        </is>
      </c>
      <c r="I341" s="49" t="n">
        <v>3</v>
      </c>
      <c r="J341" s="49" t="n">
        <v>5</v>
      </c>
      <c r="K341" s="48" t="inlineStr">
        <is>
          <t>B2B Sales, Corporate Sales, New Client Acquisition, Product Sales</t>
        </is>
      </c>
      <c r="L341" s="56" t="n">
        <v>45974</v>
      </c>
    </row>
    <row r="342">
      <c r="A342" s="48" t="inlineStr">
        <is>
          <t>J0216</t>
        </is>
      </c>
      <c r="B342" s="48" t="inlineStr">
        <is>
          <t>Sales Manager</t>
        </is>
      </c>
      <c r="C342" s="48" t="inlineStr">
        <is>
          <t>V.R.ESTATE Consultants Llp</t>
        </is>
      </c>
      <c r="D342" s="48" t="inlineStr">
        <is>
          <t>Mumbai Suburban</t>
        </is>
      </c>
      <c r="E342" s="48" t="inlineStr">
        <is>
          <t>Sales &amp; Business Development</t>
        </is>
      </c>
      <c r="F342" s="48" t="inlineStr">
        <is>
          <t>Entry Level (0-2 yrs)</t>
        </is>
      </c>
      <c r="G342" s="48" t="inlineStr">
        <is>
          <t>Full-time</t>
        </is>
      </c>
      <c r="H342" s="48" t="inlineStr">
        <is>
          <t>On-site</t>
        </is>
      </c>
      <c r="I342" s="49" t="n">
        <v>0.7</v>
      </c>
      <c r="J342" s="49" t="n">
        <v>0.9</v>
      </c>
      <c r="K342" s="48" t="inlineStr">
        <is>
          <t>conduct site visits, collaborate on campaigns, meet clients, close sales</t>
        </is>
      </c>
      <c r="L342" s="56" t="n">
        <v>45967</v>
      </c>
    </row>
    <row r="343">
      <c r="A343" s="48" t="inlineStr">
        <is>
          <t>J0354</t>
        </is>
      </c>
      <c r="B343" s="48" t="inlineStr">
        <is>
          <t>Embedded Linux Engineer</t>
        </is>
      </c>
      <c r="C343" s="48" t="inlineStr">
        <is>
          <t>RK Hr Management</t>
        </is>
      </c>
      <c r="D343" s="48" t="inlineStr">
        <is>
          <t>Ahmedabad</t>
        </is>
      </c>
      <c r="E343" s="48" t="inlineStr">
        <is>
          <t>Other / General Business</t>
        </is>
      </c>
      <c r="F343" s="48" t="inlineStr">
        <is>
          <t>Mid Level (3-6 yrs)</t>
        </is>
      </c>
      <c r="G343" s="48" t="inlineStr">
        <is>
          <t>Full-time</t>
        </is>
      </c>
      <c r="H343" s="48" t="inlineStr">
        <is>
          <t>On-site</t>
        </is>
      </c>
      <c r="I343" s="49" t="n">
        <v>6</v>
      </c>
      <c r="J343" s="49" t="n">
        <v>8.5</v>
      </c>
      <c r="K343" s="48" t="inlineStr">
        <is>
          <t>embedded Linux development, Linux, Embedded Linux, Electronics</t>
        </is>
      </c>
      <c r="L343" s="56" t="n">
        <v>45969</v>
      </c>
    </row>
    <row r="344">
      <c r="A344" s="48" t="inlineStr">
        <is>
          <t>J0347</t>
        </is>
      </c>
      <c r="B344" s="48" t="inlineStr">
        <is>
          <t>Deputy Manager / Senior Manager - Team Handling | Axis Group</t>
        </is>
      </c>
      <c r="C344" s="48" t="inlineStr">
        <is>
          <t>The Infinity Space</t>
        </is>
      </c>
      <c r="D344" s="48" t="inlineStr">
        <is>
          <t>Tirupati</t>
        </is>
      </c>
      <c r="E344" s="48" t="inlineStr">
        <is>
          <t>Sales &amp; Business Development</t>
        </is>
      </c>
      <c r="F344" s="48" t="inlineStr">
        <is>
          <t>Entry Level (0-2 yrs)</t>
        </is>
      </c>
      <c r="G344" s="48" t="inlineStr">
        <is>
          <t>Full-time</t>
        </is>
      </c>
      <c r="H344" s="48" t="inlineStr">
        <is>
          <t>On-site</t>
        </is>
      </c>
      <c r="I344" s="49" t="n">
        <v>2.75</v>
      </c>
      <c r="J344" s="49" t="n">
        <v>4.5</v>
      </c>
      <c r="K344" s="48" t="inlineStr">
        <is>
          <t>Sales, HNI, Banca, Incentives</t>
        </is>
      </c>
      <c r="L344" s="56" t="n">
        <v>45969</v>
      </c>
    </row>
    <row r="345">
      <c r="A345" s="48" t="inlineStr">
        <is>
          <t>J0162</t>
        </is>
      </c>
      <c r="B345" s="48" t="inlineStr">
        <is>
          <t>Back Office Executive</t>
        </is>
      </c>
      <c r="C345" s="48" t="inlineStr">
        <is>
          <t>Jobsfind Consultancy</t>
        </is>
      </c>
      <c r="D345" s="48" t="inlineStr">
        <is>
          <t>Gandhinagar</t>
        </is>
      </c>
      <c r="E345" s="48" t="inlineStr">
        <is>
          <t>Manufacturing &amp; Engineering</t>
        </is>
      </c>
      <c r="F345" s="48" t="inlineStr">
        <is>
          <t>Entry Level (0-2 yrs)</t>
        </is>
      </c>
      <c r="G345" s="48" t="inlineStr">
        <is>
          <t>Full-time</t>
        </is>
      </c>
      <c r="H345" s="48" t="inlineStr">
        <is>
          <t>On-site</t>
        </is>
      </c>
      <c r="I345" s="49" t="n">
        <v>1.5</v>
      </c>
      <c r="J345" s="49" t="n">
        <v>3.25</v>
      </c>
      <c r="K345" s="48" t="inlineStr">
        <is>
          <t>Back Office, Office Management, Data Entry, Administration Work</t>
        </is>
      </c>
      <c r="L345" s="56" t="n">
        <v>45972</v>
      </c>
    </row>
    <row r="346">
      <c r="A346" s="48" t="inlineStr">
        <is>
          <t>J0088</t>
        </is>
      </c>
      <c r="B346" s="48" t="inlineStr">
        <is>
          <t>Senior Product Support Engineer</t>
        </is>
      </c>
      <c r="C346" s="48" t="inlineStr">
        <is>
          <t>Continuity 1</t>
        </is>
      </c>
      <c r="D346" s="48" t="inlineStr">
        <is>
          <t>Pune</t>
        </is>
      </c>
      <c r="E346" s="48" t="inlineStr">
        <is>
          <t>Other / General Business</t>
        </is>
      </c>
      <c r="F346" s="48" t="inlineStr">
        <is>
          <t>Mid Level (3-6 yrs)</t>
        </is>
      </c>
      <c r="G346" s="48" t="inlineStr">
        <is>
          <t>Full-time</t>
        </is>
      </c>
      <c r="H346" s="48" t="inlineStr">
        <is>
          <t>On-site</t>
        </is>
      </c>
      <c r="I346" s="49" t="n">
        <v>10</v>
      </c>
      <c r="J346" s="49" t="n">
        <v>20</v>
      </c>
      <c r="K346" s="48" t="inlineStr">
        <is>
          <t>Websphere, Linux, Troubleshooting, Scripting</t>
        </is>
      </c>
      <c r="L346" s="56" t="n">
        <v>45976</v>
      </c>
    </row>
    <row r="347">
      <c r="A347" s="48" t="inlineStr">
        <is>
          <t>J0065</t>
        </is>
      </c>
      <c r="B347" s="48" t="inlineStr">
        <is>
          <t>Bank Hiring II Branch Head II Upto 18 LPA</t>
        </is>
      </c>
      <c r="C347" s="48" t="inlineStr">
        <is>
          <t>Worldotalent</t>
        </is>
      </c>
      <c r="D347" s="48" t="inlineStr">
        <is>
          <t>Hosur</t>
        </is>
      </c>
      <c r="E347" s="48" t="inlineStr">
        <is>
          <t>BFSI (Banking/Finance/Insurance)</t>
        </is>
      </c>
      <c r="F347" s="48" t="inlineStr">
        <is>
          <t>Mid Level (3-6 yrs)</t>
        </is>
      </c>
      <c r="G347" s="48" t="inlineStr">
        <is>
          <t>Full-time</t>
        </is>
      </c>
      <c r="H347" s="48" t="inlineStr">
        <is>
          <t>On-site</t>
        </is>
      </c>
      <c r="I347" s="49" t="n">
        <v>12</v>
      </c>
      <c r="J347" s="49" t="n">
        <v>18</v>
      </c>
      <c r="K347" s="48" t="inlineStr">
        <is>
          <t>Branch Manager, Team Handling, Saving Account, Deputy Branch Manager</t>
        </is>
      </c>
      <c r="L347" s="56" t="n">
        <v>45970</v>
      </c>
    </row>
    <row r="348">
      <c r="A348" s="48" t="inlineStr">
        <is>
          <t>J0211</t>
        </is>
      </c>
      <c r="B348" s="48" t="inlineStr">
        <is>
          <t>Urgent Opening For B.D Team For Latam &amp; Europe Region</t>
        </is>
      </c>
      <c r="C348" s="48" t="inlineStr">
        <is>
          <t>Stallion Laboratories</t>
        </is>
      </c>
      <c r="D348" s="48" t="inlineStr">
        <is>
          <t>Ahmedabad</t>
        </is>
      </c>
      <c r="E348" s="48" t="inlineStr">
        <is>
          <t>Marketing &amp; Advertising</t>
        </is>
      </c>
      <c r="F348" s="48" t="inlineStr">
        <is>
          <t>Mid Level (3-6 yrs)</t>
        </is>
      </c>
      <c r="G348" s="48" t="inlineStr">
        <is>
          <t>Full-time</t>
        </is>
      </c>
      <c r="H348" s="48" t="inlineStr">
        <is>
          <t>On-site</t>
        </is>
      </c>
      <c r="I348" s="49" t="n">
        <v>8.5</v>
      </c>
      <c r="J348" s="49" t="n">
        <v>18</v>
      </c>
      <c r="K348" s="48" t="inlineStr">
        <is>
          <t>Business Development, CDMO, Marketing, CMO</t>
        </is>
      </c>
      <c r="L348" s="56" t="n">
        <v>45969</v>
      </c>
    </row>
    <row r="349">
      <c r="A349" s="48" t="inlineStr">
        <is>
          <t>J0158</t>
        </is>
      </c>
      <c r="B349" s="48" t="inlineStr">
        <is>
          <t>Lead Analyst - AI Engineer (Full Stack)</t>
        </is>
      </c>
      <c r="C349" s="48" t="inlineStr">
        <is>
          <t>Eaton Technologies</t>
        </is>
      </c>
      <c r="D349" s="48" t="inlineStr">
        <is>
          <t>Pune</t>
        </is>
      </c>
      <c r="E349" s="48" t="inlineStr">
        <is>
          <t>IT / Software</t>
        </is>
      </c>
      <c r="F349" s="48" t="inlineStr">
        <is>
          <t>Senior Level (7+ yrs)</t>
        </is>
      </c>
      <c r="G349" s="48" t="inlineStr">
        <is>
          <t>Full-time</t>
        </is>
      </c>
      <c r="H349" s="48" t="inlineStr">
        <is>
          <t>On-site</t>
        </is>
      </c>
      <c r="I349" s="49" t="n"/>
      <c r="J349" s="49" t="n"/>
      <c r="K349" s="48" t="inlineStr">
        <is>
          <t>Solution architecture, SAP, Front end, Machine learning</t>
        </is>
      </c>
      <c r="L349" s="56" t="n">
        <v>45968</v>
      </c>
    </row>
    <row r="350">
      <c r="A350" s="48" t="inlineStr">
        <is>
          <t>J0204</t>
        </is>
      </c>
      <c r="B350" s="48" t="inlineStr">
        <is>
          <t>It Hardware Network Engineer</t>
        </is>
      </c>
      <c r="C350" s="48" t="inlineStr">
        <is>
          <t xml:space="preserve">  Unipower Technologies  </t>
        </is>
      </c>
      <c r="D350" s="48" t="inlineStr">
        <is>
          <t>Kolkata</t>
        </is>
      </c>
      <c r="E350" s="48" t="inlineStr">
        <is>
          <t>IT / Software</t>
        </is>
      </c>
      <c r="F350" s="48" t="inlineStr">
        <is>
          <t>Entry Level (0-2 yrs)</t>
        </is>
      </c>
      <c r="G350" s="48" t="inlineStr">
        <is>
          <t>Full-time</t>
        </is>
      </c>
      <c r="H350" s="48" t="inlineStr">
        <is>
          <t>On-site</t>
        </is>
      </c>
      <c r="I350" s="49" t="n">
        <v>1.8</v>
      </c>
      <c r="J350" s="49" t="n">
        <v>2.16</v>
      </c>
      <c r="K350" s="48" t="inlineStr">
        <is>
          <t>Hardware Networking, Hardware Maintenance, Hardware Installation, Device Installation</t>
        </is>
      </c>
      <c r="L350" s="56" t="n">
        <v>45976</v>
      </c>
    </row>
    <row r="351">
      <c r="A351" s="48" t="inlineStr">
        <is>
          <t>J0015</t>
        </is>
      </c>
      <c r="B351" s="48" t="inlineStr">
        <is>
          <t>Sr. Manager- II - Cybersecurity SC</t>
        </is>
      </c>
      <c r="C351" s="48" t="inlineStr">
        <is>
          <t>ICICI Prudential Life</t>
        </is>
      </c>
      <c r="D351" s="48" t="inlineStr">
        <is>
          <t>Mumbai</t>
        </is>
      </c>
      <c r="E351" s="48" t="inlineStr">
        <is>
          <t>Customer Service &amp; BPO</t>
        </is>
      </c>
      <c r="F351" s="48" t="inlineStr">
        <is>
          <t>Mid Level (3-6 yrs)</t>
        </is>
      </c>
      <c r="G351" s="48" t="inlineStr">
        <is>
          <t>Full-time</t>
        </is>
      </c>
      <c r="H351" s="48" t="inlineStr">
        <is>
          <t>On-site</t>
        </is>
      </c>
      <c r="I351" s="49" t="n"/>
      <c r="J351" s="49" t="n"/>
      <c r="K351" s="48" t="inlineStr">
        <is>
          <t>security operations, risk management, operations management, sas</t>
        </is>
      </c>
      <c r="L351" s="56" t="n">
        <v>45967</v>
      </c>
    </row>
    <row r="352">
      <c r="A352" s="48" t="inlineStr">
        <is>
          <t>J0113</t>
        </is>
      </c>
      <c r="B352" s="48" t="inlineStr">
        <is>
          <t>Consultant Radiology</t>
        </is>
      </c>
      <c r="C352" s="48" t="inlineStr">
        <is>
          <t>Fortis</t>
        </is>
      </c>
      <c r="D352" s="48" t="inlineStr">
        <is>
          <t>Mumbai</t>
        </is>
      </c>
      <c r="E352" s="48" t="inlineStr">
        <is>
          <t>Other / General Business</t>
        </is>
      </c>
      <c r="F352" s="48" t="inlineStr">
        <is>
          <t>Entry Level (0-2 yrs)</t>
        </is>
      </c>
      <c r="G352" s="48" t="inlineStr">
        <is>
          <t>Full-time</t>
        </is>
      </c>
      <c r="H352" s="48" t="inlineStr">
        <is>
          <t>On-site</t>
        </is>
      </c>
      <c r="I352" s="49" t="n">
        <v>14</v>
      </c>
      <c r="J352" s="49" t="n">
        <v>20</v>
      </c>
      <c r="K352" s="48" t="inlineStr">
        <is>
          <t>Radiology, Consulting</t>
        </is>
      </c>
      <c r="L352" s="56" t="n">
        <v>45976</v>
      </c>
    </row>
    <row r="353">
      <c r="A353" s="48" t="inlineStr">
        <is>
          <t>J0398</t>
        </is>
      </c>
      <c r="B353" s="48" t="inlineStr">
        <is>
          <t>Dot Net Full Stack Engineer - Gurugram -WFO</t>
        </is>
      </c>
      <c r="C353" s="48" t="inlineStr">
        <is>
          <t>Excelvana</t>
        </is>
      </c>
      <c r="D353" s="48" t="inlineStr">
        <is>
          <t>Noida</t>
        </is>
      </c>
      <c r="E353" s="48" t="inlineStr">
        <is>
          <t>IT / Software</t>
        </is>
      </c>
      <c r="F353" s="48" t="inlineStr">
        <is>
          <t>Senior Level (7+ yrs)</t>
        </is>
      </c>
      <c r="G353" s="48" t="inlineStr">
        <is>
          <t>Full-time</t>
        </is>
      </c>
      <c r="H353" s="48" t="inlineStr">
        <is>
          <t>Hybrid</t>
        </is>
      </c>
      <c r="I353" s="49" t="n">
        <v>20</v>
      </c>
      <c r="J353" s="49" t="n">
        <v>30</v>
      </c>
      <c r="K353" s="48" t="inlineStr">
        <is>
          <t>C#, .Net Core, PostgreSQL, cloud</t>
        </is>
      </c>
      <c r="L353" s="56" t="n">
        <v>45974</v>
      </c>
    </row>
    <row r="354">
      <c r="A354" s="48" t="inlineStr">
        <is>
          <t>J0360</t>
        </is>
      </c>
      <c r="B354" s="48" t="inlineStr">
        <is>
          <t>Operations Coordinator - Ambulance Vertical</t>
        </is>
      </c>
      <c r="C354" s="48" t="inlineStr">
        <is>
          <t>Manipal Hospitals</t>
        </is>
      </c>
      <c r="D354" s="48" t="inlineStr">
        <is>
          <t>Mysuru</t>
        </is>
      </c>
      <c r="E354" s="48" t="inlineStr">
        <is>
          <t>Customer Service &amp; BPO</t>
        </is>
      </c>
      <c r="F354" s="48" t="inlineStr">
        <is>
          <t>Mid Level (3-6 yrs)</t>
        </is>
      </c>
      <c r="G354" s="48" t="inlineStr">
        <is>
          <t>Full-time</t>
        </is>
      </c>
      <c r="H354" s="48" t="inlineStr">
        <is>
          <t>On-site</t>
        </is>
      </c>
      <c r="I354" s="49" t="n">
        <v>3</v>
      </c>
      <c r="J354" s="49" t="n">
        <v>5</v>
      </c>
      <c r="K354" s="48" t="inlineStr">
        <is>
          <t>Nursing, Knowledge of EMS &amp; Ambulance Operations, Customer Service Orientation, Resource Management</t>
        </is>
      </c>
      <c r="L354" s="56" t="n">
        <v>45976</v>
      </c>
    </row>
    <row r="355">
      <c r="A355" s="48" t="inlineStr">
        <is>
          <t>J0380</t>
        </is>
      </c>
      <c r="B355" s="48" t="inlineStr">
        <is>
          <t>Horticulture Manager</t>
        </is>
      </c>
      <c r="C355" s="48" t="inlineStr">
        <is>
          <t>Reliance Industries (RIL)</t>
        </is>
      </c>
      <c r="D355" s="48" t="inlineStr">
        <is>
          <t>Jamnagar</t>
        </is>
      </c>
      <c r="E355" s="48" t="inlineStr">
        <is>
          <t>Manufacturing &amp; Engineering</t>
        </is>
      </c>
      <c r="F355" s="48" t="inlineStr">
        <is>
          <t>Senior Level (7+ yrs)</t>
        </is>
      </c>
      <c r="G355" s="48" t="inlineStr">
        <is>
          <t>Full-time</t>
        </is>
      </c>
      <c r="H355" s="48" t="inlineStr">
        <is>
          <t>On-site</t>
        </is>
      </c>
      <c r="I355" s="49" t="n"/>
      <c r="J355" s="49" t="n"/>
      <c r="K355" s="48" t="inlineStr">
        <is>
          <t>Horticulture, Landscaping, Plantation, Floriculture</t>
        </is>
      </c>
      <c r="L355" s="56" t="n">
        <v>45976</v>
      </c>
    </row>
    <row r="356">
      <c r="A356" s="48" t="inlineStr">
        <is>
          <t>J0373</t>
        </is>
      </c>
      <c r="B356" s="48" t="inlineStr">
        <is>
          <t>Hiring Freshers For Bank Job- Maharashtra</t>
        </is>
      </c>
      <c r="C356" s="48" t="inlineStr">
        <is>
          <t>2coms</t>
        </is>
      </c>
      <c r="D356" s="48" t="inlineStr">
        <is>
          <t>Pune</t>
        </is>
      </c>
      <c r="E356" s="48" t="inlineStr">
        <is>
          <t>BFSI (Banking/Finance/Insurance)</t>
        </is>
      </c>
      <c r="F356" s="48" t="inlineStr">
        <is>
          <t>Entry Level (0-2 yrs)</t>
        </is>
      </c>
      <c r="G356" s="48" t="inlineStr">
        <is>
          <t>Full-time</t>
        </is>
      </c>
      <c r="H356" s="48" t="inlineStr">
        <is>
          <t>On-site</t>
        </is>
      </c>
      <c r="I356" s="49" t="n">
        <v>0.5</v>
      </c>
      <c r="J356" s="49" t="n">
        <v>2</v>
      </c>
      <c r="K356" s="48" t="inlineStr">
        <is>
          <t>branch sales, aml, hiring, anti money laundering</t>
        </is>
      </c>
      <c r="L356" s="56" t="n">
        <v>45969</v>
      </c>
    </row>
    <row r="357">
      <c r="A357" s="48" t="inlineStr">
        <is>
          <t>J0225</t>
        </is>
      </c>
      <c r="B357" s="48" t="inlineStr">
        <is>
          <t>sales officer</t>
        </is>
      </c>
      <c r="C357" s="48" t="inlineStr">
        <is>
          <t>Bajaj Housing Finance</t>
        </is>
      </c>
      <c r="D357" s="48" t="inlineStr">
        <is>
          <t>Agra</t>
        </is>
      </c>
      <c r="E357" s="48" t="inlineStr">
        <is>
          <t>BFSI (Banking/Finance/Insurance)</t>
        </is>
      </c>
      <c r="F357" s="48" t="inlineStr">
        <is>
          <t>Entry Level (0-2 yrs)</t>
        </is>
      </c>
      <c r="G357" s="48" t="inlineStr">
        <is>
          <t>Full-time</t>
        </is>
      </c>
      <c r="H357" s="48" t="inlineStr">
        <is>
          <t>On-site</t>
        </is>
      </c>
      <c r="I357" s="49" t="n">
        <v>2</v>
      </c>
      <c r="J357" s="49" t="n">
        <v>3</v>
      </c>
      <c r="K357" s="48" t="inlineStr">
        <is>
          <t>Field Sales, home loans, Housing Finance, Sales</t>
        </is>
      </c>
      <c r="L357" s="56" t="n">
        <v>45976</v>
      </c>
    </row>
    <row r="358">
      <c r="A358" s="48" t="inlineStr">
        <is>
          <t>J0210</t>
        </is>
      </c>
      <c r="B358" s="48" t="inlineStr">
        <is>
          <t>Transition Manager</t>
        </is>
      </c>
      <c r="C358" s="48" t="inlineStr">
        <is>
          <t>Guidehouse</t>
        </is>
      </c>
      <c r="D358" s="48" t="inlineStr">
        <is>
          <t>Chennai</t>
        </is>
      </c>
      <c r="E358" s="48" t="inlineStr">
        <is>
          <t>Other / General Business</t>
        </is>
      </c>
      <c r="F358" s="48" t="inlineStr">
        <is>
          <t>Senior Level (7+ yrs)</t>
        </is>
      </c>
      <c r="G358" s="48" t="inlineStr">
        <is>
          <t>Full-time</t>
        </is>
      </c>
      <c r="H358" s="48" t="inlineStr">
        <is>
          <t>On-site</t>
        </is>
      </c>
      <c r="I358" s="49" t="n">
        <v>17</v>
      </c>
      <c r="J358" s="49" t="n">
        <v>25</v>
      </c>
      <c r="K358" s="48" t="inlineStr">
        <is>
          <t>Project Management, Transition Management, Transition Planning, Stakeholder Management</t>
        </is>
      </c>
      <c r="L358" s="56" t="n">
        <v>45967</v>
      </c>
    </row>
    <row r="359">
      <c r="A359" s="48" t="inlineStr">
        <is>
          <t>J0177</t>
        </is>
      </c>
      <c r="B359" s="48" t="inlineStr">
        <is>
          <t>Devops Engineer</t>
        </is>
      </c>
      <c r="C359" s="48" t="inlineStr">
        <is>
          <t>IGT Solutions</t>
        </is>
      </c>
      <c r="D359" s="48" t="inlineStr">
        <is>
          <t>Remote</t>
        </is>
      </c>
      <c r="E359" s="48" t="inlineStr">
        <is>
          <t>IT / Software</t>
        </is>
      </c>
      <c r="F359" s="48" t="inlineStr">
        <is>
          <t>Mid Level (3-6 yrs)</t>
        </is>
      </c>
      <c r="G359" s="48" t="inlineStr">
        <is>
          <t>Full-time</t>
        </is>
      </c>
      <c r="H359" s="48" t="inlineStr">
        <is>
          <t>Remote</t>
        </is>
      </c>
      <c r="I359" s="49" t="n"/>
      <c r="J359" s="49" t="n"/>
      <c r="K359" s="48" t="inlineStr">
        <is>
          <t>Devops, Docker, Ansible, AWS</t>
        </is>
      </c>
      <c r="L359" s="56" t="n">
        <v>45973</v>
      </c>
    </row>
    <row r="360">
      <c r="A360" s="48" t="inlineStr">
        <is>
          <t>J0307</t>
        </is>
      </c>
      <c r="B360" s="48" t="inlineStr">
        <is>
          <t>Assistant Team Lead-General Insurance-DBC.Direct Banking Center</t>
        </is>
      </c>
      <c r="C360" s="48" t="inlineStr">
        <is>
          <t>Mashreq Global Services</t>
        </is>
      </c>
      <c r="D360" s="48" t="inlineStr">
        <is>
          <t>BENGALURU</t>
        </is>
      </c>
      <c r="E360" s="48" t="inlineStr">
        <is>
          <t>BFSI (Banking/Finance/Insurance)</t>
        </is>
      </c>
      <c r="F360" s="48" t="inlineStr">
        <is>
          <t>Mid Level (3-6 yrs)</t>
        </is>
      </c>
      <c r="G360" s="48" t="inlineStr">
        <is>
          <t>Full-time</t>
        </is>
      </c>
      <c r="H360" s="48" t="inlineStr">
        <is>
          <t>On-site</t>
        </is>
      </c>
      <c r="I360" s="49" t="n"/>
      <c r="J360" s="49" t="n"/>
      <c r="K360" s="48" t="inlineStr">
        <is>
          <t>Quality standards, Manager Quality Assurance, Performance management, Compliance</t>
        </is>
      </c>
      <c r="L360" s="56" t="n">
        <v>45969</v>
      </c>
    </row>
    <row r="361">
      <c r="A361" s="48" t="inlineStr">
        <is>
          <t>J0171</t>
        </is>
      </c>
      <c r="B361" s="48" t="inlineStr">
        <is>
          <t>Sales And Marketing Executive</t>
        </is>
      </c>
      <c r="C361" s="48" t="inlineStr">
        <is>
          <t>Ndr Group</t>
        </is>
      </c>
      <c r="D361" s="48" t="inlineStr">
        <is>
          <t>Faridabad</t>
        </is>
      </c>
      <c r="E361" s="48" t="inlineStr">
        <is>
          <t>Marketing &amp; Advertising</t>
        </is>
      </c>
      <c r="F361" s="48" t="inlineStr">
        <is>
          <t>Entry Level (0-2 yrs)</t>
        </is>
      </c>
      <c r="G361" s="48" t="inlineStr">
        <is>
          <t>Full-time</t>
        </is>
      </c>
      <c r="H361" s="48" t="inlineStr">
        <is>
          <t>On-site</t>
        </is>
      </c>
      <c r="I361" s="49" t="n">
        <v>1.5</v>
      </c>
      <c r="J361" s="49" t="n">
        <v>3</v>
      </c>
      <c r="K361" s="48" t="inlineStr">
        <is>
          <t>Sales, market, Marketing Management, Business Development</t>
        </is>
      </c>
      <c r="L361" s="56" t="n">
        <v>45969</v>
      </c>
    </row>
    <row r="362">
      <c r="A362" s="48" t="inlineStr">
        <is>
          <t>J0170</t>
        </is>
      </c>
      <c r="B362" s="48" t="inlineStr">
        <is>
          <t>Hiring For Administrative Coordinator (Night / After-Hours Coverage)</t>
        </is>
      </c>
      <c r="C362" s="48" t="inlineStr">
        <is>
          <t>Job Search</t>
        </is>
      </c>
      <c r="D362" s="48" t="inlineStr">
        <is>
          <t>Hyderabad</t>
        </is>
      </c>
      <c r="E362" s="48" t="inlineStr">
        <is>
          <t>Logistics &amp; Supply Chain</t>
        </is>
      </c>
      <c r="F362" s="48" t="inlineStr">
        <is>
          <t>Entry Level (0-2 yrs)</t>
        </is>
      </c>
      <c r="G362" s="48" t="inlineStr">
        <is>
          <t>Full-time</t>
        </is>
      </c>
      <c r="H362" s="48" t="inlineStr">
        <is>
          <t>On-site</t>
        </is>
      </c>
      <c r="I362" s="49" t="n">
        <v>4</v>
      </c>
      <c r="J362" s="49" t="n">
        <v>7</v>
      </c>
      <c r="K362" s="48" t="inlineStr">
        <is>
          <t>administrator, floor management, admin logistics, Administrative coordinator</t>
        </is>
      </c>
      <c r="L362" s="56" t="n">
        <v>45974</v>
      </c>
    </row>
    <row r="363">
      <c r="A363" s="48" t="inlineStr">
        <is>
          <t>J0148</t>
        </is>
      </c>
      <c r="B363" s="48" t="inlineStr">
        <is>
          <t>Mice Operations Manager</t>
        </is>
      </c>
      <c r="C363" s="48" t="inlineStr">
        <is>
          <t>Integrated Conferences &amp; Events</t>
        </is>
      </c>
      <c r="D363" s="48" t="inlineStr">
        <is>
          <t>Gurugram</t>
        </is>
      </c>
      <c r="E363" s="48" t="inlineStr">
        <is>
          <t>Hospitality &amp; Travel</t>
        </is>
      </c>
      <c r="F363" s="48" t="inlineStr">
        <is>
          <t>Mid Level (3-6 yrs)</t>
        </is>
      </c>
      <c r="G363" s="48" t="inlineStr">
        <is>
          <t>Full-time</t>
        </is>
      </c>
      <c r="H363" s="48" t="inlineStr">
        <is>
          <t>On-site</t>
        </is>
      </c>
      <c r="I363" s="49" t="n">
        <v>7.5</v>
      </c>
      <c r="J363" s="49" t="n">
        <v>10</v>
      </c>
      <c r="K363" s="48" t="inlineStr">
        <is>
          <t>Holiday Packages, Corporate Events, Mice Operations, Hotel Booking</t>
        </is>
      </c>
      <c r="L363" s="56" t="n">
        <v>45967</v>
      </c>
    </row>
    <row r="364">
      <c r="A364" s="48" t="inlineStr">
        <is>
          <t>J0062</t>
        </is>
      </c>
      <c r="B364" s="48" t="inlineStr">
        <is>
          <t>Account Manager Sales - Residential Sales - 2+ Years -Noida</t>
        </is>
      </c>
      <c r="C364" s="48" t="inlineStr">
        <is>
          <t>Crescendo Global Leadership Hiring India</t>
        </is>
      </c>
      <c r="D364" s="48" t="inlineStr">
        <is>
          <t>Noida</t>
        </is>
      </c>
      <c r="E364" s="48" t="inlineStr">
        <is>
          <t>Real Estate &amp; Construction</t>
        </is>
      </c>
      <c r="F364" s="48" t="inlineStr">
        <is>
          <t>Entry Level (0-2 yrs)</t>
        </is>
      </c>
      <c r="G364" s="48" t="inlineStr">
        <is>
          <t>Full-time</t>
        </is>
      </c>
      <c r="H364" s="48" t="inlineStr">
        <is>
          <t>On-site</t>
        </is>
      </c>
      <c r="I364" s="49" t="n">
        <v>6</v>
      </c>
      <c r="J364" s="49" t="n">
        <v>7</v>
      </c>
      <c r="K364" s="48" t="inlineStr">
        <is>
          <t>luxury residential sales, real estate sales, residential sales, sales</t>
        </is>
      </c>
      <c r="L364" s="56" t="n">
        <v>45966</v>
      </c>
    </row>
    <row r="365">
      <c r="A365" s="48" t="inlineStr">
        <is>
          <t>J0355</t>
        </is>
      </c>
      <c r="B365" s="48" t="inlineStr">
        <is>
          <t>Medical Sales Representative (Oncology) - Bangalore Urgent Requirement</t>
        </is>
      </c>
      <c r="C365" s="48" t="inlineStr">
        <is>
          <t>Talent Corner Hr Services</t>
        </is>
      </c>
      <c r="D365" s="48" t="inlineStr">
        <is>
          <t xml:space="preserve">bengaluru </t>
        </is>
      </c>
      <c r="E365" s="48" t="inlineStr">
        <is>
          <t>Healthcare &amp; Pharma</t>
        </is>
      </c>
      <c r="F365" s="48" t="inlineStr">
        <is>
          <t>Mid Level (3-6 yrs)</t>
        </is>
      </c>
      <c r="G365" s="48" t="inlineStr">
        <is>
          <t>Full-time</t>
        </is>
      </c>
      <c r="H365" s="48" t="inlineStr">
        <is>
          <t>On-site</t>
        </is>
      </c>
      <c r="I365" s="49" t="n">
        <v>6.5</v>
      </c>
      <c r="J365" s="49" t="n">
        <v>9</v>
      </c>
      <c r="K365" s="48" t="inlineStr">
        <is>
          <t>oncology, Pharma Selling, Healthcare Sales, Territory Sales</t>
        </is>
      </c>
      <c r="L365" s="56" t="n">
        <v>45969</v>
      </c>
    </row>
    <row r="366">
      <c r="A366" s="48" t="inlineStr">
        <is>
          <t>J0231</t>
        </is>
      </c>
      <c r="B366" s="48" t="inlineStr">
        <is>
          <t>US Shift Voice Process</t>
        </is>
      </c>
      <c r="C366" s="48" t="inlineStr">
        <is>
          <t>Resource Excellence India</t>
        </is>
      </c>
      <c r="D366" s="48" t="inlineStr">
        <is>
          <t>Bengaluru</t>
        </is>
      </c>
      <c r="E366" s="48" t="inlineStr">
        <is>
          <t>Healthcare &amp; Pharma</t>
        </is>
      </c>
      <c r="F366" s="48" t="inlineStr">
        <is>
          <t>Entry Level (0-2 yrs)</t>
        </is>
      </c>
      <c r="G366" s="48" t="inlineStr">
        <is>
          <t>Full-time</t>
        </is>
      </c>
      <c r="H366" s="48" t="inlineStr">
        <is>
          <t>On-site</t>
        </is>
      </c>
      <c r="I366" s="49" t="n">
        <v>3</v>
      </c>
      <c r="J366" s="49" t="n">
        <v>4</v>
      </c>
      <c r="K366" s="48" t="inlineStr">
        <is>
          <t>Inbound Voice Process, US Healthcare, Us Voice Process, International Voice Process</t>
        </is>
      </c>
      <c r="L366" s="56" t="n">
        <v>45976</v>
      </c>
    </row>
    <row r="367">
      <c r="A367" s="48" t="inlineStr">
        <is>
          <t>J0047</t>
        </is>
      </c>
      <c r="B367" s="48" t="inlineStr">
        <is>
          <t>Oracle Ebs Scm Functional Consultant</t>
        </is>
      </c>
      <c r="C367" s="48" t="inlineStr">
        <is>
          <t>Fixity Technologies</t>
        </is>
      </c>
      <c r="D367" s="48" t="inlineStr">
        <is>
          <t>Hyderabad</t>
        </is>
      </c>
      <c r="E367" s="48" t="inlineStr">
        <is>
          <t>Manufacturing &amp; Engineering</t>
        </is>
      </c>
      <c r="F367" s="48" t="inlineStr">
        <is>
          <t>Mid Level (3-6 yrs)</t>
        </is>
      </c>
      <c r="G367" s="48" t="inlineStr">
        <is>
          <t>Full-time</t>
        </is>
      </c>
      <c r="H367" s="48" t="inlineStr">
        <is>
          <t>Hybrid</t>
        </is>
      </c>
      <c r="I367" s="49" t="n">
        <v>25</v>
      </c>
      <c r="J367" s="49" t="n">
        <v>40</v>
      </c>
      <c r="K367" s="48" t="inlineStr">
        <is>
          <t>R12, Oracle ERP, Manufacturing, SCM</t>
        </is>
      </c>
      <c r="L367" s="56" t="n">
        <v>45972</v>
      </c>
    </row>
    <row r="368">
      <c r="A368" s="48" t="inlineStr">
        <is>
          <t>J0241</t>
        </is>
      </c>
      <c r="B368" s="48" t="inlineStr">
        <is>
          <t>Mechanical Engineer</t>
        </is>
      </c>
      <c r="C368" s="48" t="inlineStr">
        <is>
          <t>Aaryan Hr Solutions</t>
        </is>
      </c>
      <c r="D368" s="48" t="inlineStr">
        <is>
          <t>Pune</t>
        </is>
      </c>
      <c r="E368" s="48" t="inlineStr">
        <is>
          <t>Manufacturing &amp; Engineering</t>
        </is>
      </c>
      <c r="F368" s="48" t="inlineStr">
        <is>
          <t>Entry Level (0-2 yrs)</t>
        </is>
      </c>
      <c r="G368" s="48" t="inlineStr">
        <is>
          <t>Full-time</t>
        </is>
      </c>
      <c r="H368" s="48" t="inlineStr">
        <is>
          <t>On-site</t>
        </is>
      </c>
      <c r="I368" s="49" t="n">
        <v>2.5</v>
      </c>
      <c r="J368" s="49" t="n">
        <v>3.75</v>
      </c>
      <c r="K368" s="48" t="inlineStr">
        <is>
          <t>Quality Control, Mechanical Engineering, Quality, Engineering</t>
        </is>
      </c>
      <c r="L368" s="56" t="n">
        <v>45968</v>
      </c>
    </row>
    <row r="369">
      <c r="A369" s="48" t="inlineStr">
        <is>
          <t>J0115</t>
        </is>
      </c>
      <c r="B369" s="48" t="inlineStr">
        <is>
          <t>Operations Associate - IELTS</t>
        </is>
      </c>
      <c r="C369" s="48" t="inlineStr">
        <is>
          <t>Leap Finance</t>
        </is>
      </c>
      <c r="D369" s="48" t="inlineStr">
        <is>
          <t>Bengaluru</t>
        </is>
      </c>
      <c r="E369" s="48" t="inlineStr">
        <is>
          <t>Sales &amp; Business Development</t>
        </is>
      </c>
      <c r="F369" s="48" t="inlineStr">
        <is>
          <t>Entry Level (0-2 yrs)</t>
        </is>
      </c>
      <c r="G369" s="48" t="inlineStr">
        <is>
          <t>Full-time</t>
        </is>
      </c>
      <c r="H369" s="48" t="inlineStr">
        <is>
          <t>On-site</t>
        </is>
      </c>
      <c r="I369" s="49" t="n"/>
      <c r="J369" s="49" t="n"/>
      <c r="K369" s="48" t="inlineStr">
        <is>
          <t>operations management, data analysis, data analytics, business management</t>
        </is>
      </c>
      <c r="L369" s="56" t="n">
        <v>45968</v>
      </c>
    </row>
    <row r="370">
      <c r="A370" s="48" t="inlineStr">
        <is>
          <t>J0248</t>
        </is>
      </c>
      <c r="B370" s="48" t="inlineStr">
        <is>
          <t>Electrician (Arakkonam, Tamil Nadu)</t>
        </is>
      </c>
      <c r="C370" s="48" t="inlineStr">
        <is>
          <t>THERMAX</t>
        </is>
      </c>
      <c r="D370" s="48" t="inlineStr">
        <is>
          <t>Arakonam</t>
        </is>
      </c>
      <c r="E370" s="48" t="inlineStr">
        <is>
          <t>Other / General Business</t>
        </is>
      </c>
      <c r="F370" s="48" t="inlineStr">
        <is>
          <t>Entry Level (0-2 yrs)</t>
        </is>
      </c>
      <c r="G370" s="48" t="inlineStr">
        <is>
          <t>Full-time</t>
        </is>
      </c>
      <c r="H370" s="48" t="inlineStr">
        <is>
          <t>On-site</t>
        </is>
      </c>
      <c r="I370" s="49" t="n">
        <v>1</v>
      </c>
      <c r="J370" s="49" t="n">
        <v>3.5</v>
      </c>
      <c r="K370" s="48" t="inlineStr">
        <is>
          <t>ETP, Electrician, RO, STP</t>
        </is>
      </c>
      <c r="L370" s="56" t="n">
        <v>45974</v>
      </c>
    </row>
    <row r="371">
      <c r="A371" s="48" t="inlineStr">
        <is>
          <t>J0393</t>
        </is>
      </c>
      <c r="B371" s="48" t="inlineStr">
        <is>
          <t>Guidewire Billing center developer</t>
        </is>
      </c>
      <c r="C371" s="48" t="inlineStr">
        <is>
          <t>PwC Service Delivery Center</t>
        </is>
      </c>
      <c r="D371" s="48" t="inlineStr">
        <is>
          <t>Hyderabad</t>
        </is>
      </c>
      <c r="E371" s="48" t="inlineStr">
        <is>
          <t>IT / Software</t>
        </is>
      </c>
      <c r="F371" s="48" t="inlineStr">
        <is>
          <t>Entry Level (0-2 yrs)</t>
        </is>
      </c>
      <c r="G371" s="48" t="inlineStr">
        <is>
          <t>Full-time</t>
        </is>
      </c>
      <c r="H371" s="48" t="inlineStr">
        <is>
          <t>Hybrid</t>
        </is>
      </c>
      <c r="I371" s="49" t="n">
        <v>1.5</v>
      </c>
      <c r="J371" s="49" t="n">
        <v>6.5</v>
      </c>
      <c r="K371" s="48" t="inlineStr">
        <is>
          <t>Billing Center, Guidewire, Billing Center Development, Gosu</t>
        </is>
      </c>
      <c r="L371" s="56" t="n">
        <v>45969</v>
      </c>
    </row>
    <row r="372">
      <c r="A372" s="48" t="inlineStr">
        <is>
          <t>J0109</t>
        </is>
      </c>
      <c r="B372" s="48" t="inlineStr">
        <is>
          <t>Quality Engineer</t>
        </is>
      </c>
      <c r="C372" s="48" t="inlineStr">
        <is>
          <t>Kalco Alu Systems</t>
        </is>
      </c>
      <c r="D372" s="48" t="inlineStr">
        <is>
          <t>Ghaziabad</t>
        </is>
      </c>
      <c r="E372" s="48" t="inlineStr">
        <is>
          <t>Manufacturing &amp; Engineering</t>
        </is>
      </c>
      <c r="F372" s="48" t="inlineStr">
        <is>
          <t>Entry Level (0-2 yrs)</t>
        </is>
      </c>
      <c r="G372" s="48" t="inlineStr">
        <is>
          <t>Full-time</t>
        </is>
      </c>
      <c r="H372" s="48" t="inlineStr">
        <is>
          <t>On-site</t>
        </is>
      </c>
      <c r="I372" s="49" t="n"/>
      <c r="J372" s="49" t="n"/>
      <c r="K372" s="48" t="inlineStr">
        <is>
          <t>qc, quality engineering, quality check, team management</t>
        </is>
      </c>
      <c r="L372" s="56" t="n">
        <v>45966</v>
      </c>
    </row>
    <row r="373">
      <c r="A373" s="48" t="inlineStr">
        <is>
          <t>J0220</t>
        </is>
      </c>
      <c r="B373" s="48" t="inlineStr">
        <is>
          <t>Pre-Primary / Primary Teacher - Pune</t>
        </is>
      </c>
      <c r="C373" s="48" t="inlineStr">
        <is>
          <t>Velociter Solutions</t>
        </is>
      </c>
      <c r="D373" s="48" t="inlineStr">
        <is>
          <t>Pune</t>
        </is>
      </c>
      <c r="E373" s="48" t="inlineStr">
        <is>
          <t>Education &amp; Training</t>
        </is>
      </c>
      <c r="F373" s="48" t="inlineStr">
        <is>
          <t>Mid Level (3-6 yrs)</t>
        </is>
      </c>
      <c r="G373" s="48" t="inlineStr">
        <is>
          <t>Full-time</t>
        </is>
      </c>
      <c r="H373" s="48" t="inlineStr">
        <is>
          <t>On-site</t>
        </is>
      </c>
      <c r="I373" s="49" t="n">
        <v>2.4</v>
      </c>
      <c r="J373" s="49" t="n">
        <v>6</v>
      </c>
      <c r="K373" s="48" t="inlineStr">
        <is>
          <t>Teacher, Teaching, School, Education</t>
        </is>
      </c>
      <c r="L373" s="56" t="n">
        <v>45973</v>
      </c>
    </row>
    <row r="374">
      <c r="A374" s="48" t="inlineStr">
        <is>
          <t>J0291</t>
        </is>
      </c>
      <c r="B374" s="48" t="inlineStr">
        <is>
          <t>Collection Executive</t>
        </is>
      </c>
      <c r="C374" s="48" t="inlineStr">
        <is>
          <t>Mahindra Finance</t>
        </is>
      </c>
      <c r="D374" s="48" t="inlineStr">
        <is>
          <t>Vasai</t>
        </is>
      </c>
      <c r="E374" s="48" t="inlineStr">
        <is>
          <t>BFSI (Banking/Finance/Insurance)</t>
        </is>
      </c>
      <c r="F374" s="48" t="inlineStr">
        <is>
          <t>Entry Level (0-2 yrs)</t>
        </is>
      </c>
      <c r="G374" s="48" t="inlineStr">
        <is>
          <t>Full-time</t>
        </is>
      </c>
      <c r="H374" s="48" t="inlineStr">
        <is>
          <t>On-site</t>
        </is>
      </c>
      <c r="I374" s="49" t="n">
        <v>0.5</v>
      </c>
      <c r="J374" s="49" t="n">
        <v>2.25</v>
      </c>
      <c r="K374" s="48" t="inlineStr">
        <is>
          <t>Vehicle Finance, Collections, Debt Collection, Bad Debt</t>
        </is>
      </c>
      <c r="L374" s="56" t="n">
        <v>45976</v>
      </c>
    </row>
    <row r="375">
      <c r="A375" s="48" t="inlineStr">
        <is>
          <t>J0002</t>
        </is>
      </c>
      <c r="B375" s="48" t="inlineStr">
        <is>
          <t>Director, CX Technology Delivery</t>
        </is>
      </c>
      <c r="C375" s="48" t="inlineStr">
        <is>
          <t>Conduent</t>
        </is>
      </c>
      <c r="D375" s="48" t="inlineStr">
        <is>
          <t>BENGALURU</t>
        </is>
      </c>
      <c r="E375" s="48" t="inlineStr">
        <is>
          <t>IT / Software</t>
        </is>
      </c>
      <c r="F375" s="48" t="inlineStr">
        <is>
          <t>Senior Level (7+ yrs)</t>
        </is>
      </c>
      <c r="G375" s="48" t="inlineStr">
        <is>
          <t>Full-time</t>
        </is>
      </c>
      <c r="H375" s="48" t="inlineStr">
        <is>
          <t>On-site</t>
        </is>
      </c>
      <c r="I375" s="49" t="n"/>
      <c r="J375" s="49" t="n"/>
      <c r="K375" s="48" t="inlineStr">
        <is>
          <t>software development, artificial intelligence, system integration, cloud architecture</t>
        </is>
      </c>
      <c r="L375" s="56" t="n">
        <v>45967</v>
      </c>
    </row>
    <row r="376">
      <c r="A376" s="48" t="inlineStr">
        <is>
          <t>J0329</t>
        </is>
      </c>
      <c r="B376" s="48" t="inlineStr">
        <is>
          <t>Immediate Hiring - Channel Sales Manager | On roll | CTC- Upto 4.25LPA</t>
        </is>
      </c>
      <c r="C376" s="48" t="inlineStr">
        <is>
          <t>Supro Consulting</t>
        </is>
      </c>
      <c r="D376" s="48" t="inlineStr">
        <is>
          <t>Kalyani</t>
        </is>
      </c>
      <c r="E376" s="48" t="inlineStr">
        <is>
          <t>IT / Software</t>
        </is>
      </c>
      <c r="F376" s="48" t="inlineStr">
        <is>
          <t>Entry Level (0-2 yrs)</t>
        </is>
      </c>
      <c r="G376" s="48" t="inlineStr">
        <is>
          <t>Full-time</t>
        </is>
      </c>
      <c r="H376" s="48" t="inlineStr">
        <is>
          <t>On-site</t>
        </is>
      </c>
      <c r="I376" s="49" t="n">
        <v>3.25</v>
      </c>
      <c r="J376" s="49" t="n">
        <v>4.25</v>
      </c>
      <c r="K376" s="48" t="inlineStr">
        <is>
          <t>Sales, Retail Sales, B2C Sales, Life Insurance</t>
        </is>
      </c>
      <c r="L376" s="56" t="n">
        <v>45976</v>
      </c>
    </row>
    <row r="377">
      <c r="A377" s="48" t="inlineStr">
        <is>
          <t>J0041</t>
        </is>
      </c>
      <c r="B377" s="48" t="inlineStr">
        <is>
          <t>Quality Control Manager</t>
        </is>
      </c>
      <c r="C377" s="48" t="inlineStr">
        <is>
          <t>PRO Hr Complete Solutions</t>
        </is>
      </c>
      <c r="D377" s="48" t="inlineStr">
        <is>
          <t>Surat</t>
        </is>
      </c>
      <c r="E377" s="48" t="inlineStr">
        <is>
          <t>Manufacturing &amp; Engineering</t>
        </is>
      </c>
      <c r="F377" s="48" t="inlineStr">
        <is>
          <t>Mid Level (3-6 yrs)</t>
        </is>
      </c>
      <c r="G377" s="48" t="inlineStr">
        <is>
          <t>Full-time</t>
        </is>
      </c>
      <c r="H377" s="48" t="inlineStr">
        <is>
          <t>On-site</t>
        </is>
      </c>
      <c r="I377" s="49" t="n">
        <v>4</v>
      </c>
      <c r="J377" s="49" t="n">
        <v>7</v>
      </c>
      <c r="K377" s="48" t="inlineStr">
        <is>
          <t>Fabrication, Reactors, ASME, Heat Exchangers</t>
        </is>
      </c>
      <c r="L377" s="56" t="n">
        <v>45973</v>
      </c>
    </row>
    <row r="378">
      <c r="A378" s="48" t="inlineStr">
        <is>
          <t>J0025</t>
        </is>
      </c>
      <c r="B378" s="48" t="inlineStr">
        <is>
          <t>Sales Executive</t>
        </is>
      </c>
      <c r="C378" s="48" t="inlineStr">
        <is>
          <t>Spazioliv-space Interior Design Company</t>
        </is>
      </c>
      <c r="D378" s="48" t="inlineStr">
        <is>
          <t>Pune</t>
        </is>
      </c>
      <c r="E378" s="48" t="inlineStr">
        <is>
          <t>Real Estate &amp; Construction</t>
        </is>
      </c>
      <c r="F378" s="48" t="inlineStr">
        <is>
          <t>Entry Level (0-2 yrs)</t>
        </is>
      </c>
      <c r="G378" s="48" t="inlineStr">
        <is>
          <t>Full-time</t>
        </is>
      </c>
      <c r="H378" s="48" t="inlineStr">
        <is>
          <t>On-site</t>
        </is>
      </c>
      <c r="I378" s="49" t="n">
        <v>3</v>
      </c>
      <c r="J378" s="49" t="n">
        <v>4.2</v>
      </c>
      <c r="K378" s="48" t="inlineStr">
        <is>
          <t>English, Marathi, Hindi, Real Estate Sales</t>
        </is>
      </c>
      <c r="L378" s="56" t="n">
        <v>45972</v>
      </c>
    </row>
    <row r="379">
      <c r="A379" s="48" t="inlineStr">
        <is>
          <t>J0262</t>
        </is>
      </c>
      <c r="B379" s="48" t="inlineStr">
        <is>
          <t>Assistant Marketing Manager</t>
        </is>
      </c>
      <c r="C379" s="48" t="inlineStr">
        <is>
          <t xml:space="preserve">  Theia New Consultancy  </t>
        </is>
      </c>
      <c r="D379" s="48" t="inlineStr">
        <is>
          <t>Mumbai</t>
        </is>
      </c>
      <c r="E379" s="48" t="inlineStr">
        <is>
          <t>Marketing &amp; Advertising</t>
        </is>
      </c>
      <c r="F379" s="48" t="inlineStr">
        <is>
          <t>Mid Level (3-6 yrs)</t>
        </is>
      </c>
      <c r="G379" s="48" t="inlineStr">
        <is>
          <t>Full-time</t>
        </is>
      </c>
      <c r="H379" s="48" t="inlineStr">
        <is>
          <t>On-site</t>
        </is>
      </c>
      <c r="I379" s="49" t="n">
        <v>5</v>
      </c>
      <c r="J379" s="49" t="n">
        <v>12</v>
      </c>
      <c r="K379" s="48" t="inlineStr">
        <is>
          <t>Print Ads, newspaper release, Media Planning, Print Media</t>
        </is>
      </c>
      <c r="L379" s="56" t="n">
        <v>45971</v>
      </c>
    </row>
    <row r="380">
      <c r="A380" s="48" t="inlineStr">
        <is>
          <t>J0240</t>
        </is>
      </c>
      <c r="B380" s="48" t="inlineStr">
        <is>
          <t>Senior Relationship Officer</t>
        </is>
      </c>
      <c r="C380" s="48" t="inlineStr">
        <is>
          <t>Talent21</t>
        </is>
      </c>
      <c r="D380" s="48" t="inlineStr">
        <is>
          <t>Nizamabad</t>
        </is>
      </c>
      <c r="E380" s="48" t="inlineStr">
        <is>
          <t>BFSI (Banking/Finance/Insurance)</t>
        </is>
      </c>
      <c r="F380" s="48" t="inlineStr">
        <is>
          <t>Entry Level (0-2 yrs)</t>
        </is>
      </c>
      <c r="G380" s="48" t="inlineStr">
        <is>
          <t>Full-time</t>
        </is>
      </c>
      <c r="H380" s="48" t="inlineStr">
        <is>
          <t>On-site</t>
        </is>
      </c>
      <c r="I380" s="49" t="n">
        <v>1.5</v>
      </c>
      <c r="J380" s="49" t="n">
        <v>3.5</v>
      </c>
      <c r="K380" s="48" t="inlineStr">
        <is>
          <t>Housing Loan, Business Loan, Lap, Gold Loan</t>
        </is>
      </c>
      <c r="L380" s="56" t="n">
        <v>45969</v>
      </c>
    </row>
    <row r="381">
      <c r="A381" s="48" t="inlineStr">
        <is>
          <t>J0145</t>
        </is>
      </c>
      <c r="B381" s="48" t="inlineStr">
        <is>
          <t>Front Office Receptionist</t>
        </is>
      </c>
      <c r="C381" s="48" t="inlineStr">
        <is>
          <t>PRO Hr Complete Solutions</t>
        </is>
      </c>
      <c r="D381" s="48" t="inlineStr">
        <is>
          <t>Jaipur</t>
        </is>
      </c>
      <c r="E381" s="48" t="inlineStr">
        <is>
          <t>Other / General Business</t>
        </is>
      </c>
      <c r="F381" s="48" t="inlineStr">
        <is>
          <t>Entry Level (0-2 yrs)</t>
        </is>
      </c>
      <c r="G381" s="48" t="inlineStr">
        <is>
          <t>Full-time</t>
        </is>
      </c>
      <c r="H381" s="48" t="inlineStr">
        <is>
          <t>On-site</t>
        </is>
      </c>
      <c r="I381" s="49" t="n">
        <v>1.5</v>
      </c>
      <c r="J381" s="49" t="n">
        <v>2.5</v>
      </c>
      <c r="K381" s="48" t="inlineStr">
        <is>
          <t>Receptionist Activities, Telecalling, Front Desk, Outbound Calling</t>
        </is>
      </c>
      <c r="L381" s="56" t="n">
        <v>45974</v>
      </c>
    </row>
    <row r="382">
      <c r="A382" s="48" t="inlineStr">
        <is>
          <t>J0331</t>
        </is>
      </c>
      <c r="B382" s="48" t="inlineStr">
        <is>
          <t>Design Verification Engineer</t>
        </is>
      </c>
      <c r="C382" s="48" t="inlineStr">
        <is>
          <t>Procenter Consulting</t>
        </is>
      </c>
      <c r="D382" s="48" t="inlineStr">
        <is>
          <t>Bengaluru</t>
        </is>
      </c>
      <c r="E382" s="48" t="inlineStr">
        <is>
          <t>Other / General Business</t>
        </is>
      </c>
      <c r="F382" s="48" t="inlineStr">
        <is>
          <t>Senior Level (7+ yrs)</t>
        </is>
      </c>
      <c r="G382" s="48" t="inlineStr">
        <is>
          <t>Full-time</t>
        </is>
      </c>
      <c r="H382" s="48" t="inlineStr">
        <is>
          <t>On-site</t>
        </is>
      </c>
      <c r="I382" s="49" t="n">
        <v>48</v>
      </c>
      <c r="J382" s="49" t="n">
        <v>72</v>
      </c>
      <c r="K382" s="48" t="inlineStr">
        <is>
          <t>Design Verification, Verilog, SOC Verification, System Verilog</t>
        </is>
      </c>
      <c r="L382" s="56" t="n">
        <v>45972</v>
      </c>
    </row>
    <row r="383">
      <c r="A383" s="48" t="inlineStr">
        <is>
          <t>J0129</t>
        </is>
      </c>
      <c r="B383" s="48" t="inlineStr">
        <is>
          <t>Android Developer</t>
        </is>
      </c>
      <c r="C383" s="48" t="inlineStr">
        <is>
          <t>Image Infosystems</t>
        </is>
      </c>
      <c r="D383" s="48" t="inlineStr">
        <is>
          <t>Kochi</t>
        </is>
      </c>
      <c r="E383" s="48" t="inlineStr">
        <is>
          <t>IT / Software</t>
        </is>
      </c>
      <c r="F383" s="48" t="inlineStr">
        <is>
          <t>Entry Level (0-2 yrs)</t>
        </is>
      </c>
      <c r="G383" s="48" t="inlineStr">
        <is>
          <t>Full-time</t>
        </is>
      </c>
      <c r="H383" s="48" t="inlineStr">
        <is>
          <t>On-site</t>
        </is>
      </c>
      <c r="I383" s="49" t="n">
        <v>6</v>
      </c>
      <c r="J383" s="49" t="n">
        <v>8</v>
      </c>
      <c r="K383" s="48" t="inlineStr">
        <is>
          <t>Java, Android Application Development, Android Studio, Kotlin</t>
        </is>
      </c>
      <c r="L383" s="56" t="n">
        <v>45976</v>
      </c>
    </row>
    <row r="384">
      <c r="A384" s="48" t="inlineStr">
        <is>
          <t>J0187</t>
        </is>
      </c>
      <c r="B384" s="48" t="inlineStr">
        <is>
          <t>Domestic BPO - TL/Trainer/QA/QTL/AMQ/AM Operations</t>
        </is>
      </c>
      <c r="C384" s="48" t="inlineStr">
        <is>
          <t>Manthan Manpower Solutions</t>
        </is>
      </c>
      <c r="D384" s="48" t="inlineStr">
        <is>
          <t>Gurugram</t>
        </is>
      </c>
      <c r="E384" s="48" t="inlineStr">
        <is>
          <t>Education &amp; Training</t>
        </is>
      </c>
      <c r="F384" s="48" t="inlineStr">
        <is>
          <t>Mid Level (3-6 yrs)</t>
        </is>
      </c>
      <c r="G384" s="48" t="inlineStr">
        <is>
          <t>Full-time</t>
        </is>
      </c>
      <c r="H384" s="48" t="inlineStr">
        <is>
          <t>On-site</t>
        </is>
      </c>
      <c r="I384" s="49" t="n">
        <v>4</v>
      </c>
      <c r="J384" s="49" t="n">
        <v>9</v>
      </c>
      <c r="K384" s="48" t="inlineStr">
        <is>
          <t>BPO, Domestic, TL, Operations</t>
        </is>
      </c>
      <c r="L384" s="56" t="n">
        <v>45971</v>
      </c>
    </row>
    <row r="385">
      <c r="A385" s="48" t="inlineStr">
        <is>
          <t>J0053</t>
        </is>
      </c>
      <c r="B385" s="48" t="inlineStr">
        <is>
          <t>Senior Desktop Support Engineer</t>
        </is>
      </c>
      <c r="C385" s="48" t="inlineStr">
        <is>
          <t>Aforeserve</t>
        </is>
      </c>
      <c r="D385" s="48" t="inlineStr">
        <is>
          <t>Bengaluru</t>
        </is>
      </c>
      <c r="E385" s="48" t="inlineStr">
        <is>
          <t>Other / General Business</t>
        </is>
      </c>
      <c r="F385" s="48" t="inlineStr">
        <is>
          <t>Mid Level (3-6 yrs)</t>
        </is>
      </c>
      <c r="G385" s="48" t="inlineStr">
        <is>
          <t>Full-time</t>
        </is>
      </c>
      <c r="H385" s="48" t="inlineStr">
        <is>
          <t>On-site</t>
        </is>
      </c>
      <c r="I385" s="49" t="n">
        <v>4</v>
      </c>
      <c r="J385" s="49" t="n">
        <v>4.5</v>
      </c>
      <c r="K385" s="48" t="n"/>
      <c r="L385" s="56" t="n">
        <v>45969</v>
      </c>
    </row>
    <row r="386">
      <c r="A386" s="48" t="inlineStr">
        <is>
          <t>J0356</t>
        </is>
      </c>
      <c r="B386" s="48" t="inlineStr">
        <is>
          <t>Sales Executive</t>
        </is>
      </c>
      <c r="C386" s="48" t="inlineStr">
        <is>
          <t>Talent21</t>
        </is>
      </c>
      <c r="D386" s="48" t="inlineStr">
        <is>
          <t>Hyderabad</t>
        </is>
      </c>
      <c r="E386" s="48" t="inlineStr">
        <is>
          <t>Retail &amp; E-commerce</t>
        </is>
      </c>
      <c r="F386" s="48" t="inlineStr">
        <is>
          <t>Entry Level (0-2 yrs)</t>
        </is>
      </c>
      <c r="G386" s="48" t="inlineStr">
        <is>
          <t>Full-time</t>
        </is>
      </c>
      <c r="H386" s="48" t="inlineStr">
        <is>
          <t>On-site</t>
        </is>
      </c>
      <c r="I386" s="49" t="n">
        <v>0.5</v>
      </c>
      <c r="J386" s="49" t="n">
        <v>3</v>
      </c>
      <c r="K386" s="48" t="inlineStr">
        <is>
          <t>Sanitary Ware, Retail Sales, Retail Channel Sales, Channel sales</t>
        </is>
      </c>
      <c r="L386" s="56" t="n">
        <v>45969</v>
      </c>
    </row>
    <row r="387">
      <c r="A387" s="48" t="inlineStr">
        <is>
          <t>J0246</t>
        </is>
      </c>
      <c r="B387" s="48" t="inlineStr">
        <is>
          <t>Urgent Requirement For PHP WordPress Developer in Noida</t>
        </is>
      </c>
      <c r="C387" s="48" t="inlineStr">
        <is>
          <t>Media Search Group</t>
        </is>
      </c>
      <c r="D387" s="48" t="inlineStr">
        <is>
          <t>Noida</t>
        </is>
      </c>
      <c r="E387" s="48" t="inlineStr">
        <is>
          <t>IT / Software</t>
        </is>
      </c>
      <c r="F387" s="48" t="inlineStr">
        <is>
          <t>Entry Level (0-2 yrs)</t>
        </is>
      </c>
      <c r="G387" s="48" t="inlineStr">
        <is>
          <t>Full-time</t>
        </is>
      </c>
      <c r="H387" s="48" t="inlineStr">
        <is>
          <t>On-site</t>
        </is>
      </c>
      <c r="I387" s="49" t="n">
        <v>1.25</v>
      </c>
      <c r="J387" s="49" t="n">
        <v>3.5</v>
      </c>
      <c r="K387" s="48" t="inlineStr">
        <is>
          <t>Wordpress, Php Wordpress, React.Js, Laravel</t>
        </is>
      </c>
      <c r="L387" s="56" t="n">
        <v>45967</v>
      </c>
    </row>
    <row r="388">
      <c r="A388" s="48" t="inlineStr">
        <is>
          <t>J0261</t>
        </is>
      </c>
      <c r="B388" s="48" t="inlineStr">
        <is>
          <t>Pre Primary Teacher - Mumbai/Navi Mumbai location</t>
        </is>
      </c>
      <c r="C388" s="48" t="inlineStr">
        <is>
          <t>Wunderbar Kids</t>
        </is>
      </c>
      <c r="D388" s="48" t="inlineStr">
        <is>
          <t>Mumbai</t>
        </is>
      </c>
      <c r="E388" s="48" t="inlineStr">
        <is>
          <t>Healthcare &amp; Pharma</t>
        </is>
      </c>
      <c r="F388" s="48" t="inlineStr">
        <is>
          <t>Entry Level (0-2 yrs)</t>
        </is>
      </c>
      <c r="G388" s="48" t="inlineStr">
        <is>
          <t>Full-time</t>
        </is>
      </c>
      <c r="H388" s="48" t="inlineStr">
        <is>
          <t>On-site</t>
        </is>
      </c>
      <c r="I388" s="49" t="n">
        <v>0.6</v>
      </c>
      <c r="J388" s="49" t="n">
        <v>2</v>
      </c>
      <c r="K388" s="48" t="inlineStr">
        <is>
          <t>Pre Primary, Preschool, Phonics, Nursery</t>
        </is>
      </c>
      <c r="L388" s="56" t="n">
        <v>45968</v>
      </c>
    </row>
    <row r="389">
      <c r="A389" s="48" t="inlineStr">
        <is>
          <t>J0424</t>
        </is>
      </c>
      <c r="B389" s="48" t="inlineStr">
        <is>
          <t>Senior Accountant - Export Documentation</t>
        </is>
      </c>
      <c r="C389" s="48" t="inlineStr">
        <is>
          <t>PRO Hr Complete Solutions</t>
        </is>
      </c>
      <c r="D389" s="48" t="inlineStr">
        <is>
          <t>Jaipur</t>
        </is>
      </c>
      <c r="E389" s="48" t="inlineStr">
        <is>
          <t>BFSI (Banking/Finance/Insurance)</t>
        </is>
      </c>
      <c r="F389" s="48" t="inlineStr">
        <is>
          <t>Mid Level (3-6 yrs)</t>
        </is>
      </c>
      <c r="G389" s="48" t="inlineStr">
        <is>
          <t>Full-time</t>
        </is>
      </c>
      <c r="H389" s="48" t="inlineStr">
        <is>
          <t>On-site</t>
        </is>
      </c>
      <c r="I389" s="49" t="n">
        <v>4</v>
      </c>
      <c r="J389" s="49" t="n">
        <v>6</v>
      </c>
      <c r="K389" s="48" t="n"/>
      <c r="L389" s="56" t="n">
        <v>45974</v>
      </c>
    </row>
    <row r="390">
      <c r="A390" s="48" t="inlineStr">
        <is>
          <t>J0279</t>
        </is>
      </c>
      <c r="B390" s="48" t="inlineStr">
        <is>
          <t>Stores Officer - Facade Project Site / Logistics &amp; Inventory Control</t>
        </is>
      </c>
      <c r="C390" s="48" t="inlineStr">
        <is>
          <t>The Search House</t>
        </is>
      </c>
      <c r="D390" s="48" t="inlineStr">
        <is>
          <t>Noida</t>
        </is>
      </c>
      <c r="E390" s="48" t="inlineStr">
        <is>
          <t>IT / Software</t>
        </is>
      </c>
      <c r="F390" s="48" t="inlineStr">
        <is>
          <t>Mid Level (3-6 yrs)</t>
        </is>
      </c>
      <c r="G390" s="48" t="inlineStr">
        <is>
          <t>Full-time</t>
        </is>
      </c>
      <c r="H390" s="48" t="inlineStr">
        <is>
          <t>On-site</t>
        </is>
      </c>
      <c r="I390" s="49" t="n">
        <v>4</v>
      </c>
      <c r="J390" s="49" t="n">
        <v>5</v>
      </c>
      <c r="K390" s="48" t="inlineStr">
        <is>
          <t>SAP MM, Stores, Facade, Building materials</t>
        </is>
      </c>
      <c r="L390" s="56" t="n">
        <v>45973</v>
      </c>
    </row>
    <row r="391">
      <c r="A391" s="48" t="inlineStr">
        <is>
          <t>J0064</t>
        </is>
      </c>
      <c r="B391" s="48" t="inlineStr">
        <is>
          <t>Hiring For - Associate Sales Manager | Ctc upto 4 lpa On Roll</t>
        </is>
      </c>
      <c r="C391" s="48" t="inlineStr">
        <is>
          <t>Supro Consulting</t>
        </is>
      </c>
      <c r="D391" s="48" t="inlineStr">
        <is>
          <t>Udaipur</t>
        </is>
      </c>
      <c r="E391" s="48" t="inlineStr">
        <is>
          <t>IT / Software</t>
        </is>
      </c>
      <c r="F391" s="48" t="inlineStr">
        <is>
          <t>Entry Level (0-2 yrs)</t>
        </is>
      </c>
      <c r="G391" s="48" t="inlineStr">
        <is>
          <t>Full-time</t>
        </is>
      </c>
      <c r="H391" s="48" t="inlineStr">
        <is>
          <t>On-site</t>
        </is>
      </c>
      <c r="I391" s="49" t="n">
        <v>3</v>
      </c>
      <c r="J391" s="49" t="n">
        <v>4</v>
      </c>
      <c r="K391" s="48" t="inlineStr">
        <is>
          <t>sales, Financial Services, B2C Sales, Bfsi Sales</t>
        </is>
      </c>
      <c r="L391" s="56" t="n">
        <v>45969</v>
      </c>
    </row>
    <row r="392">
      <c r="A392" s="48" t="inlineStr">
        <is>
          <t>J0183</t>
        </is>
      </c>
      <c r="B392" s="48" t="inlineStr">
        <is>
          <t>Senior Executive-Health Safety &amp; Environment</t>
        </is>
      </c>
      <c r="C392" s="48" t="inlineStr">
        <is>
          <t>Bureau Veritas Consumer Products Services</t>
        </is>
      </c>
      <c r="D392" s="48" t="inlineStr">
        <is>
          <t>Noida</t>
        </is>
      </c>
      <c r="E392" s="48" t="inlineStr">
        <is>
          <t>BFSI (Banking/Finance/Insurance)</t>
        </is>
      </c>
      <c r="F392" s="48" t="inlineStr">
        <is>
          <t>Mid Level (3-6 yrs)</t>
        </is>
      </c>
      <c r="G392" s="48" t="inlineStr">
        <is>
          <t>Full-time</t>
        </is>
      </c>
      <c r="H392" s="48" t="inlineStr">
        <is>
          <t>On-site</t>
        </is>
      </c>
      <c r="I392" s="49" t="n">
        <v>3.5</v>
      </c>
      <c r="J392" s="49" t="n">
        <v>6</v>
      </c>
      <c r="K392" s="48" t="inlineStr">
        <is>
          <t>Environment Health Safety, Safety Management, EHS Management, Hazard Identification</t>
        </is>
      </c>
      <c r="L392" s="56" t="n">
        <v>45974</v>
      </c>
    </row>
    <row r="393">
      <c r="A393" s="48" t="inlineStr">
        <is>
          <t>J0417</t>
        </is>
      </c>
      <c r="B393" s="48" t="inlineStr">
        <is>
          <t>Senior Engineer Site Reliability</t>
        </is>
      </c>
      <c r="C393" s="48" t="inlineStr">
        <is>
          <t>Sequence Cloud Gateway</t>
        </is>
      </c>
      <c r="D393" s="48" t="inlineStr">
        <is>
          <t>Hyderabad</t>
        </is>
      </c>
      <c r="E393" s="48" t="inlineStr">
        <is>
          <t>IT / Software</t>
        </is>
      </c>
      <c r="F393" s="48" t="inlineStr">
        <is>
          <t>Mid Level (3-6 yrs)</t>
        </is>
      </c>
      <c r="G393" s="48" t="inlineStr">
        <is>
          <t>Full-time</t>
        </is>
      </c>
      <c r="H393" s="48" t="inlineStr">
        <is>
          <t>On-site</t>
        </is>
      </c>
      <c r="I393" s="49" t="n">
        <v>20</v>
      </c>
      <c r="J393" s="49" t="n">
        <v>35</v>
      </c>
      <c r="K393" s="48" t="inlineStr">
        <is>
          <t>Prometheus, Aws Cloudformation, Reliability Engineering, Scalability</t>
        </is>
      </c>
      <c r="L393" s="56" t="n">
        <v>45976</v>
      </c>
    </row>
    <row r="394">
      <c r="A394" s="48" t="inlineStr">
        <is>
          <t>J0206</t>
        </is>
      </c>
      <c r="B394" s="48" t="inlineStr">
        <is>
          <t>Sr. Accountant (Banking Profile)</t>
        </is>
      </c>
      <c r="C394" s="48" t="inlineStr">
        <is>
          <t>E-homes Infrastructure</t>
        </is>
      </c>
      <c r="D394" s="48" t="inlineStr">
        <is>
          <t>Gurugram</t>
        </is>
      </c>
      <c r="E394" s="48" t="inlineStr">
        <is>
          <t>BFSI (Banking/Finance/Insurance)</t>
        </is>
      </c>
      <c r="F394" s="48" t="inlineStr">
        <is>
          <t>Mid Level (3-6 yrs)</t>
        </is>
      </c>
      <c r="G394" s="48" t="inlineStr">
        <is>
          <t>Full-time</t>
        </is>
      </c>
      <c r="H394" s="48" t="inlineStr">
        <is>
          <t>On-site</t>
        </is>
      </c>
      <c r="I394" s="49" t="n">
        <v>5</v>
      </c>
      <c r="J394" s="49" t="n">
        <v>6</v>
      </c>
      <c r="K394" s="48" t="inlineStr">
        <is>
          <t>Advance Excel, Banking Operation, Payments, Statutory Compliance</t>
        </is>
      </c>
      <c r="L394" s="56" t="n">
        <v>45973</v>
      </c>
    </row>
    <row r="395">
      <c r="A395" s="48" t="inlineStr">
        <is>
          <t>J0059</t>
        </is>
      </c>
      <c r="B395" s="48" t="inlineStr">
        <is>
          <t>Global KYC - Pune (Virtual Drive )</t>
        </is>
      </c>
      <c r="C395" s="48" t="inlineStr">
        <is>
          <t>Kiya.ai</t>
        </is>
      </c>
      <c r="D395" s="48" t="inlineStr">
        <is>
          <t>Pune</t>
        </is>
      </c>
      <c r="E395" s="48" t="inlineStr">
        <is>
          <t>Media &amp; Entertainment</t>
        </is>
      </c>
      <c r="F395" s="48" t="inlineStr">
        <is>
          <t>Mid Level (3-6 yrs)</t>
        </is>
      </c>
      <c r="G395" s="48" t="inlineStr">
        <is>
          <t>Full-time</t>
        </is>
      </c>
      <c r="H395" s="48" t="inlineStr">
        <is>
          <t>On-site</t>
        </is>
      </c>
      <c r="I395" s="49" t="n">
        <v>3.75</v>
      </c>
      <c r="J395" s="49" t="n">
        <v>7.5</v>
      </c>
      <c r="K395" s="48" t="inlineStr">
        <is>
          <t>Corporate Kyc, Global Kyc, Pep, Remediation</t>
        </is>
      </c>
      <c r="L395" s="56" t="n">
        <v>45969</v>
      </c>
    </row>
    <row r="396">
      <c r="A396" s="48" t="inlineStr">
        <is>
          <t>J0142</t>
        </is>
      </c>
      <c r="B396" s="48" t="inlineStr">
        <is>
          <t>Senior Software Engineer- Full stack</t>
        </is>
      </c>
      <c r="C396" s="48" t="inlineStr">
        <is>
          <t>Clarivate</t>
        </is>
      </c>
      <c r="D396" s="48" t="inlineStr">
        <is>
          <t>Bengaluru</t>
        </is>
      </c>
      <c r="E396" s="48" t="inlineStr">
        <is>
          <t>IT / Software</t>
        </is>
      </c>
      <c r="F396" s="48" t="inlineStr">
        <is>
          <t>Mid Level (3-6 yrs)</t>
        </is>
      </c>
      <c r="G396" s="48" t="inlineStr">
        <is>
          <t>Full-time</t>
        </is>
      </c>
      <c r="H396" s="48" t="inlineStr">
        <is>
          <t>Hybrid</t>
        </is>
      </c>
      <c r="I396" s="49" t="n"/>
      <c r="J396" s="49" t="n"/>
      <c r="K396" s="48" t="inlineStr">
        <is>
          <t>spring, java, rest, junit</t>
        </is>
      </c>
      <c r="L396" s="56" t="n">
        <v>45972</v>
      </c>
    </row>
    <row r="397">
      <c r="A397" s="48" t="inlineStr">
        <is>
          <t>J0361</t>
        </is>
      </c>
      <c r="B397" s="48" t="inlineStr">
        <is>
          <t>Aviation Trainer - Infantry</t>
        </is>
      </c>
      <c r="C397" s="48" t="inlineStr">
        <is>
          <t>Frankfinn</t>
        </is>
      </c>
      <c r="D397" s="48" t="inlineStr">
        <is>
          <t>Bengaluru</t>
        </is>
      </c>
      <c r="E397" s="48" t="inlineStr">
        <is>
          <t>Education &amp; Training</t>
        </is>
      </c>
      <c r="F397" s="48" t="inlineStr">
        <is>
          <t>Senior Level (7+ yrs)</t>
        </is>
      </c>
      <c r="G397" s="48" t="inlineStr">
        <is>
          <t>Full-time</t>
        </is>
      </c>
      <c r="H397" s="48" t="inlineStr">
        <is>
          <t>On-site</t>
        </is>
      </c>
      <c r="I397" s="49" t="n">
        <v>5.5</v>
      </c>
      <c r="J397" s="49" t="n">
        <v>7.5</v>
      </c>
      <c r="K397" s="48" t="inlineStr">
        <is>
          <t>cabin crew activities, ground staff activities, aircraft, customer service</t>
        </is>
      </c>
      <c r="L397" s="56" t="n">
        <v>45972</v>
      </c>
    </row>
    <row r="398">
      <c r="A398" s="48" t="inlineStr">
        <is>
          <t>J0050</t>
        </is>
      </c>
      <c r="B398" s="48" t="inlineStr">
        <is>
          <t>Production and Support Engineer</t>
        </is>
      </c>
      <c r="C398" s="48" t="inlineStr">
        <is>
          <t>Cloudxtreme</t>
        </is>
      </c>
      <c r="D398" s="48" t="inlineStr">
        <is>
          <t>Hyderabad</t>
        </is>
      </c>
      <c r="E398" s="48" t="inlineStr">
        <is>
          <t>IT / Software</t>
        </is>
      </c>
      <c r="F398" s="48" t="inlineStr">
        <is>
          <t>Mid Level (3-6 yrs)</t>
        </is>
      </c>
      <c r="G398" s="48" t="inlineStr">
        <is>
          <t>Full-time</t>
        </is>
      </c>
      <c r="H398" s="48" t="inlineStr">
        <is>
          <t>On-site</t>
        </is>
      </c>
      <c r="I398" s="49" t="n">
        <v>5</v>
      </c>
      <c r="J398" s="49" t="n">
        <v>15</v>
      </c>
      <c r="K398" s="48" t="inlineStr">
        <is>
          <t>Unix, Java, L2, SQL</t>
        </is>
      </c>
      <c r="L398" s="56" t="n">
        <v>45972</v>
      </c>
    </row>
    <row r="399">
      <c r="A399" s="48" t="inlineStr">
        <is>
          <t>J0313</t>
        </is>
      </c>
      <c r="B399" s="48" t="inlineStr">
        <is>
          <t>Technical Support Engineer</t>
        </is>
      </c>
      <c r="C399" s="48" t="inlineStr">
        <is>
          <t>Ghrs Training</t>
        </is>
      </c>
      <c r="D399" s="48" t="inlineStr">
        <is>
          <t>Hyderabad</t>
        </is>
      </c>
      <c r="E399" s="48" t="inlineStr">
        <is>
          <t>Other / General Business</t>
        </is>
      </c>
      <c r="F399" s="48" t="inlineStr">
        <is>
          <t>Entry Level (0-2 yrs)</t>
        </is>
      </c>
      <c r="G399" s="48" t="inlineStr">
        <is>
          <t>Full-time</t>
        </is>
      </c>
      <c r="H399" s="48" t="inlineStr">
        <is>
          <t>On-site</t>
        </is>
      </c>
      <c r="I399" s="49" t="n">
        <v>4</v>
      </c>
      <c r="J399" s="49" t="n">
        <v>5.5</v>
      </c>
      <c r="K399" s="48" t="inlineStr">
        <is>
          <t>VOICE, Service Desk, OS Installation, Windows OS</t>
        </is>
      </c>
      <c r="L399" s="56" t="n">
        <v>45968</v>
      </c>
    </row>
    <row r="400">
      <c r="A400" s="48" t="inlineStr">
        <is>
          <t>J0209</t>
        </is>
      </c>
      <c r="B400" s="48" t="inlineStr">
        <is>
          <t>Asst. Manager Accounts - GST, TDS, Payroll, Accounting &amp; Compliance</t>
        </is>
      </c>
      <c r="C400" s="48" t="inlineStr">
        <is>
          <t>IntraSoft Technologies</t>
        </is>
      </c>
      <c r="D400" s="48" t="inlineStr">
        <is>
          <t>Kolkata</t>
        </is>
      </c>
      <c r="E400" s="48" t="inlineStr">
        <is>
          <t>BFSI (Banking/Finance/Insurance)</t>
        </is>
      </c>
      <c r="F400" s="48" t="inlineStr">
        <is>
          <t>Entry Level (0-2 yrs)</t>
        </is>
      </c>
      <c r="G400" s="48" t="inlineStr">
        <is>
          <t>Full-time</t>
        </is>
      </c>
      <c r="H400" s="48" t="inlineStr">
        <is>
          <t>On-site</t>
        </is>
      </c>
      <c r="I400" s="49" t="n">
        <v>4</v>
      </c>
      <c r="J400" s="49" t="n">
        <v>6</v>
      </c>
      <c r="K400" s="48" t="inlineStr">
        <is>
          <t>Tally ERP, Excel, Accounting, Gst</t>
        </is>
      </c>
      <c r="L400" s="56" t="n">
        <v>45966</v>
      </c>
    </row>
    <row r="401">
      <c r="A401" s="48" t="inlineStr">
        <is>
          <t>J0138</t>
        </is>
      </c>
      <c r="B401" s="48" t="inlineStr">
        <is>
          <t>Field Sales Executive</t>
        </is>
      </c>
      <c r="C401" s="48" t="inlineStr">
        <is>
          <t>Goodhealth Medtech</t>
        </is>
      </c>
      <c r="D401" s="48" t="inlineStr">
        <is>
          <t>Noida</t>
        </is>
      </c>
      <c r="E401" s="48" t="inlineStr">
        <is>
          <t>Sales &amp; Business Development</t>
        </is>
      </c>
      <c r="F401" s="48" t="n"/>
      <c r="G401" s="48" t="inlineStr">
        <is>
          <t>Full-time</t>
        </is>
      </c>
      <c r="H401" s="48" t="inlineStr">
        <is>
          <t>On-site</t>
        </is>
      </c>
      <c r="I401" s="49" t="n">
        <v>1.8</v>
      </c>
      <c r="J401" s="49" t="n">
        <v>2.16</v>
      </c>
      <c r="K401" s="48" t="inlineStr">
        <is>
          <t>English, Field Sales, Sales executive activities, Field</t>
        </is>
      </c>
      <c r="L401" s="56" t="n">
        <v>45973</v>
      </c>
    </row>
    <row r="402">
      <c r="A402" s="48" t="inlineStr">
        <is>
          <t>J0120</t>
        </is>
      </c>
      <c r="B402" s="48" t="inlineStr">
        <is>
          <t>EDGE Banding Operator</t>
        </is>
      </c>
      <c r="C402" s="48" t="inlineStr">
        <is>
          <t>Millbox Studio Llp</t>
        </is>
      </c>
      <c r="D402" s="48" t="inlineStr">
        <is>
          <t>Kozhikode</t>
        </is>
      </c>
      <c r="E402" s="48" t="inlineStr">
        <is>
          <t>Other / General Business</t>
        </is>
      </c>
      <c r="F402" s="48" t="inlineStr">
        <is>
          <t>Entry Level (0-2 yrs)</t>
        </is>
      </c>
      <c r="G402" s="48" t="inlineStr">
        <is>
          <t>Full-time</t>
        </is>
      </c>
      <c r="H402" s="48" t="inlineStr">
        <is>
          <t>On-site</t>
        </is>
      </c>
      <c r="I402" s="49" t="n">
        <v>2.4</v>
      </c>
      <c r="J402" s="49" t="n">
        <v>3.6</v>
      </c>
      <c r="K402" s="48" t="inlineStr">
        <is>
          <t>Machine Operating, Operating, Machine Setting, Machine</t>
        </is>
      </c>
      <c r="L402" s="56" t="n">
        <v>45973</v>
      </c>
    </row>
    <row r="403">
      <c r="A403" s="48" t="inlineStr">
        <is>
          <t>J0276</t>
        </is>
      </c>
      <c r="B403" s="48" t="inlineStr">
        <is>
          <t>Engineer - Supplier Quality</t>
        </is>
      </c>
      <c r="C403" s="48" t="inlineStr">
        <is>
          <t>Eaton Technologies</t>
        </is>
      </c>
      <c r="D403" s="48" t="inlineStr">
        <is>
          <t>Pune</t>
        </is>
      </c>
      <c r="E403" s="48" t="inlineStr">
        <is>
          <t>Other / General Business</t>
        </is>
      </c>
      <c r="F403" s="48" t="inlineStr">
        <is>
          <t>Mid Level (3-6 yrs)</t>
        </is>
      </c>
      <c r="G403" s="48" t="inlineStr">
        <is>
          <t>Full-time</t>
        </is>
      </c>
      <c r="H403" s="48" t="inlineStr">
        <is>
          <t>On-site</t>
        </is>
      </c>
      <c r="I403" s="49" t="n"/>
      <c r="J403" s="49" t="n"/>
      <c r="K403" s="48" t="inlineStr">
        <is>
          <t>QMS, Poka Yoke, SEM, Gap analysis</t>
        </is>
      </c>
      <c r="L403" s="56" t="n">
        <v>45968</v>
      </c>
    </row>
    <row r="404">
      <c r="A404" s="48" t="inlineStr">
        <is>
          <t>J0396</t>
        </is>
      </c>
      <c r="B404" s="48" t="inlineStr">
        <is>
          <t>Civil Engineer</t>
        </is>
      </c>
      <c r="C404" s="48" t="inlineStr">
        <is>
          <t>HRH Group of Hotels</t>
        </is>
      </c>
      <c r="D404" s="48" t="inlineStr">
        <is>
          <t>Udaipur</t>
        </is>
      </c>
      <c r="E404" s="48" t="inlineStr">
        <is>
          <t>Manufacturing &amp; Engineering</t>
        </is>
      </c>
      <c r="F404" s="48" t="inlineStr">
        <is>
          <t>Mid Level (3-6 yrs)</t>
        </is>
      </c>
      <c r="G404" s="48" t="inlineStr">
        <is>
          <t>Full-time</t>
        </is>
      </c>
      <c r="H404" s="48" t="inlineStr">
        <is>
          <t>On-site</t>
        </is>
      </c>
      <c r="I404" s="49" t="n">
        <v>4.5</v>
      </c>
      <c r="J404" s="49" t="n">
        <v>9.5</v>
      </c>
      <c r="K404" s="48" t="inlineStr">
        <is>
          <t>Civil Engineering, Civil Projects, Civil Maintenance, Construction Management</t>
        </is>
      </c>
      <c r="L404" s="56" t="n">
        <v>45972</v>
      </c>
    </row>
    <row r="405">
      <c r="A405" s="48" t="inlineStr">
        <is>
          <t>J0228</t>
        </is>
      </c>
      <c r="B405" s="48" t="inlineStr">
        <is>
          <t>Hostess/ GRE</t>
        </is>
      </c>
      <c r="C405" s="48" t="inlineStr">
        <is>
          <t>Toscano Restaurants</t>
        </is>
      </c>
      <c r="D405" s="48" t="inlineStr">
        <is>
          <t>Chennai</t>
        </is>
      </c>
      <c r="E405" s="48" t="inlineStr">
        <is>
          <t>Other / General Business</t>
        </is>
      </c>
      <c r="F405" s="48" t="inlineStr">
        <is>
          <t>Entry Level (0-2 yrs)</t>
        </is>
      </c>
      <c r="G405" s="48" t="inlineStr">
        <is>
          <t>Full-time</t>
        </is>
      </c>
      <c r="H405" s="48" t="inlineStr">
        <is>
          <t>On-site</t>
        </is>
      </c>
      <c r="I405" s="49" t="n">
        <v>2</v>
      </c>
      <c r="J405" s="49" t="n">
        <v>3.5</v>
      </c>
      <c r="K405" s="48" t="inlineStr">
        <is>
          <t>Guest Relations, Hostess Activities, Hosting, Guest Service</t>
        </is>
      </c>
      <c r="L405" s="56" t="n">
        <v>45966</v>
      </c>
    </row>
    <row r="406">
      <c r="A406" s="48" t="inlineStr">
        <is>
          <t>J0130</t>
        </is>
      </c>
      <c r="B406" s="48" t="inlineStr">
        <is>
          <t>Performance Marketing Manager</t>
        </is>
      </c>
      <c r="C406" s="48" t="inlineStr">
        <is>
          <t>Premsons Motor Udyog</t>
        </is>
      </c>
      <c r="D406" s="48" t="inlineStr">
        <is>
          <t>Ranchi</t>
        </is>
      </c>
      <c r="E406" s="48" t="inlineStr">
        <is>
          <t>Marketing &amp; Advertising</t>
        </is>
      </c>
      <c r="F406" s="48" t="inlineStr">
        <is>
          <t>Mid Level (3-6 yrs)</t>
        </is>
      </c>
      <c r="G406" s="48" t="inlineStr">
        <is>
          <t>Full-time</t>
        </is>
      </c>
      <c r="H406" s="48" t="inlineStr">
        <is>
          <t>On-site</t>
        </is>
      </c>
      <c r="I406" s="49" t="n">
        <v>3</v>
      </c>
      <c r="J406" s="49" t="n">
        <v>8</v>
      </c>
      <c r="K406" s="48" t="inlineStr">
        <is>
          <t>Performance Marketing Strategy, Paid Advertising Campaigns, Real Estate Marketing, SEM</t>
        </is>
      </c>
      <c r="L406" s="56" t="n">
        <v>45972</v>
      </c>
    </row>
    <row r="407">
      <c r="A407" s="48" t="inlineStr">
        <is>
          <t>J0185</t>
        </is>
      </c>
      <c r="B407" s="48" t="inlineStr">
        <is>
          <t>Sales Associates : Vinove Software (IT Software Company) : Noida - 129</t>
        </is>
      </c>
      <c r="C407" s="48" t="inlineStr">
        <is>
          <t>Vinove Software</t>
        </is>
      </c>
      <c r="D407" s="48" t="inlineStr">
        <is>
          <t>Noida</t>
        </is>
      </c>
      <c r="E407" s="48" t="inlineStr">
        <is>
          <t>IT / Software</t>
        </is>
      </c>
      <c r="F407" s="48" t="inlineStr">
        <is>
          <t>Entry Level (0-2 yrs)</t>
        </is>
      </c>
      <c r="G407" s="48" t="inlineStr">
        <is>
          <t>Full-time</t>
        </is>
      </c>
      <c r="H407" s="48" t="inlineStr">
        <is>
          <t>On-site</t>
        </is>
      </c>
      <c r="I407" s="49" t="n">
        <v>2.25</v>
      </c>
      <c r="J407" s="49" t="n">
        <v>3</v>
      </c>
      <c r="K407" s="48" t="inlineStr">
        <is>
          <t>IT Sales, Sales, process, business</t>
        </is>
      </c>
      <c r="L407" s="56" t="n">
        <v>45972</v>
      </c>
    </row>
    <row r="408">
      <c r="A408" s="48" t="inlineStr">
        <is>
          <t>J0215</t>
        </is>
      </c>
      <c r="B408" s="48" t="inlineStr">
        <is>
          <t>AR Caller - Physician / Hospital Billing || UPTO 5 LPA</t>
        </is>
      </c>
      <c r="C408" s="48" t="inlineStr">
        <is>
          <t>Axis Services</t>
        </is>
      </c>
      <c r="D408" s="48" t="inlineStr">
        <is>
          <t>Hyderabad</t>
        </is>
      </c>
      <c r="E408" s="48" t="inlineStr">
        <is>
          <t>Healthcare &amp; Pharma</t>
        </is>
      </c>
      <c r="F408" s="48" t="inlineStr">
        <is>
          <t>Entry Level (0-2 yrs)</t>
        </is>
      </c>
      <c r="G408" s="48" t="inlineStr">
        <is>
          <t>Full-time</t>
        </is>
      </c>
      <c r="H408" s="48" t="inlineStr">
        <is>
          <t>On-site</t>
        </is>
      </c>
      <c r="I408" s="49" t="n">
        <v>3.5</v>
      </c>
      <c r="J408" s="49" t="n">
        <v>5</v>
      </c>
      <c r="K408" s="48" t="inlineStr">
        <is>
          <t>Revenue Cycle Management, ubo4, US Healthcare, ar calling</t>
        </is>
      </c>
      <c r="L408" s="56" t="n">
        <v>45972</v>
      </c>
    </row>
    <row r="409">
      <c r="A409" s="48" t="inlineStr">
        <is>
          <t>J0275</t>
        </is>
      </c>
      <c r="B409" s="48" t="inlineStr">
        <is>
          <t>HR Generalist</t>
        </is>
      </c>
      <c r="C409" s="48" t="inlineStr">
        <is>
          <t>PRO Hr Complete Solutions</t>
        </is>
      </c>
      <c r="D409" s="48" t="inlineStr">
        <is>
          <t>Kolkata</t>
        </is>
      </c>
      <c r="E409" s="48" t="inlineStr">
        <is>
          <t>HR &amp; Staffing</t>
        </is>
      </c>
      <c r="F409" s="48" t="inlineStr">
        <is>
          <t>Entry Level (0-2 yrs)</t>
        </is>
      </c>
      <c r="G409" s="48" t="inlineStr">
        <is>
          <t>Full-time</t>
        </is>
      </c>
      <c r="H409" s="48" t="inlineStr">
        <is>
          <t>On-site</t>
        </is>
      </c>
      <c r="I409" s="49" t="n">
        <v>3</v>
      </c>
      <c r="J409" s="49" t="n">
        <v>4.5</v>
      </c>
      <c r="K409" s="48" t="inlineStr">
        <is>
          <t>Recruitment, Induction Program, Grievance Handling, Administration</t>
        </is>
      </c>
      <c r="L409" s="56" t="n">
        <v>45973</v>
      </c>
    </row>
    <row r="410">
      <c r="A410" s="48" t="inlineStr">
        <is>
          <t>J0013</t>
        </is>
      </c>
      <c r="B410" s="48" t="inlineStr">
        <is>
          <t>Senior Full Stack Developer (SpringBoot, Microservice &amp; React JS)</t>
        </is>
      </c>
      <c r="C410" s="48" t="inlineStr">
        <is>
          <t>Optimum Solutions</t>
        </is>
      </c>
      <c r="D410" s="48" t="inlineStr">
        <is>
          <t>Chennai</t>
        </is>
      </c>
      <c r="E410" s="48" t="inlineStr">
        <is>
          <t>IT / Software</t>
        </is>
      </c>
      <c r="F410" s="48" t="inlineStr">
        <is>
          <t>Mid Level (3-6 yrs)</t>
        </is>
      </c>
      <c r="G410" s="48" t="inlineStr">
        <is>
          <t>Full-time</t>
        </is>
      </c>
      <c r="H410" s="48" t="inlineStr">
        <is>
          <t>On-site</t>
        </is>
      </c>
      <c r="I410" s="49" t="n">
        <v>20</v>
      </c>
      <c r="J410" s="49" t="n">
        <v>35</v>
      </c>
      <c r="K410" s="48" t="inlineStr">
        <is>
          <t>Microservice, SpringBoot, React JS, Typescript</t>
        </is>
      </c>
      <c r="L410" s="56" t="n">
        <v>45966</v>
      </c>
    </row>
    <row r="411">
      <c r="A411" s="48" t="inlineStr">
        <is>
          <t>J0121</t>
        </is>
      </c>
      <c r="B411" s="48" t="inlineStr">
        <is>
          <t>Associate Agency Development Manager</t>
        </is>
      </c>
      <c r="C411" s="48" t="inlineStr">
        <is>
          <t>Axis Max Life Insurance</t>
        </is>
      </c>
      <c r="D411" s="48" t="inlineStr">
        <is>
          <t>Hosur</t>
        </is>
      </c>
      <c r="E411" s="48" t="inlineStr">
        <is>
          <t>BFSI (Banking/Finance/Insurance)</t>
        </is>
      </c>
      <c r="F411" s="48" t="inlineStr">
        <is>
          <t>Entry Level (0-2 yrs)</t>
        </is>
      </c>
      <c r="G411" s="48" t="inlineStr">
        <is>
          <t>Full-time</t>
        </is>
      </c>
      <c r="H411" s="48" t="inlineStr">
        <is>
          <t>On-site</t>
        </is>
      </c>
      <c r="I411" s="49" t="n">
        <v>2</v>
      </c>
      <c r="J411" s="49" t="n">
        <v>4</v>
      </c>
      <c r="K411" s="48" t="inlineStr">
        <is>
          <t>Agency Sales, Sales, Agent Recruitment, Prospecting</t>
        </is>
      </c>
      <c r="L411" s="56" t="n">
        <v>45973</v>
      </c>
    </row>
    <row r="412">
      <c r="A412" s="48" t="inlineStr">
        <is>
          <t>J0381</t>
        </is>
      </c>
      <c r="B412" s="48" t="inlineStr">
        <is>
          <t>Bank of india (inbound Process) || Customer Service ...Apply Now !</t>
        </is>
      </c>
      <c r="C412" s="48" t="inlineStr">
        <is>
          <t>Conneqt</t>
        </is>
      </c>
      <c r="D412" s="48" t="inlineStr">
        <is>
          <t>Thane</t>
        </is>
      </c>
      <c r="E412" s="48" t="inlineStr">
        <is>
          <t>BFSI (Banking/Finance/Insurance)</t>
        </is>
      </c>
      <c r="F412" s="48" t="inlineStr">
        <is>
          <t>Entry Level (0-2 yrs)</t>
        </is>
      </c>
      <c r="G412" s="48" t="inlineStr">
        <is>
          <t>Full-time</t>
        </is>
      </c>
      <c r="H412" s="48" t="inlineStr">
        <is>
          <t>On-site</t>
        </is>
      </c>
      <c r="I412" s="49" t="n">
        <v>1.25</v>
      </c>
      <c r="J412" s="49" t="n">
        <v>3.75</v>
      </c>
      <c r="K412" s="48" t="inlineStr">
        <is>
          <t>Inbound Process, Customer Service, Banking Process, Voice Process</t>
        </is>
      </c>
      <c r="L412" s="56" t="n">
        <v>45972</v>
      </c>
    </row>
    <row r="413">
      <c r="A413" s="48" t="inlineStr">
        <is>
          <t>J0235</t>
        </is>
      </c>
      <c r="B413" s="48" t="inlineStr">
        <is>
          <t>Quality Head- Sheet Metal</t>
        </is>
      </c>
      <c r="C413" s="48" t="inlineStr">
        <is>
          <t>Daksh Manpower And Management Services</t>
        </is>
      </c>
      <c r="D413" s="48" t="inlineStr">
        <is>
          <t>Ghaziabad</t>
        </is>
      </c>
      <c r="E413" s="48" t="inlineStr">
        <is>
          <t>Other / General Business</t>
        </is>
      </c>
      <c r="F413" s="48" t="inlineStr">
        <is>
          <t>Senior Level (7+ yrs)</t>
        </is>
      </c>
      <c r="G413" s="48" t="inlineStr">
        <is>
          <t>Full-time</t>
        </is>
      </c>
      <c r="H413" s="48" t="inlineStr">
        <is>
          <t>On-site</t>
        </is>
      </c>
      <c r="I413" s="49" t="n">
        <v>5</v>
      </c>
      <c r="J413" s="49" t="n">
        <v>7</v>
      </c>
      <c r="K413" s="48" t="inlineStr">
        <is>
          <t>Welding, Iatf, Sheet Metal, Vernier Caliper</t>
        </is>
      </c>
      <c r="L413" s="56" t="n">
        <v>45969</v>
      </c>
    </row>
    <row r="414">
      <c r="A414" s="48" t="inlineStr">
        <is>
          <t>J0319</t>
        </is>
      </c>
      <c r="B414" s="48" t="inlineStr">
        <is>
          <t>Sales Executive</t>
        </is>
      </c>
      <c r="C414" s="48" t="inlineStr">
        <is>
          <t>PRO Hr Complete Solutions</t>
        </is>
      </c>
      <c r="D414" s="48" t="inlineStr">
        <is>
          <t>Hyderabad</t>
        </is>
      </c>
      <c r="E414" s="48" t="inlineStr">
        <is>
          <t>Sales &amp; Business Development</t>
        </is>
      </c>
      <c r="F414" s="48" t="inlineStr">
        <is>
          <t>Entry Level (0-2 yrs)</t>
        </is>
      </c>
      <c r="G414" s="48" t="inlineStr">
        <is>
          <t>Full-time</t>
        </is>
      </c>
      <c r="H414" s="48" t="inlineStr">
        <is>
          <t>On-site</t>
        </is>
      </c>
      <c r="I414" s="49" t="n">
        <v>2.25</v>
      </c>
      <c r="J414" s="49" t="n">
        <v>3.5</v>
      </c>
      <c r="K414" s="48" t="inlineStr">
        <is>
          <t>Good English Communication, Sales, Negotiation, Relationship Building</t>
        </is>
      </c>
      <c r="L414" s="56" t="n">
        <v>45974</v>
      </c>
    </row>
    <row r="415">
      <c r="A415" s="48" t="inlineStr">
        <is>
          <t>J0188</t>
        </is>
      </c>
      <c r="B415" s="48" t="inlineStr">
        <is>
          <t>Senior E-Commerce Manager: UK Health MNC, Panchkula</t>
        </is>
      </c>
      <c r="C415" s="48" t="inlineStr">
        <is>
          <t>Vitonnix UK</t>
        </is>
      </c>
      <c r="D415" s="48" t="inlineStr">
        <is>
          <t>Chandigarh</t>
        </is>
      </c>
      <c r="E415" s="48" t="inlineStr">
        <is>
          <t>Healthcare &amp; Pharma</t>
        </is>
      </c>
      <c r="F415" s="48" t="inlineStr">
        <is>
          <t>Mid Level (3-6 yrs)</t>
        </is>
      </c>
      <c r="G415" s="48" t="inlineStr">
        <is>
          <t>Full-time</t>
        </is>
      </c>
      <c r="H415" s="48" t="inlineStr">
        <is>
          <t>On-site</t>
        </is>
      </c>
      <c r="I415" s="49" t="n">
        <v>12</v>
      </c>
      <c r="J415" s="49" t="n">
        <v>19</v>
      </c>
      <c r="K415" s="48" t="inlineStr">
        <is>
          <t>Online Sales, Ecommerce Marketing, Website Sales, Internet Marketing</t>
        </is>
      </c>
      <c r="L415" s="56" t="n">
        <v>45967</v>
      </c>
    </row>
    <row r="416">
      <c r="A416" s="48" t="inlineStr">
        <is>
          <t>J0239</t>
        </is>
      </c>
      <c r="B416" s="48" t="inlineStr">
        <is>
          <t>Analyst , Client Relations</t>
        </is>
      </c>
      <c r="C416" s="48" t="inlineStr">
        <is>
          <t>Connexio</t>
        </is>
      </c>
      <c r="D416" s="48" t="inlineStr">
        <is>
          <t>Hyderabad</t>
        </is>
      </c>
      <c r="E416" s="48" t="inlineStr">
        <is>
          <t>Other / General Business</t>
        </is>
      </c>
      <c r="F416" s="48" t="inlineStr">
        <is>
          <t>Mid Level (3-6 yrs)</t>
        </is>
      </c>
      <c r="G416" s="48" t="inlineStr">
        <is>
          <t>Full-time</t>
        </is>
      </c>
      <c r="H416" s="48" t="inlineStr">
        <is>
          <t>On-site</t>
        </is>
      </c>
      <c r="I416" s="49" t="n">
        <v>12</v>
      </c>
      <c r="J416" s="49" t="n">
        <v>17</v>
      </c>
      <c r="K416" s="48" t="inlineStr">
        <is>
          <t>Power BI, Advanced Excel, Adobe Photoshop and Dreamweaver, Powerpoint</t>
        </is>
      </c>
      <c r="L416" s="56" t="n">
        <v>45969</v>
      </c>
    </row>
    <row r="417">
      <c r="A417" s="48" t="inlineStr">
        <is>
          <t>J0385</t>
        </is>
      </c>
      <c r="B417" s="48" t="inlineStr">
        <is>
          <t>Internationa voice process (fresher &amp; Experience)</t>
        </is>
      </c>
      <c r="C417" s="48" t="inlineStr">
        <is>
          <t>24 7 ai</t>
        </is>
      </c>
      <c r="D417" s="48" t="inlineStr">
        <is>
          <t xml:space="preserve">bengaluru </t>
        </is>
      </c>
      <c r="E417" s="48" t="inlineStr">
        <is>
          <t>Customer Service &amp; BPO</t>
        </is>
      </c>
      <c r="F417" s="48" t="inlineStr">
        <is>
          <t>Entry Level (0-2 yrs)</t>
        </is>
      </c>
      <c r="G417" s="48" t="inlineStr">
        <is>
          <t>Internship</t>
        </is>
      </c>
      <c r="H417" s="48" t="inlineStr">
        <is>
          <t>On-site</t>
        </is>
      </c>
      <c r="I417" s="49" t="n">
        <v>2.75</v>
      </c>
      <c r="J417" s="49" t="n">
        <v>4.5</v>
      </c>
      <c r="K417" s="48" t="inlineStr">
        <is>
          <t>Customer Support, Customer Relationship, Customer Service, Customer Care</t>
        </is>
      </c>
      <c r="L417" s="56" t="n">
        <v>45974</v>
      </c>
    </row>
    <row r="418">
      <c r="A418" s="48" t="inlineStr">
        <is>
          <t>J0222</t>
        </is>
      </c>
      <c r="B418" s="48" t="inlineStr">
        <is>
          <t>Customer engineer - Onsite Role</t>
        </is>
      </c>
      <c r="C418" s="48" t="inlineStr">
        <is>
          <t xml:space="preserve">  NCR Corporation  </t>
        </is>
      </c>
      <c r="D418" s="48" t="inlineStr">
        <is>
          <t>Bengaluru</t>
        </is>
      </c>
      <c r="E418" s="48" t="inlineStr">
        <is>
          <t>Customer Service &amp; BPO</t>
        </is>
      </c>
      <c r="F418" s="48" t="inlineStr">
        <is>
          <t>Entry Level (0-2 yrs)</t>
        </is>
      </c>
      <c r="G418" s="48" t="inlineStr">
        <is>
          <t>Full-time</t>
        </is>
      </c>
      <c r="H418" s="48" t="inlineStr">
        <is>
          <t>On-site</t>
        </is>
      </c>
      <c r="I418" s="49" t="n"/>
      <c r="J418" s="49" t="n"/>
      <c r="K418" s="48" t="inlineStr">
        <is>
          <t>Communication Skills, fresher, Customer Support, Customer Engineering</t>
        </is>
      </c>
      <c r="L418" s="56" t="n">
        <v>45968</v>
      </c>
    </row>
    <row r="419">
      <c r="A419" s="48" t="inlineStr">
        <is>
          <t>J0418</t>
        </is>
      </c>
      <c r="B419" s="48" t="inlineStr">
        <is>
          <t>Helpdesk Operator Job Openings in SAUDI | GULF</t>
        </is>
      </c>
      <c r="C419" s="48" t="inlineStr">
        <is>
          <t>M Square Technologies</t>
        </is>
      </c>
      <c r="D419" s="48" t="inlineStr">
        <is>
          <t>Chennai</t>
        </is>
      </c>
      <c r="E419" s="48" t="inlineStr">
        <is>
          <t>Manufacturing &amp; Engineering</t>
        </is>
      </c>
      <c r="F419" s="48" t="inlineStr">
        <is>
          <t>Mid Level (3-6 yrs)</t>
        </is>
      </c>
      <c r="G419" s="48" t="inlineStr">
        <is>
          <t>Full-time</t>
        </is>
      </c>
      <c r="H419" s="48" t="inlineStr">
        <is>
          <t>On-site</t>
        </is>
      </c>
      <c r="I419" s="49" t="n">
        <v>6</v>
      </c>
      <c r="J419" s="49" t="n">
        <v>8</v>
      </c>
      <c r="K419" s="48" t="inlineStr">
        <is>
          <t>Helpdesk Operator, Helpdesk Management, Facility Operations, Utility Maintenance</t>
        </is>
      </c>
      <c r="L419" s="56" t="n">
        <v>45976</v>
      </c>
    </row>
    <row r="420">
      <c r="A420" s="48" t="inlineStr">
        <is>
          <t>J0348</t>
        </is>
      </c>
      <c r="B420" s="48" t="inlineStr">
        <is>
          <t>Frontend Developer (Male)</t>
        </is>
      </c>
      <c r="C420" s="48" t="inlineStr">
        <is>
          <t>Xtecglobal</t>
        </is>
      </c>
      <c r="D420" s="48" t="inlineStr">
        <is>
          <t>Mohali</t>
        </is>
      </c>
      <c r="E420" s="48" t="inlineStr">
        <is>
          <t>IT / Software</t>
        </is>
      </c>
      <c r="F420" s="48" t="inlineStr">
        <is>
          <t>Entry Level (0-2 yrs)</t>
        </is>
      </c>
      <c r="G420" s="48" t="inlineStr">
        <is>
          <t>Full-time</t>
        </is>
      </c>
      <c r="H420" s="48" t="inlineStr">
        <is>
          <t>On-site</t>
        </is>
      </c>
      <c r="I420" s="49" t="n"/>
      <c r="J420" s="49" t="n"/>
      <c r="K420" s="48" t="inlineStr">
        <is>
          <t>CSS, Javascript, HTML, Typescript</t>
        </is>
      </c>
      <c r="L420" s="56" t="n">
        <v>45966</v>
      </c>
    </row>
    <row r="421">
      <c r="A421" s="48" t="inlineStr">
        <is>
          <t>J0118</t>
        </is>
      </c>
      <c r="B421" s="48" t="inlineStr">
        <is>
          <t xml:space="preserve">  Marketing Head  </t>
        </is>
      </c>
      <c r="C421" s="48" t="inlineStr">
        <is>
          <t>Total Supply Solutions Pvt Ltd</t>
        </is>
      </c>
      <c r="D421" s="48" t="inlineStr">
        <is>
          <t>Vasai</t>
        </is>
      </c>
      <c r="E421" s="48" t="inlineStr">
        <is>
          <t>Marketing &amp; Advertising</t>
        </is>
      </c>
      <c r="F421" s="48" t="inlineStr">
        <is>
          <t>Entry Level (0-2 yrs)</t>
        </is>
      </c>
      <c r="G421" s="48" t="inlineStr">
        <is>
          <t>Full-time</t>
        </is>
      </c>
      <c r="H421" s="48" t="inlineStr">
        <is>
          <t>On-site</t>
        </is>
      </c>
      <c r="I421" s="49" t="n">
        <v>3</v>
      </c>
      <c r="J421" s="49" t="n">
        <v>4.5</v>
      </c>
      <c r="K421" s="48" t="inlineStr">
        <is>
          <t>1. Strong communication and negotiation skills 2. Lead generation and business development 3. Good command of communication and presentation 4. Market research and competitor analysis 5. Strong knowledge of industrial fasteners and hardware products, Marketing, Generation, Competitor analysis</t>
        </is>
      </c>
      <c r="L421" s="56" t="n">
        <v>45970</v>
      </c>
    </row>
    <row r="422">
      <c r="A422" s="48" t="inlineStr">
        <is>
          <t>J0249</t>
        </is>
      </c>
      <c r="B422" s="48" t="inlineStr">
        <is>
          <t>BPO Telecalling - Outbound Process || Fresher &amp; Exp.</t>
        </is>
      </c>
      <c r="C422" s="48" t="inlineStr">
        <is>
          <t>Altruist</t>
        </is>
      </c>
      <c r="D422" s="48" t="inlineStr">
        <is>
          <t>Pimpri-Chinchwad</t>
        </is>
      </c>
      <c r="E422" s="48" t="inlineStr">
        <is>
          <t>Customer Service &amp; BPO</t>
        </is>
      </c>
      <c r="F422" s="48" t="inlineStr">
        <is>
          <t>Entry Level (0-2 yrs)</t>
        </is>
      </c>
      <c r="G422" s="48" t="inlineStr">
        <is>
          <t>Full-time</t>
        </is>
      </c>
      <c r="H422" s="48" t="inlineStr">
        <is>
          <t>On-site</t>
        </is>
      </c>
      <c r="I422" s="49" t="n">
        <v>1.25</v>
      </c>
      <c r="J422" s="49" t="n">
        <v>3.75</v>
      </c>
      <c r="K422" s="48" t="inlineStr">
        <is>
          <t>BPO, Customer Service, Outbound Process, Sales Process</t>
        </is>
      </c>
      <c r="L422" s="56" t="n">
        <v>45976</v>
      </c>
    </row>
    <row r="423">
      <c r="A423" s="48" t="inlineStr">
        <is>
          <t>J0242</t>
        </is>
      </c>
      <c r="B423" s="48" t="inlineStr">
        <is>
          <t>Safety Officer</t>
        </is>
      </c>
      <c r="C423" s="48" t="inlineStr">
        <is>
          <t>Arvind Limited</t>
        </is>
      </c>
      <c r="D423" s="48" t="inlineStr">
        <is>
          <t>Bengaluru</t>
        </is>
      </c>
      <c r="E423" s="48" t="inlineStr">
        <is>
          <t>BFSI (Banking/Finance/Insurance)</t>
        </is>
      </c>
      <c r="F423" s="48" t="inlineStr">
        <is>
          <t>Entry Level (0-2 yrs)</t>
        </is>
      </c>
      <c r="G423" s="48" t="inlineStr">
        <is>
          <t>Full-time</t>
        </is>
      </c>
      <c r="H423" s="48" t="inlineStr">
        <is>
          <t>On-site</t>
        </is>
      </c>
      <c r="I423" s="49" t="n">
        <v>3</v>
      </c>
      <c r="J423" s="49" t="n">
        <v>4</v>
      </c>
      <c r="K423" s="48" t="inlineStr">
        <is>
          <t>Safety Officer Activities, Garment Manufacturing, Fire Safety, Safety Training</t>
        </is>
      </c>
      <c r="L423" s="56" t="n">
        <v>45970</v>
      </c>
    </row>
    <row r="424">
      <c r="A424" s="48" t="inlineStr">
        <is>
          <t>J0251</t>
        </is>
      </c>
      <c r="B424" s="48" t="inlineStr">
        <is>
          <t>Female Legal Associate, HR Generalist, HR Executive, Corporate Legal</t>
        </is>
      </c>
      <c r="C424" s="48" t="inlineStr">
        <is>
          <t>AKS Websoft Consulting</t>
        </is>
      </c>
      <c r="D424" s="48" t="inlineStr">
        <is>
          <t>Noida</t>
        </is>
      </c>
      <c r="E424" s="48" t="inlineStr">
        <is>
          <t>IT / Software</t>
        </is>
      </c>
      <c r="F424" s="48" t="inlineStr">
        <is>
          <t>Entry Level (0-2 yrs)</t>
        </is>
      </c>
      <c r="G424" s="48" t="inlineStr">
        <is>
          <t>Full-time</t>
        </is>
      </c>
      <c r="H424" s="48" t="inlineStr">
        <is>
          <t>On-site</t>
        </is>
      </c>
      <c r="I424" s="49" t="n">
        <v>1</v>
      </c>
      <c r="J424" s="49" t="n">
        <v>3.5</v>
      </c>
      <c r="K424" s="48" t="inlineStr">
        <is>
          <t>LLB, Legal Advice, Legal, Company Law Matters</t>
        </is>
      </c>
      <c r="L424" s="56" t="n">
        <v>45973</v>
      </c>
    </row>
    <row r="425">
      <c r="A425" s="48" t="inlineStr">
        <is>
          <t>J0297</t>
        </is>
      </c>
      <c r="B425" s="48" t="inlineStr">
        <is>
          <t>Customer Support Executive</t>
        </is>
      </c>
      <c r="C425" s="48" t="inlineStr">
        <is>
          <t>Brillianz Education Group</t>
        </is>
      </c>
      <c r="D425" s="48" t="inlineStr">
        <is>
          <t>Kochi</t>
        </is>
      </c>
      <c r="E425" s="48" t="inlineStr">
        <is>
          <t>Customer Service &amp; BPO</t>
        </is>
      </c>
      <c r="F425" s="48" t="inlineStr">
        <is>
          <t>Entry Level (0-2 yrs)</t>
        </is>
      </c>
      <c r="G425" s="48" t="inlineStr">
        <is>
          <t>Full-time</t>
        </is>
      </c>
      <c r="H425" s="48" t="inlineStr">
        <is>
          <t>On-site</t>
        </is>
      </c>
      <c r="I425" s="49" t="n">
        <v>3</v>
      </c>
      <c r="J425" s="49" t="n">
        <v>4</v>
      </c>
      <c r="K425" s="48" t="inlineStr">
        <is>
          <t>Customer Support, Payment Collection, compliant handling, Payments</t>
        </is>
      </c>
      <c r="L425" s="56" t="n">
        <v>45970</v>
      </c>
    </row>
    <row r="426">
      <c r="A426" s="48" t="inlineStr">
        <is>
          <t>J0060</t>
        </is>
      </c>
      <c r="B426" s="48" t="inlineStr">
        <is>
          <t>Plant / Production Manager</t>
        </is>
      </c>
      <c r="C426" s="48" t="inlineStr">
        <is>
          <t>Samiksa Food</t>
        </is>
      </c>
      <c r="D426" s="48" t="inlineStr">
        <is>
          <t>Mumbai</t>
        </is>
      </c>
      <c r="E426" s="48" t="inlineStr">
        <is>
          <t>Manufacturing &amp; Engineering</t>
        </is>
      </c>
      <c r="F426" s="48" t="inlineStr">
        <is>
          <t>Senior Level (7+ yrs)</t>
        </is>
      </c>
      <c r="G426" s="48" t="inlineStr">
        <is>
          <t>Full-time</t>
        </is>
      </c>
      <c r="H426" s="48" t="inlineStr">
        <is>
          <t>On-site</t>
        </is>
      </c>
      <c r="I426" s="49" t="n">
        <v>4.5</v>
      </c>
      <c r="J426" s="49" t="n">
        <v>7.5</v>
      </c>
      <c r="K426" s="48" t="inlineStr">
        <is>
          <t>Plant, Hygiene Standards, Plant Operations, Food Processing</t>
        </is>
      </c>
      <c r="L426" s="56" t="n">
        <v>45969</v>
      </c>
    </row>
    <row r="427">
      <c r="A427" s="48" t="inlineStr">
        <is>
          <t>J0023</t>
        </is>
      </c>
      <c r="B427" s="48" t="inlineStr">
        <is>
          <t>Junior Interior Designer ( Residential &amp; Commercial )</t>
        </is>
      </c>
      <c r="C427" s="48" t="inlineStr">
        <is>
          <t>Talent Corner Hr Services</t>
        </is>
      </c>
      <c r="D427" s="48" t="inlineStr">
        <is>
          <t>Mumbai</t>
        </is>
      </c>
      <c r="E427" s="48" t="inlineStr">
        <is>
          <t>Other / General Business</t>
        </is>
      </c>
      <c r="F427" s="48" t="inlineStr">
        <is>
          <t>Entry Level (0-2 yrs)</t>
        </is>
      </c>
      <c r="G427" s="48" t="inlineStr">
        <is>
          <t>Full-time</t>
        </is>
      </c>
      <c r="H427" s="48" t="inlineStr">
        <is>
          <t>On-site</t>
        </is>
      </c>
      <c r="I427" s="49" t="n"/>
      <c r="J427" s="49" t="n"/>
      <c r="K427" s="48" t="inlineStr">
        <is>
          <t>Excel, AutoCAD, Vendor Coordination, Photoshop</t>
        </is>
      </c>
      <c r="L427" s="56" t="n">
        <v>45974</v>
      </c>
    </row>
    <row r="428">
      <c r="A428" s="48" t="inlineStr">
        <is>
          <t>J0066</t>
        </is>
      </c>
      <c r="B428" s="48" t="inlineStr">
        <is>
          <t>Senior Manager - RCMS (AR calling,RCMS,Denials Management) Hyderabad</t>
        </is>
      </c>
      <c r="C428" s="48" t="inlineStr">
        <is>
          <t>PwC Service Delivery Center</t>
        </is>
      </c>
      <c r="D428" s="48" t="inlineStr">
        <is>
          <t>Hyderabad</t>
        </is>
      </c>
      <c r="E428" s="48" t="inlineStr">
        <is>
          <t>Healthcare &amp; Pharma</t>
        </is>
      </c>
      <c r="F428" s="48" t="inlineStr">
        <is>
          <t>Senior Level (7+ yrs)</t>
        </is>
      </c>
      <c r="G428" s="48" t="inlineStr">
        <is>
          <t>Full-time</t>
        </is>
      </c>
      <c r="H428" s="48" t="inlineStr">
        <is>
          <t>On-site</t>
        </is>
      </c>
      <c r="I428" s="49" t="n"/>
      <c r="J428" s="49" t="n"/>
      <c r="K428" s="48" t="inlineStr">
        <is>
          <t>denials management, Assistant Manager, RCMS, Ar calling</t>
        </is>
      </c>
      <c r="L428" s="56" t="n">
        <v>45969</v>
      </c>
    </row>
    <row r="429">
      <c r="A429" s="48" t="inlineStr">
        <is>
          <t>J0126</t>
        </is>
      </c>
      <c r="B429" s="48" t="inlineStr">
        <is>
          <t>Operations Team Lead</t>
        </is>
      </c>
      <c r="C429" s="48" t="inlineStr">
        <is>
          <t>Shining Stars Institution &amp; travels</t>
        </is>
      </c>
      <c r="D429" s="48" t="inlineStr">
        <is>
          <t>Lucknow</t>
        </is>
      </c>
      <c r="E429" s="48" t="inlineStr">
        <is>
          <t>Other / General Business</t>
        </is>
      </c>
      <c r="F429" s="48" t="inlineStr">
        <is>
          <t>Entry Level (0-2 yrs)</t>
        </is>
      </c>
      <c r="G429" s="48" t="inlineStr">
        <is>
          <t>Full-time</t>
        </is>
      </c>
      <c r="H429" s="48" t="inlineStr">
        <is>
          <t>On-site</t>
        </is>
      </c>
      <c r="I429" s="49" t="n">
        <v>3</v>
      </c>
      <c r="J429" s="49" t="n">
        <v>4</v>
      </c>
      <c r="K429" s="48" t="inlineStr">
        <is>
          <t>team lead, attrition  control, kpi, operations team lead</t>
        </is>
      </c>
      <c r="L429" s="56" t="n">
        <v>45973</v>
      </c>
    </row>
    <row r="430">
      <c r="A430" s="48" t="inlineStr">
        <is>
          <t>J0407</t>
        </is>
      </c>
      <c r="B430" s="48" t="inlineStr">
        <is>
          <t>Assistant Purchase Manager</t>
        </is>
      </c>
      <c r="C430" s="48" t="inlineStr">
        <is>
          <t>Radha Madhav Ventures</t>
        </is>
      </c>
      <c r="D430" s="48" t="inlineStr">
        <is>
          <t>Mathura</t>
        </is>
      </c>
      <c r="E430" s="48" t="inlineStr">
        <is>
          <t>Logistics &amp; Supply Chain</t>
        </is>
      </c>
      <c r="F430" s="48" t="inlineStr">
        <is>
          <t>Mid Level (3-6 yrs)</t>
        </is>
      </c>
      <c r="G430" s="48" t="inlineStr">
        <is>
          <t>Full-time</t>
        </is>
      </c>
      <c r="H430" s="48" t="inlineStr">
        <is>
          <t>On-site</t>
        </is>
      </c>
      <c r="I430" s="49" t="n">
        <v>5</v>
      </c>
      <c r="J430" s="49" t="n">
        <v>6</v>
      </c>
      <c r="K430" s="48" t="inlineStr">
        <is>
          <t>Purchase Planning, Material Procurement, Purchase Operations, Purchase Vendor Development</t>
        </is>
      </c>
      <c r="L430" s="56" t="n">
        <v>45968</v>
      </c>
    </row>
    <row r="431">
      <c r="A431" s="48" t="inlineStr">
        <is>
          <t>J0252</t>
        </is>
      </c>
      <c r="B431" s="48" t="inlineStr">
        <is>
          <t>Senior Manager - Technology and Software Engineering</t>
        </is>
      </c>
      <c r="C431" s="48" t="inlineStr">
        <is>
          <t>Gratitude India Manpower Consultants Pvt. Ltd.</t>
        </is>
      </c>
      <c r="D431" s="48" t="inlineStr">
        <is>
          <t>Gurugram</t>
        </is>
      </c>
      <c r="E431" s="48" t="inlineStr">
        <is>
          <t>IT / Software</t>
        </is>
      </c>
      <c r="F431" s="48" t="inlineStr">
        <is>
          <t>Senior Level (7+ yrs)</t>
        </is>
      </c>
      <c r="G431" s="48" t="inlineStr">
        <is>
          <t>Full-time</t>
        </is>
      </c>
      <c r="H431" s="48" t="inlineStr">
        <is>
          <t>On-site</t>
        </is>
      </c>
      <c r="I431" s="49" t="n"/>
      <c r="J431" s="49" t="n"/>
      <c r="K431" s="48" t="inlineStr">
        <is>
          <t>it services, version control, technology management, software engineering</t>
        </is>
      </c>
      <c r="L431" s="56" t="n">
        <v>45968</v>
      </c>
    </row>
    <row r="432">
      <c r="A432" s="48" t="inlineStr">
        <is>
          <t>J0057</t>
        </is>
      </c>
      <c r="B432" s="48" t="inlineStr">
        <is>
          <t>Business Development Executive</t>
        </is>
      </c>
      <c r="C432" s="48" t="inlineStr">
        <is>
          <t>Wenger &amp; Watson</t>
        </is>
      </c>
      <c r="D432" s="48" t="inlineStr">
        <is>
          <t>Pune</t>
        </is>
      </c>
      <c r="E432" s="48" t="inlineStr">
        <is>
          <t>HR &amp; Staffing</t>
        </is>
      </c>
      <c r="F432" s="48" t="inlineStr">
        <is>
          <t>Entry Level (0-2 yrs)</t>
        </is>
      </c>
      <c r="G432" s="48" t="inlineStr">
        <is>
          <t>Full-time</t>
        </is>
      </c>
      <c r="H432" s="48" t="inlineStr">
        <is>
          <t>On-site</t>
        </is>
      </c>
      <c r="I432" s="49" t="n">
        <v>1.25</v>
      </c>
      <c r="J432" s="49" t="n">
        <v>3</v>
      </c>
      <c r="K432" s="48" t="inlineStr">
        <is>
          <t>Lead Generation, Business Development, B2B, New Client Acquisition</t>
        </is>
      </c>
      <c r="L432" s="56" t="n">
        <v>45968</v>
      </c>
    </row>
    <row r="433">
      <c r="A433" s="48" t="inlineStr">
        <is>
          <t>J0127</t>
        </is>
      </c>
      <c r="B433" s="48" t="inlineStr">
        <is>
          <t>General Surgeon JOB IN Krishnagiri, Tamilnadu, INDIA</t>
        </is>
      </c>
      <c r="C433" s="48" t="inlineStr">
        <is>
          <t>Migrate Medico</t>
        </is>
      </c>
      <c r="D433" s="48" t="inlineStr">
        <is>
          <t>Krishnagiri</t>
        </is>
      </c>
      <c r="E433" s="48" t="inlineStr">
        <is>
          <t>Other / General Business</t>
        </is>
      </c>
      <c r="F433" s="48" t="inlineStr">
        <is>
          <t>Entry Level (0-2 yrs)</t>
        </is>
      </c>
      <c r="G433" s="48" t="inlineStr">
        <is>
          <t>Full-time</t>
        </is>
      </c>
      <c r="H433" s="48" t="inlineStr">
        <is>
          <t>On-site</t>
        </is>
      </c>
      <c r="I433" s="49" t="n">
        <v>18</v>
      </c>
      <c r="J433" s="49" t="n">
        <v>25</v>
      </c>
      <c r="K433" s="48" t="inlineStr">
        <is>
          <t>MS, DNB, CONSULTANT GENERAL SURGEON, GENERAL SURGEON</t>
        </is>
      </c>
      <c r="L433" s="56" t="n">
        <v>45976</v>
      </c>
    </row>
    <row r="434">
      <c r="A434" s="48" t="inlineStr">
        <is>
          <t>J0349</t>
        </is>
      </c>
      <c r="B434" s="48" t="inlineStr">
        <is>
          <t>Receptionist And Telephone Operator/ Panvel , Navi Mumbai</t>
        </is>
      </c>
      <c r="C434" s="48" t="inlineStr">
        <is>
          <t xml:space="preserve">  Shubhvastu Property  </t>
        </is>
      </c>
      <c r="D434" s="48" t="inlineStr">
        <is>
          <t>Panvel</t>
        </is>
      </c>
      <c r="E434" s="48" t="inlineStr">
        <is>
          <t>Other / General Business</t>
        </is>
      </c>
      <c r="F434" s="48" t="inlineStr">
        <is>
          <t>Entry Level (0-2 yrs)</t>
        </is>
      </c>
      <c r="G434" s="48" t="inlineStr">
        <is>
          <t>Full-time</t>
        </is>
      </c>
      <c r="H434" s="48" t="inlineStr">
        <is>
          <t>On-site</t>
        </is>
      </c>
      <c r="I434" s="49" t="n">
        <v>1.2</v>
      </c>
      <c r="J434" s="49" t="n">
        <v>1.8</v>
      </c>
      <c r="K434" s="48" t="inlineStr">
        <is>
          <t>Computer Knowledge, Receptionist Activities, Computer Operating, Front Office Management</t>
        </is>
      </c>
      <c r="L434" s="56" t="n">
        <v>45966</v>
      </c>
    </row>
    <row r="435">
      <c r="A435" s="48" t="inlineStr">
        <is>
          <t>J0383</t>
        </is>
      </c>
      <c r="B435" s="48" t="inlineStr">
        <is>
          <t>React JS Developer</t>
        </is>
      </c>
      <c r="C435" s="48" t="inlineStr">
        <is>
          <t>Photon</t>
        </is>
      </c>
      <c r="D435" s="48" t="inlineStr">
        <is>
          <t>Chennai</t>
        </is>
      </c>
      <c r="E435" s="48" t="inlineStr">
        <is>
          <t>IT / Software</t>
        </is>
      </c>
      <c r="F435" s="48" t="inlineStr">
        <is>
          <t>Mid Level (3-6 yrs)</t>
        </is>
      </c>
      <c r="G435" s="48" t="inlineStr">
        <is>
          <t>Full-time</t>
        </is>
      </c>
      <c r="H435" s="48" t="inlineStr">
        <is>
          <t>On-site</t>
        </is>
      </c>
      <c r="I435" s="49" t="n">
        <v>10</v>
      </c>
      <c r="J435" s="49" t="n">
        <v>15</v>
      </c>
      <c r="K435" s="48" t="inlineStr">
        <is>
          <t>React Js, Unit Testing, Typescript, Redux</t>
        </is>
      </c>
      <c r="L435" s="56" t="n">
        <v>45968</v>
      </c>
    </row>
  </sheetData>
  <pageMargins left="0.75" right="0.75" top="1" bottom="1" header="0.5" footer="0.5"/>
  <pageSetup orientation="landscape" paperSize="1"/>
  <tableParts count="1">
    <tablePart xmlns:r="http://schemas.openxmlformats.org/officeDocument/2006/relationships" r:id="rId1"/>
  </tableParts>
</worksheet>
</file>

<file path=xl/worksheets/sheet3.xml><?xml version="1.0" encoding="utf-8"?>
<worksheet xmlns="http://schemas.openxmlformats.org/spreadsheetml/2006/main">
  <sheetPr>
    <tabColor rgb="FF1F3864"/>
    <outlinePr summaryBelow="1" summaryRight="1"/>
    <pageSetUpPr fitToPage="1"/>
  </sheetPr>
  <dimension ref="A1:Q444"/>
  <sheetViews>
    <sheetView workbookViewId="0">
      <pane ySplit="10" topLeftCell="A11" activePane="bottomLeft" state="frozen"/>
      <selection activeCell="A1" sqref="A1"/>
      <selection pane="bottomLeft" activeCell="A1" sqref="A1:Q1"/>
    </sheetView>
  </sheetViews>
  <sheetFormatPr baseColWidth="8" defaultColWidth="9" defaultRowHeight="14.5"/>
  <cols>
    <col width="10" customWidth="1" min="1" max="1"/>
    <col width="30" customWidth="1" min="2" max="2"/>
    <col width="24" customWidth="1" min="3" max="3"/>
    <col width="16" customWidth="1" min="4" max="4"/>
    <col width="22" customWidth="1" min="5" max="5"/>
    <col width="20" customWidth="1" min="6" max="6"/>
    <col width="14" customWidth="1" min="7" max="7"/>
    <col width="11" customWidth="1" min="8" max="10"/>
    <col width="34" customWidth="1" min="11" max="11"/>
    <col width="13" customWidth="1" min="12" max="13"/>
    <col width="12" customWidth="1" min="14" max="15"/>
    <col width="20" customWidth="1" min="16" max="16"/>
    <col width="13" customWidth="1" min="17" max="17"/>
  </cols>
  <sheetData>
    <row r="1" ht="22" customHeight="1">
      <c r="A1" s="44" t="inlineStr">
        <is>
          <t>Data Cleaning Steps Applied (see Raw_Data → Cleaned_Data)</t>
        </is>
      </c>
    </row>
    <row r="2">
      <c r="A2" s="50" t="inlineStr">
        <is>
          <t>1. Removed extra spaces from text fields using TRIM.</t>
        </is>
      </c>
    </row>
    <row r="3">
      <c r="A3" s="50" t="inlineStr">
        <is>
          <t>2. Standardized text casing (e.g. job titles) using PROPER.</t>
        </is>
      </c>
    </row>
    <row r="4">
      <c r="A4" s="50" t="inlineStr">
        <is>
          <t>3. Standardized location spellings (Bangalore→Bengaluru, Gurgaon→Gurugram, New Delhi→Delhi) using IF.</t>
        </is>
      </c>
    </row>
    <row r="5">
      <c r="A5" s="50" t="inlineStr">
        <is>
          <t>4. Filled missing Experience_Level and Required_Skills with "Not Specified" using IF, instead of leaving blank cells.</t>
        </is>
      </c>
    </row>
    <row r="6">
      <c r="A6" s="50" t="inlineStr">
        <is>
          <t>5. Checked Salary_Min/Salary_Max are numeric; postings with "Not Disclosed" salary are left blank (excluded automatically from salary averages).</t>
        </is>
      </c>
    </row>
    <row r="7">
      <c r="A7" s="50" t="inlineStr">
        <is>
          <t>6. Flagged duplicate postings (same title, company, location and date) using a COUNTIFS-based Duplicate_Flag column; duplicates are excluded from the Analysis sheet.</t>
        </is>
      </c>
    </row>
    <row r="8">
      <c r="A8" s="50" t="inlineStr">
        <is>
          <t>7. Added calculated columns: Average_Salary, Salary_Range, Posting_Month, and Job_Role_Category (grouping similar job titles using SEARCH + IFS).</t>
        </is>
      </c>
    </row>
    <row r="10" ht="32" customHeight="1">
      <c r="A10" s="51" t="inlineStr">
        <is>
          <t>Job_ID</t>
        </is>
      </c>
      <c r="B10" s="51" t="inlineStr">
        <is>
          <t>Job_Title</t>
        </is>
      </c>
      <c r="C10" s="51" t="inlineStr">
        <is>
          <t>Company</t>
        </is>
      </c>
      <c r="D10" s="51" t="inlineStr">
        <is>
          <t>Location</t>
        </is>
      </c>
      <c r="E10" s="51" t="inlineStr">
        <is>
          <t>Industry</t>
        </is>
      </c>
      <c r="F10" s="51" t="inlineStr">
        <is>
          <t>Experience_Level</t>
        </is>
      </c>
      <c r="G10" s="51" t="inlineStr">
        <is>
          <t>Employment_Type</t>
        </is>
      </c>
      <c r="H10" s="51" t="inlineStr">
        <is>
          <t>Work_Mode</t>
        </is>
      </c>
      <c r="I10" s="51" t="inlineStr">
        <is>
          <t>Salary_Min</t>
        </is>
      </c>
      <c r="J10" s="51" t="inlineStr">
        <is>
          <t>Salary_Max</t>
        </is>
      </c>
      <c r="K10" s="51" t="inlineStr">
        <is>
          <t>Required_Skills</t>
        </is>
      </c>
      <c r="L10" s="51" t="inlineStr">
        <is>
          <t>Posting_Date</t>
        </is>
      </c>
      <c r="M10" s="51" t="inlineStr">
        <is>
          <t>Average_Salary</t>
        </is>
      </c>
      <c r="N10" s="51" t="inlineStr">
        <is>
          <t>Salary_Range</t>
        </is>
      </c>
      <c r="O10" s="51" t="inlineStr">
        <is>
          <t>Posting_Month</t>
        </is>
      </c>
      <c r="P10" s="51" t="inlineStr">
        <is>
          <t>Job_Role_Category</t>
        </is>
      </c>
      <c r="Q10" s="51" t="inlineStr">
        <is>
          <t>Duplicate_Flag</t>
        </is>
      </c>
    </row>
    <row r="11">
      <c r="A11" s="48">
        <f>Raw_Data!A2</f>
        <v/>
      </c>
      <c r="B11" s="48">
        <f>PROPER(TRIM(Raw_Data!B2))</f>
        <v/>
      </c>
      <c r="C11" s="48">
        <f>TRIM(Raw_Data!C2)</f>
        <v/>
      </c>
      <c r="D11" s="48">
        <f>IF(PROPER(TRIM(Raw_Data!D2))="Bangalore","Bengaluru",IF(PROPER(TRIM(Raw_Data!D2))="Gurgaon","Gurugram",IF(OR(PROPER(TRIM(Raw_Data!D2))="New Delhi",PROPER(TRIM(Raw_Data!D2))="Delhi"),"Delhi",PROPER(TRIM(Raw_Data!D2)))))</f>
        <v/>
      </c>
      <c r="E11" s="48">
        <f>Raw_Data!E2</f>
        <v/>
      </c>
      <c r="F11" s="48">
        <f>IF(TRIM(Raw_Data!F2&amp;"")="","Not Specified",Raw_Data!F2)</f>
        <v/>
      </c>
      <c r="G11" s="48">
        <f>Raw_Data!G2</f>
        <v/>
      </c>
      <c r="H11" s="48">
        <f>Raw_Data!H2</f>
        <v/>
      </c>
      <c r="I11" s="49">
        <f>IF(Raw_Data!I2="","",Raw_Data!I2)</f>
        <v/>
      </c>
      <c r="J11" s="49">
        <f>IF(Raw_Data!J2="","",Raw_Data!J2)</f>
        <v/>
      </c>
      <c r="K11" s="48">
        <f>IF(TRIM(Raw_Data!K2&amp;"")="","Not Specified",Raw_Data!K2)</f>
        <v/>
      </c>
      <c r="L11" s="56">
        <f>Raw_Data!L2</f>
        <v/>
      </c>
      <c r="M11" s="49">
        <f>IF(OR(I11="",J11=""),"",(I11+J11)/2)</f>
        <v/>
      </c>
      <c r="N11" s="49">
        <f>IF(OR(I11="",J11=""),"",J11-I11)</f>
        <v/>
      </c>
      <c r="O11" s="48">
        <f>TEXT(L11,"mmm-yyyy")</f>
        <v/>
      </c>
      <c r="P11" s="48">
        <f>_xlfn.IFS(ISNUMBER(SEARCH("data analy",B11)),"Data Analyst",ISNUMBER(SEARCH("business analy",B11)),"Business Analyst",OR(ISNUMBER(SEARCH("developer",B11)),ISNUMBER(SEARCH("software engineer",B11)),ISNUMBER(SEARCH("programmer",B11))),"Software Developer",ISNUMBER(SEARCH("business development",B11)),"Business Development",ISNUMBER(SEARCH("sales",B11)),"Sales Executive",ISNUMBER(SEARCH("marketing",B11)),"Marketing Executive",OR(ISNUMBER(SEARCH("hr ",B11)),ISNUMBER(SEARCH("recruit",B11)),ISNUMBER(SEARCH("human resource",B11))),"HR / Recruiter",OR(ISNUMBER(SEARCH("account",B11)),ISNUMBER(SEARCH("finance",B11)),ISNUMBER(SEARCH("tax",B11)),ISNUMBER(SEARCH("audit",B11))),"Accountant / Finance",OR(ISNUMBER(SEARCH("customer service",B11)),ISNUMBER(SEARCH("customer support",B11)),ISNUMBER(SEARCH("customer care",B11)),ISNUMBER(SEARCH("voice process",B11)),ISNUMBER(SEARCH("bpo",B11))),"Customer Support",ISNUMBER(SEARCH("engineer",B11)),"Engineer (Technical)",ISNUMBER(SEARCH("manager",B11)),"Manager",OR(ISNUMBER(SEARCH("teacher",B11)),ISNUMBER(SEARCH("trainer",B11)),ISNUMBER(SEARCH("faculty",B11))),"Teacher / Trainer",OR(ISNUMBER(SEARCH("doctor",B11)),ISNUMBER(SEARCH("nurse",B11)),ISNUMBER(SEARCH("medical",B11)),ISNUMBER(SEARCH("pharma",B11)),ISNUMBER(SEARCH("clinical",B11))),"Healthcare",TRUE,"Other")</f>
        <v/>
      </c>
      <c r="Q11" s="48">
        <f>IF(COUNTIFS($B$11:B11,B11,$C$11:C11,C11,$D$11:D11,D11,$L$11:L11,L11)&gt;1,"Duplicate","Unique")</f>
        <v/>
      </c>
    </row>
    <row r="12">
      <c r="A12" s="48">
        <f>Raw_Data!A3</f>
        <v/>
      </c>
      <c r="B12" s="48">
        <f>PROPER(TRIM(Raw_Data!B3))</f>
        <v/>
      </c>
      <c r="C12" s="48">
        <f>TRIM(Raw_Data!C3)</f>
        <v/>
      </c>
      <c r="D12" s="48">
        <f>IF(PROPER(TRIM(Raw_Data!D3))="Bangalore","Bengaluru",IF(PROPER(TRIM(Raw_Data!D3))="Gurgaon","Gurugram",IF(OR(PROPER(TRIM(Raw_Data!D3))="New Delhi",PROPER(TRIM(Raw_Data!D3))="Delhi"),"Delhi",PROPER(TRIM(Raw_Data!D3)))))</f>
        <v/>
      </c>
      <c r="E12" s="48">
        <f>Raw_Data!E3</f>
        <v/>
      </c>
      <c r="F12" s="48">
        <f>IF(TRIM(Raw_Data!F3&amp;"")="","Not Specified",Raw_Data!F3)</f>
        <v/>
      </c>
      <c r="G12" s="48">
        <f>Raw_Data!G3</f>
        <v/>
      </c>
      <c r="H12" s="48">
        <f>Raw_Data!H3</f>
        <v/>
      </c>
      <c r="I12" s="49">
        <f>IF(Raw_Data!I3="","",Raw_Data!I3)</f>
        <v/>
      </c>
      <c r="J12" s="49">
        <f>IF(Raw_Data!J3="","",Raw_Data!J3)</f>
        <v/>
      </c>
      <c r="K12" s="48">
        <f>IF(TRIM(Raw_Data!K3&amp;"")="","Not Specified",Raw_Data!K3)</f>
        <v/>
      </c>
      <c r="L12" s="56">
        <f>Raw_Data!L3</f>
        <v/>
      </c>
      <c r="M12" s="49">
        <f>IF(OR(I12="",J12=""),"",(I12+J12)/2)</f>
        <v/>
      </c>
      <c r="N12" s="49">
        <f>IF(OR(I12="",J12=""),"",J12-I12)</f>
        <v/>
      </c>
      <c r="O12" s="48">
        <f>TEXT(L12,"mmm-yyyy")</f>
        <v/>
      </c>
      <c r="P12" s="48">
        <f>_xlfn.IFS(ISNUMBER(SEARCH("data analy",B12)),"Data Analyst",ISNUMBER(SEARCH("business analy",B12)),"Business Analyst",OR(ISNUMBER(SEARCH("developer",B12)),ISNUMBER(SEARCH("software engineer",B12)),ISNUMBER(SEARCH("programmer",B12))),"Software Developer",ISNUMBER(SEARCH("business development",B12)),"Business Development",ISNUMBER(SEARCH("sales",B12)),"Sales Executive",ISNUMBER(SEARCH("marketing",B12)),"Marketing Executive",OR(ISNUMBER(SEARCH("hr ",B12)),ISNUMBER(SEARCH("recruit",B12)),ISNUMBER(SEARCH("human resource",B12))),"HR / Recruiter",OR(ISNUMBER(SEARCH("account",B12)),ISNUMBER(SEARCH("finance",B12)),ISNUMBER(SEARCH("tax",B12)),ISNUMBER(SEARCH("audit",B12))),"Accountant / Finance",OR(ISNUMBER(SEARCH("customer service",B12)),ISNUMBER(SEARCH("customer support",B12)),ISNUMBER(SEARCH("customer care",B12)),ISNUMBER(SEARCH("voice process",B12)),ISNUMBER(SEARCH("bpo",B12))),"Customer Support",ISNUMBER(SEARCH("engineer",B12)),"Engineer (Technical)",ISNUMBER(SEARCH("manager",B12)),"Manager",OR(ISNUMBER(SEARCH("teacher",B12)),ISNUMBER(SEARCH("trainer",B12)),ISNUMBER(SEARCH("faculty",B12))),"Teacher / Trainer",OR(ISNUMBER(SEARCH("doctor",B12)),ISNUMBER(SEARCH("nurse",B12)),ISNUMBER(SEARCH("medical",B12)),ISNUMBER(SEARCH("pharma",B12)),ISNUMBER(SEARCH("clinical",B12))),"Healthcare",TRUE,"Other")</f>
        <v/>
      </c>
      <c r="Q12" s="48">
        <f>IF(COUNTIFS($B$11:B12,B12,$C$11:C12,C12,$D$11:D12,D12,$L$11:L12,L12)&gt;1,"Duplicate","Unique")</f>
        <v/>
      </c>
    </row>
    <row r="13">
      <c r="A13" s="48">
        <f>Raw_Data!A4</f>
        <v/>
      </c>
      <c r="B13" s="48">
        <f>PROPER(TRIM(Raw_Data!B4))</f>
        <v/>
      </c>
      <c r="C13" s="48">
        <f>TRIM(Raw_Data!C4)</f>
        <v/>
      </c>
      <c r="D13" s="48">
        <f>IF(PROPER(TRIM(Raw_Data!D4))="Bangalore","Bengaluru",IF(PROPER(TRIM(Raw_Data!D4))="Gurgaon","Gurugram",IF(OR(PROPER(TRIM(Raw_Data!D4))="New Delhi",PROPER(TRIM(Raw_Data!D4))="Delhi"),"Delhi",PROPER(TRIM(Raw_Data!D4)))))</f>
        <v/>
      </c>
      <c r="E13" s="48">
        <f>Raw_Data!E4</f>
        <v/>
      </c>
      <c r="F13" s="48">
        <f>IF(TRIM(Raw_Data!F4&amp;"")="","Not Specified",Raw_Data!F4)</f>
        <v/>
      </c>
      <c r="G13" s="48">
        <f>Raw_Data!G4</f>
        <v/>
      </c>
      <c r="H13" s="48">
        <f>Raw_Data!H4</f>
        <v/>
      </c>
      <c r="I13" s="49">
        <f>IF(Raw_Data!I4="","",Raw_Data!I4)</f>
        <v/>
      </c>
      <c r="J13" s="49">
        <f>IF(Raw_Data!J4="","",Raw_Data!J4)</f>
        <v/>
      </c>
      <c r="K13" s="48">
        <f>IF(TRIM(Raw_Data!K4&amp;"")="","Not Specified",Raw_Data!K4)</f>
        <v/>
      </c>
      <c r="L13" s="56">
        <f>Raw_Data!L4</f>
        <v/>
      </c>
      <c r="M13" s="49">
        <f>IF(OR(I13="",J13=""),"",(I13+J13)/2)</f>
        <v/>
      </c>
      <c r="N13" s="49">
        <f>IF(OR(I13="",J13=""),"",J13-I13)</f>
        <v/>
      </c>
      <c r="O13" s="48">
        <f>TEXT(L13,"mmm-yyyy")</f>
        <v/>
      </c>
      <c r="P13" s="48">
        <f>_xlfn.IFS(ISNUMBER(SEARCH("data analy",B13)),"Data Analyst",ISNUMBER(SEARCH("business analy",B13)),"Business Analyst",OR(ISNUMBER(SEARCH("developer",B13)),ISNUMBER(SEARCH("software engineer",B13)),ISNUMBER(SEARCH("programmer",B13))),"Software Developer",ISNUMBER(SEARCH("business development",B13)),"Business Development",ISNUMBER(SEARCH("sales",B13)),"Sales Executive",ISNUMBER(SEARCH("marketing",B13)),"Marketing Executive",OR(ISNUMBER(SEARCH("hr ",B13)),ISNUMBER(SEARCH("recruit",B13)),ISNUMBER(SEARCH("human resource",B13))),"HR / Recruiter",OR(ISNUMBER(SEARCH("account",B13)),ISNUMBER(SEARCH("finance",B13)),ISNUMBER(SEARCH("tax",B13)),ISNUMBER(SEARCH("audit",B13))),"Accountant / Finance",OR(ISNUMBER(SEARCH("customer service",B13)),ISNUMBER(SEARCH("customer support",B13)),ISNUMBER(SEARCH("customer care",B13)),ISNUMBER(SEARCH("voice process",B13)),ISNUMBER(SEARCH("bpo",B13))),"Customer Support",ISNUMBER(SEARCH("engineer",B13)),"Engineer (Technical)",ISNUMBER(SEARCH("manager",B13)),"Manager",OR(ISNUMBER(SEARCH("teacher",B13)),ISNUMBER(SEARCH("trainer",B13)),ISNUMBER(SEARCH("faculty",B13))),"Teacher / Trainer",OR(ISNUMBER(SEARCH("doctor",B13)),ISNUMBER(SEARCH("nurse",B13)),ISNUMBER(SEARCH("medical",B13)),ISNUMBER(SEARCH("pharma",B13)),ISNUMBER(SEARCH("clinical",B13))),"Healthcare",TRUE,"Other")</f>
        <v/>
      </c>
      <c r="Q13" s="48">
        <f>IF(COUNTIFS($B$11:B13,B13,$C$11:C13,C13,$D$11:D13,D13,$L$11:L13,L13)&gt;1,"Duplicate","Unique")</f>
        <v/>
      </c>
    </row>
    <row r="14">
      <c r="A14" s="48">
        <f>Raw_Data!A5</f>
        <v/>
      </c>
      <c r="B14" s="48">
        <f>PROPER(TRIM(Raw_Data!B5))</f>
        <v/>
      </c>
      <c r="C14" s="48">
        <f>TRIM(Raw_Data!C5)</f>
        <v/>
      </c>
      <c r="D14" s="48">
        <f>IF(PROPER(TRIM(Raw_Data!D5))="Bangalore","Bengaluru",IF(PROPER(TRIM(Raw_Data!D5))="Gurgaon","Gurugram",IF(OR(PROPER(TRIM(Raw_Data!D5))="New Delhi",PROPER(TRIM(Raw_Data!D5))="Delhi"),"Delhi",PROPER(TRIM(Raw_Data!D5)))))</f>
        <v/>
      </c>
      <c r="E14" s="48">
        <f>Raw_Data!E5</f>
        <v/>
      </c>
      <c r="F14" s="48">
        <f>IF(TRIM(Raw_Data!F5&amp;"")="","Not Specified",Raw_Data!F5)</f>
        <v/>
      </c>
      <c r="G14" s="48">
        <f>Raw_Data!G5</f>
        <v/>
      </c>
      <c r="H14" s="48">
        <f>Raw_Data!H5</f>
        <v/>
      </c>
      <c r="I14" s="49">
        <f>IF(Raw_Data!I5="","",Raw_Data!I5)</f>
        <v/>
      </c>
      <c r="J14" s="49">
        <f>IF(Raw_Data!J5="","",Raw_Data!J5)</f>
        <v/>
      </c>
      <c r="K14" s="48">
        <f>IF(TRIM(Raw_Data!K5&amp;"")="","Not Specified",Raw_Data!K5)</f>
        <v/>
      </c>
      <c r="L14" s="56">
        <f>Raw_Data!L5</f>
        <v/>
      </c>
      <c r="M14" s="49">
        <f>IF(OR(I14="",J14=""),"",(I14+J14)/2)</f>
        <v/>
      </c>
      <c r="N14" s="49">
        <f>IF(OR(I14="",J14=""),"",J14-I14)</f>
        <v/>
      </c>
      <c r="O14" s="48">
        <f>TEXT(L14,"mmm-yyyy")</f>
        <v/>
      </c>
      <c r="P14" s="48">
        <f>_xlfn.IFS(ISNUMBER(SEARCH("data analy",B14)),"Data Analyst",ISNUMBER(SEARCH("business analy",B14)),"Business Analyst",OR(ISNUMBER(SEARCH("developer",B14)),ISNUMBER(SEARCH("software engineer",B14)),ISNUMBER(SEARCH("programmer",B14))),"Software Developer",ISNUMBER(SEARCH("business development",B14)),"Business Development",ISNUMBER(SEARCH("sales",B14)),"Sales Executive",ISNUMBER(SEARCH("marketing",B14)),"Marketing Executive",OR(ISNUMBER(SEARCH("hr ",B14)),ISNUMBER(SEARCH("recruit",B14)),ISNUMBER(SEARCH("human resource",B14))),"HR / Recruiter",OR(ISNUMBER(SEARCH("account",B14)),ISNUMBER(SEARCH("finance",B14)),ISNUMBER(SEARCH("tax",B14)),ISNUMBER(SEARCH("audit",B14))),"Accountant / Finance",OR(ISNUMBER(SEARCH("customer service",B14)),ISNUMBER(SEARCH("customer support",B14)),ISNUMBER(SEARCH("customer care",B14)),ISNUMBER(SEARCH("voice process",B14)),ISNUMBER(SEARCH("bpo",B14))),"Customer Support",ISNUMBER(SEARCH("engineer",B14)),"Engineer (Technical)",ISNUMBER(SEARCH("manager",B14)),"Manager",OR(ISNUMBER(SEARCH("teacher",B14)),ISNUMBER(SEARCH("trainer",B14)),ISNUMBER(SEARCH("faculty",B14))),"Teacher / Trainer",OR(ISNUMBER(SEARCH("doctor",B14)),ISNUMBER(SEARCH("nurse",B14)),ISNUMBER(SEARCH("medical",B14)),ISNUMBER(SEARCH("pharma",B14)),ISNUMBER(SEARCH("clinical",B14))),"Healthcare",TRUE,"Other")</f>
        <v/>
      </c>
      <c r="Q14" s="48">
        <f>IF(COUNTIFS($B$11:B14,B14,$C$11:C14,C14,$D$11:D14,D14,$L$11:L14,L14)&gt;1,"Duplicate","Unique")</f>
        <v/>
      </c>
    </row>
    <row r="15">
      <c r="A15" s="48">
        <f>Raw_Data!A6</f>
        <v/>
      </c>
      <c r="B15" s="48">
        <f>PROPER(TRIM(Raw_Data!B6))</f>
        <v/>
      </c>
      <c r="C15" s="48">
        <f>TRIM(Raw_Data!C6)</f>
        <v/>
      </c>
      <c r="D15" s="48">
        <f>IF(PROPER(TRIM(Raw_Data!D6))="Bangalore","Bengaluru",IF(PROPER(TRIM(Raw_Data!D6))="Gurgaon","Gurugram",IF(OR(PROPER(TRIM(Raw_Data!D6))="New Delhi",PROPER(TRIM(Raw_Data!D6))="Delhi"),"Delhi",PROPER(TRIM(Raw_Data!D6)))))</f>
        <v/>
      </c>
      <c r="E15" s="48">
        <f>Raw_Data!E6</f>
        <v/>
      </c>
      <c r="F15" s="48">
        <f>IF(TRIM(Raw_Data!F6&amp;"")="","Not Specified",Raw_Data!F6)</f>
        <v/>
      </c>
      <c r="G15" s="48">
        <f>Raw_Data!G6</f>
        <v/>
      </c>
      <c r="H15" s="48">
        <f>Raw_Data!H6</f>
        <v/>
      </c>
      <c r="I15" s="49">
        <f>IF(Raw_Data!I6="","",Raw_Data!I6)</f>
        <v/>
      </c>
      <c r="J15" s="49">
        <f>IF(Raw_Data!J6="","",Raw_Data!J6)</f>
        <v/>
      </c>
      <c r="K15" s="48">
        <f>IF(TRIM(Raw_Data!K6&amp;"")="","Not Specified",Raw_Data!K6)</f>
        <v/>
      </c>
      <c r="L15" s="56">
        <f>Raw_Data!L6</f>
        <v/>
      </c>
      <c r="M15" s="49">
        <f>IF(OR(I15="",J15=""),"",(I15+J15)/2)</f>
        <v/>
      </c>
      <c r="N15" s="49">
        <f>IF(OR(I15="",J15=""),"",J15-I15)</f>
        <v/>
      </c>
      <c r="O15" s="48">
        <f>TEXT(L15,"mmm-yyyy")</f>
        <v/>
      </c>
      <c r="P15" s="48">
        <f>_xlfn.IFS(ISNUMBER(SEARCH("data analy",B15)),"Data Analyst",ISNUMBER(SEARCH("business analy",B15)),"Business Analyst",OR(ISNUMBER(SEARCH("developer",B15)),ISNUMBER(SEARCH("software engineer",B15)),ISNUMBER(SEARCH("programmer",B15))),"Software Developer",ISNUMBER(SEARCH("business development",B15)),"Business Development",ISNUMBER(SEARCH("sales",B15)),"Sales Executive",ISNUMBER(SEARCH("marketing",B15)),"Marketing Executive",OR(ISNUMBER(SEARCH("hr ",B15)),ISNUMBER(SEARCH("recruit",B15)),ISNUMBER(SEARCH("human resource",B15))),"HR / Recruiter",OR(ISNUMBER(SEARCH("account",B15)),ISNUMBER(SEARCH("finance",B15)),ISNUMBER(SEARCH("tax",B15)),ISNUMBER(SEARCH("audit",B15))),"Accountant / Finance",OR(ISNUMBER(SEARCH("customer service",B15)),ISNUMBER(SEARCH("customer support",B15)),ISNUMBER(SEARCH("customer care",B15)),ISNUMBER(SEARCH("voice process",B15)),ISNUMBER(SEARCH("bpo",B15))),"Customer Support",ISNUMBER(SEARCH("engineer",B15)),"Engineer (Technical)",ISNUMBER(SEARCH("manager",B15)),"Manager",OR(ISNUMBER(SEARCH("teacher",B15)),ISNUMBER(SEARCH("trainer",B15)),ISNUMBER(SEARCH("faculty",B15))),"Teacher / Trainer",OR(ISNUMBER(SEARCH("doctor",B15)),ISNUMBER(SEARCH("nurse",B15)),ISNUMBER(SEARCH("medical",B15)),ISNUMBER(SEARCH("pharma",B15)),ISNUMBER(SEARCH("clinical",B15))),"Healthcare",TRUE,"Other")</f>
        <v/>
      </c>
      <c r="Q15" s="48">
        <f>IF(COUNTIFS($B$11:B15,B15,$C$11:C15,C15,$D$11:D15,D15,$L$11:L15,L15)&gt;1,"Duplicate","Unique")</f>
        <v/>
      </c>
    </row>
    <row r="16">
      <c r="A16" s="48">
        <f>Raw_Data!A7</f>
        <v/>
      </c>
      <c r="B16" s="48">
        <f>PROPER(TRIM(Raw_Data!B7))</f>
        <v/>
      </c>
      <c r="C16" s="48">
        <f>TRIM(Raw_Data!C7)</f>
        <v/>
      </c>
      <c r="D16" s="48">
        <f>IF(PROPER(TRIM(Raw_Data!D7))="Bangalore","Bengaluru",IF(PROPER(TRIM(Raw_Data!D7))="Gurgaon","Gurugram",IF(OR(PROPER(TRIM(Raw_Data!D7))="New Delhi",PROPER(TRIM(Raw_Data!D7))="Delhi"),"Delhi",PROPER(TRIM(Raw_Data!D7)))))</f>
        <v/>
      </c>
      <c r="E16" s="48">
        <f>Raw_Data!E7</f>
        <v/>
      </c>
      <c r="F16" s="48">
        <f>IF(TRIM(Raw_Data!F7&amp;"")="","Not Specified",Raw_Data!F7)</f>
        <v/>
      </c>
      <c r="G16" s="48">
        <f>Raw_Data!G7</f>
        <v/>
      </c>
      <c r="H16" s="48">
        <f>Raw_Data!H7</f>
        <v/>
      </c>
      <c r="I16" s="49">
        <f>IF(Raw_Data!I7="","",Raw_Data!I7)</f>
        <v/>
      </c>
      <c r="J16" s="49">
        <f>IF(Raw_Data!J7="","",Raw_Data!J7)</f>
        <v/>
      </c>
      <c r="K16" s="48">
        <f>IF(TRIM(Raw_Data!K7&amp;"")="","Not Specified",Raw_Data!K7)</f>
        <v/>
      </c>
      <c r="L16" s="56">
        <f>Raw_Data!L7</f>
        <v/>
      </c>
      <c r="M16" s="49">
        <f>IF(OR(I16="",J16=""),"",(I16+J16)/2)</f>
        <v/>
      </c>
      <c r="N16" s="49">
        <f>IF(OR(I16="",J16=""),"",J16-I16)</f>
        <v/>
      </c>
      <c r="O16" s="48">
        <f>TEXT(L16,"mmm-yyyy")</f>
        <v/>
      </c>
      <c r="P16" s="48">
        <f>_xlfn.IFS(ISNUMBER(SEARCH("data analy",B16)),"Data Analyst",ISNUMBER(SEARCH("business analy",B16)),"Business Analyst",OR(ISNUMBER(SEARCH("developer",B16)),ISNUMBER(SEARCH("software engineer",B16)),ISNUMBER(SEARCH("programmer",B16))),"Software Developer",ISNUMBER(SEARCH("business development",B16)),"Business Development",ISNUMBER(SEARCH("sales",B16)),"Sales Executive",ISNUMBER(SEARCH("marketing",B16)),"Marketing Executive",OR(ISNUMBER(SEARCH("hr ",B16)),ISNUMBER(SEARCH("recruit",B16)),ISNUMBER(SEARCH("human resource",B16))),"HR / Recruiter",OR(ISNUMBER(SEARCH("account",B16)),ISNUMBER(SEARCH("finance",B16)),ISNUMBER(SEARCH("tax",B16)),ISNUMBER(SEARCH("audit",B16))),"Accountant / Finance",OR(ISNUMBER(SEARCH("customer service",B16)),ISNUMBER(SEARCH("customer support",B16)),ISNUMBER(SEARCH("customer care",B16)),ISNUMBER(SEARCH("voice process",B16)),ISNUMBER(SEARCH("bpo",B16))),"Customer Support",ISNUMBER(SEARCH("engineer",B16)),"Engineer (Technical)",ISNUMBER(SEARCH("manager",B16)),"Manager",OR(ISNUMBER(SEARCH("teacher",B16)),ISNUMBER(SEARCH("trainer",B16)),ISNUMBER(SEARCH("faculty",B16))),"Teacher / Trainer",OR(ISNUMBER(SEARCH("doctor",B16)),ISNUMBER(SEARCH("nurse",B16)),ISNUMBER(SEARCH("medical",B16)),ISNUMBER(SEARCH("pharma",B16)),ISNUMBER(SEARCH("clinical",B16))),"Healthcare",TRUE,"Other")</f>
        <v/>
      </c>
      <c r="Q16" s="48">
        <f>IF(COUNTIFS($B$11:B16,B16,$C$11:C16,C16,$D$11:D16,D16,$L$11:L16,L16)&gt;1,"Duplicate","Unique")</f>
        <v/>
      </c>
    </row>
    <row r="17">
      <c r="A17" s="48">
        <f>Raw_Data!A8</f>
        <v/>
      </c>
      <c r="B17" s="48">
        <f>PROPER(TRIM(Raw_Data!B8))</f>
        <v/>
      </c>
      <c r="C17" s="48">
        <f>TRIM(Raw_Data!C8)</f>
        <v/>
      </c>
      <c r="D17" s="48">
        <f>IF(PROPER(TRIM(Raw_Data!D8))="Bangalore","Bengaluru",IF(PROPER(TRIM(Raw_Data!D8))="Gurgaon","Gurugram",IF(OR(PROPER(TRIM(Raw_Data!D8))="New Delhi",PROPER(TRIM(Raw_Data!D8))="Delhi"),"Delhi",PROPER(TRIM(Raw_Data!D8)))))</f>
        <v/>
      </c>
      <c r="E17" s="48">
        <f>Raw_Data!E8</f>
        <v/>
      </c>
      <c r="F17" s="48">
        <f>IF(TRIM(Raw_Data!F8&amp;"")="","Not Specified",Raw_Data!F8)</f>
        <v/>
      </c>
      <c r="G17" s="48">
        <f>Raw_Data!G8</f>
        <v/>
      </c>
      <c r="H17" s="48">
        <f>Raw_Data!H8</f>
        <v/>
      </c>
      <c r="I17" s="49">
        <f>IF(Raw_Data!I8="","",Raw_Data!I8)</f>
        <v/>
      </c>
      <c r="J17" s="49">
        <f>IF(Raw_Data!J8="","",Raw_Data!J8)</f>
        <v/>
      </c>
      <c r="K17" s="48">
        <f>IF(TRIM(Raw_Data!K8&amp;"")="","Not Specified",Raw_Data!K8)</f>
        <v/>
      </c>
      <c r="L17" s="56">
        <f>Raw_Data!L8</f>
        <v/>
      </c>
      <c r="M17" s="49">
        <f>IF(OR(I17="",J17=""),"",(I17+J17)/2)</f>
        <v/>
      </c>
      <c r="N17" s="49">
        <f>IF(OR(I17="",J17=""),"",J17-I17)</f>
        <v/>
      </c>
      <c r="O17" s="48">
        <f>TEXT(L17,"mmm-yyyy")</f>
        <v/>
      </c>
      <c r="P17" s="48">
        <f>_xlfn.IFS(ISNUMBER(SEARCH("data analy",B17)),"Data Analyst",ISNUMBER(SEARCH("business analy",B17)),"Business Analyst",OR(ISNUMBER(SEARCH("developer",B17)),ISNUMBER(SEARCH("software engineer",B17)),ISNUMBER(SEARCH("programmer",B17))),"Software Developer",ISNUMBER(SEARCH("business development",B17)),"Business Development",ISNUMBER(SEARCH("sales",B17)),"Sales Executive",ISNUMBER(SEARCH("marketing",B17)),"Marketing Executive",OR(ISNUMBER(SEARCH("hr ",B17)),ISNUMBER(SEARCH("recruit",B17)),ISNUMBER(SEARCH("human resource",B17))),"HR / Recruiter",OR(ISNUMBER(SEARCH("account",B17)),ISNUMBER(SEARCH("finance",B17)),ISNUMBER(SEARCH("tax",B17)),ISNUMBER(SEARCH("audit",B17))),"Accountant / Finance",OR(ISNUMBER(SEARCH("customer service",B17)),ISNUMBER(SEARCH("customer support",B17)),ISNUMBER(SEARCH("customer care",B17)),ISNUMBER(SEARCH("voice process",B17)),ISNUMBER(SEARCH("bpo",B17))),"Customer Support",ISNUMBER(SEARCH("engineer",B17)),"Engineer (Technical)",ISNUMBER(SEARCH("manager",B17)),"Manager",OR(ISNUMBER(SEARCH("teacher",B17)),ISNUMBER(SEARCH("trainer",B17)),ISNUMBER(SEARCH("faculty",B17))),"Teacher / Trainer",OR(ISNUMBER(SEARCH("doctor",B17)),ISNUMBER(SEARCH("nurse",B17)),ISNUMBER(SEARCH("medical",B17)),ISNUMBER(SEARCH("pharma",B17)),ISNUMBER(SEARCH("clinical",B17))),"Healthcare",TRUE,"Other")</f>
        <v/>
      </c>
      <c r="Q17" s="48">
        <f>IF(COUNTIFS($B$11:B17,B17,$C$11:C17,C17,$D$11:D17,D17,$L$11:L17,L17)&gt;1,"Duplicate","Unique")</f>
        <v/>
      </c>
    </row>
    <row r="18">
      <c r="A18" s="48">
        <f>Raw_Data!A9</f>
        <v/>
      </c>
      <c r="B18" s="48">
        <f>PROPER(TRIM(Raw_Data!B9))</f>
        <v/>
      </c>
      <c r="C18" s="48">
        <f>TRIM(Raw_Data!C9)</f>
        <v/>
      </c>
      <c r="D18" s="48">
        <f>IF(PROPER(TRIM(Raw_Data!D9))="Bangalore","Bengaluru",IF(PROPER(TRIM(Raw_Data!D9))="Gurgaon","Gurugram",IF(OR(PROPER(TRIM(Raw_Data!D9))="New Delhi",PROPER(TRIM(Raw_Data!D9))="Delhi"),"Delhi",PROPER(TRIM(Raw_Data!D9)))))</f>
        <v/>
      </c>
      <c r="E18" s="48">
        <f>Raw_Data!E9</f>
        <v/>
      </c>
      <c r="F18" s="48">
        <f>IF(TRIM(Raw_Data!F9&amp;"")="","Not Specified",Raw_Data!F9)</f>
        <v/>
      </c>
      <c r="G18" s="48">
        <f>Raw_Data!G9</f>
        <v/>
      </c>
      <c r="H18" s="48">
        <f>Raw_Data!H9</f>
        <v/>
      </c>
      <c r="I18" s="49">
        <f>IF(Raw_Data!I9="","",Raw_Data!I9)</f>
        <v/>
      </c>
      <c r="J18" s="49">
        <f>IF(Raw_Data!J9="","",Raw_Data!J9)</f>
        <v/>
      </c>
      <c r="K18" s="48">
        <f>IF(TRIM(Raw_Data!K9&amp;"")="","Not Specified",Raw_Data!K9)</f>
        <v/>
      </c>
      <c r="L18" s="56">
        <f>Raw_Data!L9</f>
        <v/>
      </c>
      <c r="M18" s="49">
        <f>IF(OR(I18="",J18=""),"",(I18+J18)/2)</f>
        <v/>
      </c>
      <c r="N18" s="49">
        <f>IF(OR(I18="",J18=""),"",J18-I18)</f>
        <v/>
      </c>
      <c r="O18" s="48">
        <f>TEXT(L18,"mmm-yyyy")</f>
        <v/>
      </c>
      <c r="P18" s="48">
        <f>_xlfn.IFS(ISNUMBER(SEARCH("data analy",B18)),"Data Analyst",ISNUMBER(SEARCH("business analy",B18)),"Business Analyst",OR(ISNUMBER(SEARCH("developer",B18)),ISNUMBER(SEARCH("software engineer",B18)),ISNUMBER(SEARCH("programmer",B18))),"Software Developer",ISNUMBER(SEARCH("business development",B18)),"Business Development",ISNUMBER(SEARCH("sales",B18)),"Sales Executive",ISNUMBER(SEARCH("marketing",B18)),"Marketing Executive",OR(ISNUMBER(SEARCH("hr ",B18)),ISNUMBER(SEARCH("recruit",B18)),ISNUMBER(SEARCH("human resource",B18))),"HR / Recruiter",OR(ISNUMBER(SEARCH("account",B18)),ISNUMBER(SEARCH("finance",B18)),ISNUMBER(SEARCH("tax",B18)),ISNUMBER(SEARCH("audit",B18))),"Accountant / Finance",OR(ISNUMBER(SEARCH("customer service",B18)),ISNUMBER(SEARCH("customer support",B18)),ISNUMBER(SEARCH("customer care",B18)),ISNUMBER(SEARCH("voice process",B18)),ISNUMBER(SEARCH("bpo",B18))),"Customer Support",ISNUMBER(SEARCH("engineer",B18)),"Engineer (Technical)",ISNUMBER(SEARCH("manager",B18)),"Manager",OR(ISNUMBER(SEARCH("teacher",B18)),ISNUMBER(SEARCH("trainer",B18)),ISNUMBER(SEARCH("faculty",B18))),"Teacher / Trainer",OR(ISNUMBER(SEARCH("doctor",B18)),ISNUMBER(SEARCH("nurse",B18)),ISNUMBER(SEARCH("medical",B18)),ISNUMBER(SEARCH("pharma",B18)),ISNUMBER(SEARCH("clinical",B18))),"Healthcare",TRUE,"Other")</f>
        <v/>
      </c>
      <c r="Q18" s="48">
        <f>IF(COUNTIFS($B$11:B18,B18,$C$11:C18,C18,$D$11:D18,D18,$L$11:L18,L18)&gt;1,"Duplicate","Unique")</f>
        <v/>
      </c>
    </row>
    <row r="19">
      <c r="A19" s="48">
        <f>Raw_Data!A10</f>
        <v/>
      </c>
      <c r="B19" s="48">
        <f>PROPER(TRIM(Raw_Data!B10))</f>
        <v/>
      </c>
      <c r="C19" s="48">
        <f>TRIM(Raw_Data!C10)</f>
        <v/>
      </c>
      <c r="D19" s="48">
        <f>IF(PROPER(TRIM(Raw_Data!D10))="Bangalore","Bengaluru",IF(PROPER(TRIM(Raw_Data!D10))="Gurgaon","Gurugram",IF(OR(PROPER(TRIM(Raw_Data!D10))="New Delhi",PROPER(TRIM(Raw_Data!D10))="Delhi"),"Delhi",PROPER(TRIM(Raw_Data!D10)))))</f>
        <v/>
      </c>
      <c r="E19" s="48">
        <f>Raw_Data!E10</f>
        <v/>
      </c>
      <c r="F19" s="48">
        <f>IF(TRIM(Raw_Data!F10&amp;"")="","Not Specified",Raw_Data!F10)</f>
        <v/>
      </c>
      <c r="G19" s="48">
        <f>Raw_Data!G10</f>
        <v/>
      </c>
      <c r="H19" s="48">
        <f>Raw_Data!H10</f>
        <v/>
      </c>
      <c r="I19" s="49">
        <f>IF(Raw_Data!I10="","",Raw_Data!I10)</f>
        <v/>
      </c>
      <c r="J19" s="49">
        <f>IF(Raw_Data!J10="","",Raw_Data!J10)</f>
        <v/>
      </c>
      <c r="K19" s="48">
        <f>IF(TRIM(Raw_Data!K10&amp;"")="","Not Specified",Raw_Data!K10)</f>
        <v/>
      </c>
      <c r="L19" s="56">
        <f>Raw_Data!L10</f>
        <v/>
      </c>
      <c r="M19" s="49">
        <f>IF(OR(I19="",J19=""),"",(I19+J19)/2)</f>
        <v/>
      </c>
      <c r="N19" s="49">
        <f>IF(OR(I19="",J19=""),"",J19-I19)</f>
        <v/>
      </c>
      <c r="O19" s="48">
        <f>TEXT(L19,"mmm-yyyy")</f>
        <v/>
      </c>
      <c r="P19" s="48">
        <f>_xlfn.IFS(ISNUMBER(SEARCH("data analy",B19)),"Data Analyst",ISNUMBER(SEARCH("business analy",B19)),"Business Analyst",OR(ISNUMBER(SEARCH("developer",B19)),ISNUMBER(SEARCH("software engineer",B19)),ISNUMBER(SEARCH("programmer",B19))),"Software Developer",ISNUMBER(SEARCH("business development",B19)),"Business Development",ISNUMBER(SEARCH("sales",B19)),"Sales Executive",ISNUMBER(SEARCH("marketing",B19)),"Marketing Executive",OR(ISNUMBER(SEARCH("hr ",B19)),ISNUMBER(SEARCH("recruit",B19)),ISNUMBER(SEARCH("human resource",B19))),"HR / Recruiter",OR(ISNUMBER(SEARCH("account",B19)),ISNUMBER(SEARCH("finance",B19)),ISNUMBER(SEARCH("tax",B19)),ISNUMBER(SEARCH("audit",B19))),"Accountant / Finance",OR(ISNUMBER(SEARCH("customer service",B19)),ISNUMBER(SEARCH("customer support",B19)),ISNUMBER(SEARCH("customer care",B19)),ISNUMBER(SEARCH("voice process",B19)),ISNUMBER(SEARCH("bpo",B19))),"Customer Support",ISNUMBER(SEARCH("engineer",B19)),"Engineer (Technical)",ISNUMBER(SEARCH("manager",B19)),"Manager",OR(ISNUMBER(SEARCH("teacher",B19)),ISNUMBER(SEARCH("trainer",B19)),ISNUMBER(SEARCH("faculty",B19))),"Teacher / Trainer",OR(ISNUMBER(SEARCH("doctor",B19)),ISNUMBER(SEARCH("nurse",B19)),ISNUMBER(SEARCH("medical",B19)),ISNUMBER(SEARCH("pharma",B19)),ISNUMBER(SEARCH("clinical",B19))),"Healthcare",TRUE,"Other")</f>
        <v/>
      </c>
      <c r="Q19" s="48">
        <f>IF(COUNTIFS($B$11:B19,B19,$C$11:C19,C19,$D$11:D19,D19,$L$11:L19,L19)&gt;1,"Duplicate","Unique")</f>
        <v/>
      </c>
    </row>
    <row r="20">
      <c r="A20" s="48">
        <f>Raw_Data!A11</f>
        <v/>
      </c>
      <c r="B20" s="48">
        <f>PROPER(TRIM(Raw_Data!B11))</f>
        <v/>
      </c>
      <c r="C20" s="48">
        <f>TRIM(Raw_Data!C11)</f>
        <v/>
      </c>
      <c r="D20" s="48">
        <f>IF(PROPER(TRIM(Raw_Data!D11))="Bangalore","Bengaluru",IF(PROPER(TRIM(Raw_Data!D11))="Gurgaon","Gurugram",IF(OR(PROPER(TRIM(Raw_Data!D11))="New Delhi",PROPER(TRIM(Raw_Data!D11))="Delhi"),"Delhi",PROPER(TRIM(Raw_Data!D11)))))</f>
        <v/>
      </c>
      <c r="E20" s="48">
        <f>Raw_Data!E11</f>
        <v/>
      </c>
      <c r="F20" s="48">
        <f>IF(TRIM(Raw_Data!F11&amp;"")="","Not Specified",Raw_Data!F11)</f>
        <v/>
      </c>
      <c r="G20" s="48">
        <f>Raw_Data!G11</f>
        <v/>
      </c>
      <c r="H20" s="48">
        <f>Raw_Data!H11</f>
        <v/>
      </c>
      <c r="I20" s="49">
        <f>IF(Raw_Data!I11="","",Raw_Data!I11)</f>
        <v/>
      </c>
      <c r="J20" s="49">
        <f>IF(Raw_Data!J11="","",Raw_Data!J11)</f>
        <v/>
      </c>
      <c r="K20" s="48">
        <f>IF(TRIM(Raw_Data!K11&amp;"")="","Not Specified",Raw_Data!K11)</f>
        <v/>
      </c>
      <c r="L20" s="56">
        <f>Raw_Data!L11</f>
        <v/>
      </c>
      <c r="M20" s="49">
        <f>IF(OR(I20="",J20=""),"",(I20+J20)/2)</f>
        <v/>
      </c>
      <c r="N20" s="49">
        <f>IF(OR(I20="",J20=""),"",J20-I20)</f>
        <v/>
      </c>
      <c r="O20" s="48">
        <f>TEXT(L20,"mmm-yyyy")</f>
        <v/>
      </c>
      <c r="P20" s="48">
        <f>_xlfn.IFS(ISNUMBER(SEARCH("data analy",B20)),"Data Analyst",ISNUMBER(SEARCH("business analy",B20)),"Business Analyst",OR(ISNUMBER(SEARCH("developer",B20)),ISNUMBER(SEARCH("software engineer",B20)),ISNUMBER(SEARCH("programmer",B20))),"Software Developer",ISNUMBER(SEARCH("business development",B20)),"Business Development",ISNUMBER(SEARCH("sales",B20)),"Sales Executive",ISNUMBER(SEARCH("marketing",B20)),"Marketing Executive",OR(ISNUMBER(SEARCH("hr ",B20)),ISNUMBER(SEARCH("recruit",B20)),ISNUMBER(SEARCH("human resource",B20))),"HR / Recruiter",OR(ISNUMBER(SEARCH("account",B20)),ISNUMBER(SEARCH("finance",B20)),ISNUMBER(SEARCH("tax",B20)),ISNUMBER(SEARCH("audit",B20))),"Accountant / Finance",OR(ISNUMBER(SEARCH("customer service",B20)),ISNUMBER(SEARCH("customer support",B20)),ISNUMBER(SEARCH("customer care",B20)),ISNUMBER(SEARCH("voice process",B20)),ISNUMBER(SEARCH("bpo",B20))),"Customer Support",ISNUMBER(SEARCH("engineer",B20)),"Engineer (Technical)",ISNUMBER(SEARCH("manager",B20)),"Manager",OR(ISNUMBER(SEARCH("teacher",B20)),ISNUMBER(SEARCH("trainer",B20)),ISNUMBER(SEARCH("faculty",B20))),"Teacher / Trainer",OR(ISNUMBER(SEARCH("doctor",B20)),ISNUMBER(SEARCH("nurse",B20)),ISNUMBER(SEARCH("medical",B20)),ISNUMBER(SEARCH("pharma",B20)),ISNUMBER(SEARCH("clinical",B20))),"Healthcare",TRUE,"Other")</f>
        <v/>
      </c>
      <c r="Q20" s="48">
        <f>IF(COUNTIFS($B$11:B20,B20,$C$11:C20,C20,$D$11:D20,D20,$L$11:L20,L20)&gt;1,"Duplicate","Unique")</f>
        <v/>
      </c>
    </row>
    <row r="21">
      <c r="A21" s="48">
        <f>Raw_Data!A12</f>
        <v/>
      </c>
      <c r="B21" s="48">
        <f>PROPER(TRIM(Raw_Data!B12))</f>
        <v/>
      </c>
      <c r="C21" s="48">
        <f>TRIM(Raw_Data!C12)</f>
        <v/>
      </c>
      <c r="D21" s="48">
        <f>IF(PROPER(TRIM(Raw_Data!D12))="Bangalore","Bengaluru",IF(PROPER(TRIM(Raw_Data!D12))="Gurgaon","Gurugram",IF(OR(PROPER(TRIM(Raw_Data!D12))="New Delhi",PROPER(TRIM(Raw_Data!D12))="Delhi"),"Delhi",PROPER(TRIM(Raw_Data!D12)))))</f>
        <v/>
      </c>
      <c r="E21" s="48">
        <f>Raw_Data!E12</f>
        <v/>
      </c>
      <c r="F21" s="48">
        <f>IF(TRIM(Raw_Data!F12&amp;"")="","Not Specified",Raw_Data!F12)</f>
        <v/>
      </c>
      <c r="G21" s="48">
        <f>Raw_Data!G12</f>
        <v/>
      </c>
      <c r="H21" s="48">
        <f>Raw_Data!H12</f>
        <v/>
      </c>
      <c r="I21" s="49">
        <f>IF(Raw_Data!I12="","",Raw_Data!I12)</f>
        <v/>
      </c>
      <c r="J21" s="49">
        <f>IF(Raw_Data!J12="","",Raw_Data!J12)</f>
        <v/>
      </c>
      <c r="K21" s="48">
        <f>IF(TRIM(Raw_Data!K12&amp;"")="","Not Specified",Raw_Data!K12)</f>
        <v/>
      </c>
      <c r="L21" s="56">
        <f>Raw_Data!L12</f>
        <v/>
      </c>
      <c r="M21" s="49">
        <f>IF(OR(I21="",J21=""),"",(I21+J21)/2)</f>
        <v/>
      </c>
      <c r="N21" s="49">
        <f>IF(OR(I21="",J21=""),"",J21-I21)</f>
        <v/>
      </c>
      <c r="O21" s="48">
        <f>TEXT(L21,"mmm-yyyy")</f>
        <v/>
      </c>
      <c r="P21" s="48">
        <f>_xlfn.IFS(ISNUMBER(SEARCH("data analy",B21)),"Data Analyst",ISNUMBER(SEARCH("business analy",B21)),"Business Analyst",OR(ISNUMBER(SEARCH("developer",B21)),ISNUMBER(SEARCH("software engineer",B21)),ISNUMBER(SEARCH("programmer",B21))),"Software Developer",ISNUMBER(SEARCH("business development",B21)),"Business Development",ISNUMBER(SEARCH("sales",B21)),"Sales Executive",ISNUMBER(SEARCH("marketing",B21)),"Marketing Executive",OR(ISNUMBER(SEARCH("hr ",B21)),ISNUMBER(SEARCH("recruit",B21)),ISNUMBER(SEARCH("human resource",B21))),"HR / Recruiter",OR(ISNUMBER(SEARCH("account",B21)),ISNUMBER(SEARCH("finance",B21)),ISNUMBER(SEARCH("tax",B21)),ISNUMBER(SEARCH("audit",B21))),"Accountant / Finance",OR(ISNUMBER(SEARCH("customer service",B21)),ISNUMBER(SEARCH("customer support",B21)),ISNUMBER(SEARCH("customer care",B21)),ISNUMBER(SEARCH("voice process",B21)),ISNUMBER(SEARCH("bpo",B21))),"Customer Support",ISNUMBER(SEARCH("engineer",B21)),"Engineer (Technical)",ISNUMBER(SEARCH("manager",B21)),"Manager",OR(ISNUMBER(SEARCH("teacher",B21)),ISNUMBER(SEARCH("trainer",B21)),ISNUMBER(SEARCH("faculty",B21))),"Teacher / Trainer",OR(ISNUMBER(SEARCH("doctor",B21)),ISNUMBER(SEARCH("nurse",B21)),ISNUMBER(SEARCH("medical",B21)),ISNUMBER(SEARCH("pharma",B21)),ISNUMBER(SEARCH("clinical",B21))),"Healthcare",TRUE,"Other")</f>
        <v/>
      </c>
      <c r="Q21" s="48">
        <f>IF(COUNTIFS($B$11:B21,B21,$C$11:C21,C21,$D$11:D21,D21,$L$11:L21,L21)&gt;1,"Duplicate","Unique")</f>
        <v/>
      </c>
    </row>
    <row r="22">
      <c r="A22" s="48">
        <f>Raw_Data!A13</f>
        <v/>
      </c>
      <c r="B22" s="48">
        <f>PROPER(TRIM(Raw_Data!B13))</f>
        <v/>
      </c>
      <c r="C22" s="48">
        <f>TRIM(Raw_Data!C13)</f>
        <v/>
      </c>
      <c r="D22" s="48">
        <f>IF(PROPER(TRIM(Raw_Data!D13))="Bangalore","Bengaluru",IF(PROPER(TRIM(Raw_Data!D13))="Gurgaon","Gurugram",IF(OR(PROPER(TRIM(Raw_Data!D13))="New Delhi",PROPER(TRIM(Raw_Data!D13))="Delhi"),"Delhi",PROPER(TRIM(Raw_Data!D13)))))</f>
        <v/>
      </c>
      <c r="E22" s="48">
        <f>Raw_Data!E13</f>
        <v/>
      </c>
      <c r="F22" s="48">
        <f>IF(TRIM(Raw_Data!F13&amp;"")="","Not Specified",Raw_Data!F13)</f>
        <v/>
      </c>
      <c r="G22" s="48">
        <f>Raw_Data!G13</f>
        <v/>
      </c>
      <c r="H22" s="48">
        <f>Raw_Data!H13</f>
        <v/>
      </c>
      <c r="I22" s="49">
        <f>IF(Raw_Data!I13="","",Raw_Data!I13)</f>
        <v/>
      </c>
      <c r="J22" s="49">
        <f>IF(Raw_Data!J13="","",Raw_Data!J13)</f>
        <v/>
      </c>
      <c r="K22" s="48">
        <f>IF(TRIM(Raw_Data!K13&amp;"")="","Not Specified",Raw_Data!K13)</f>
        <v/>
      </c>
      <c r="L22" s="56">
        <f>Raw_Data!L13</f>
        <v/>
      </c>
      <c r="M22" s="49">
        <f>IF(OR(I22="",J22=""),"",(I22+J22)/2)</f>
        <v/>
      </c>
      <c r="N22" s="49">
        <f>IF(OR(I22="",J22=""),"",J22-I22)</f>
        <v/>
      </c>
      <c r="O22" s="48">
        <f>TEXT(L22,"mmm-yyyy")</f>
        <v/>
      </c>
      <c r="P22" s="48">
        <f>_xlfn.IFS(ISNUMBER(SEARCH("data analy",B22)),"Data Analyst",ISNUMBER(SEARCH("business analy",B22)),"Business Analyst",OR(ISNUMBER(SEARCH("developer",B22)),ISNUMBER(SEARCH("software engineer",B22)),ISNUMBER(SEARCH("programmer",B22))),"Software Developer",ISNUMBER(SEARCH("business development",B22)),"Business Development",ISNUMBER(SEARCH("sales",B22)),"Sales Executive",ISNUMBER(SEARCH("marketing",B22)),"Marketing Executive",OR(ISNUMBER(SEARCH("hr ",B22)),ISNUMBER(SEARCH("recruit",B22)),ISNUMBER(SEARCH("human resource",B22))),"HR / Recruiter",OR(ISNUMBER(SEARCH("account",B22)),ISNUMBER(SEARCH("finance",B22)),ISNUMBER(SEARCH("tax",B22)),ISNUMBER(SEARCH("audit",B22))),"Accountant / Finance",OR(ISNUMBER(SEARCH("customer service",B22)),ISNUMBER(SEARCH("customer support",B22)),ISNUMBER(SEARCH("customer care",B22)),ISNUMBER(SEARCH("voice process",B22)),ISNUMBER(SEARCH("bpo",B22))),"Customer Support",ISNUMBER(SEARCH("engineer",B22)),"Engineer (Technical)",ISNUMBER(SEARCH("manager",B22)),"Manager",OR(ISNUMBER(SEARCH("teacher",B22)),ISNUMBER(SEARCH("trainer",B22)),ISNUMBER(SEARCH("faculty",B22))),"Teacher / Trainer",OR(ISNUMBER(SEARCH("doctor",B22)),ISNUMBER(SEARCH("nurse",B22)),ISNUMBER(SEARCH("medical",B22)),ISNUMBER(SEARCH("pharma",B22)),ISNUMBER(SEARCH("clinical",B22))),"Healthcare",TRUE,"Other")</f>
        <v/>
      </c>
      <c r="Q22" s="48">
        <f>IF(COUNTIFS($B$11:B22,B22,$C$11:C22,C22,$D$11:D22,D22,$L$11:L22,L22)&gt;1,"Duplicate","Unique")</f>
        <v/>
      </c>
    </row>
    <row r="23">
      <c r="A23" s="48">
        <f>Raw_Data!A14</f>
        <v/>
      </c>
      <c r="B23" s="48">
        <f>PROPER(TRIM(Raw_Data!B14))</f>
        <v/>
      </c>
      <c r="C23" s="48">
        <f>TRIM(Raw_Data!C14)</f>
        <v/>
      </c>
      <c r="D23" s="48">
        <f>IF(PROPER(TRIM(Raw_Data!D14))="Bangalore","Bengaluru",IF(PROPER(TRIM(Raw_Data!D14))="Gurgaon","Gurugram",IF(OR(PROPER(TRIM(Raw_Data!D14))="New Delhi",PROPER(TRIM(Raw_Data!D14))="Delhi"),"Delhi",PROPER(TRIM(Raw_Data!D14)))))</f>
        <v/>
      </c>
      <c r="E23" s="48">
        <f>Raw_Data!E14</f>
        <v/>
      </c>
      <c r="F23" s="48">
        <f>IF(TRIM(Raw_Data!F14&amp;"")="","Not Specified",Raw_Data!F14)</f>
        <v/>
      </c>
      <c r="G23" s="48">
        <f>Raw_Data!G14</f>
        <v/>
      </c>
      <c r="H23" s="48">
        <f>Raw_Data!H14</f>
        <v/>
      </c>
      <c r="I23" s="49">
        <f>IF(Raw_Data!I14="","",Raw_Data!I14)</f>
        <v/>
      </c>
      <c r="J23" s="49">
        <f>IF(Raw_Data!J14="","",Raw_Data!J14)</f>
        <v/>
      </c>
      <c r="K23" s="48">
        <f>IF(TRIM(Raw_Data!K14&amp;"")="","Not Specified",Raw_Data!K14)</f>
        <v/>
      </c>
      <c r="L23" s="56">
        <f>Raw_Data!L14</f>
        <v/>
      </c>
      <c r="M23" s="49">
        <f>IF(OR(I23="",J23=""),"",(I23+J23)/2)</f>
        <v/>
      </c>
      <c r="N23" s="49">
        <f>IF(OR(I23="",J23=""),"",J23-I23)</f>
        <v/>
      </c>
      <c r="O23" s="48">
        <f>TEXT(L23,"mmm-yyyy")</f>
        <v/>
      </c>
      <c r="P23" s="48">
        <f>_xlfn.IFS(ISNUMBER(SEARCH("data analy",B23)),"Data Analyst",ISNUMBER(SEARCH("business analy",B23)),"Business Analyst",OR(ISNUMBER(SEARCH("developer",B23)),ISNUMBER(SEARCH("software engineer",B23)),ISNUMBER(SEARCH("programmer",B23))),"Software Developer",ISNUMBER(SEARCH("business development",B23)),"Business Development",ISNUMBER(SEARCH("sales",B23)),"Sales Executive",ISNUMBER(SEARCH("marketing",B23)),"Marketing Executive",OR(ISNUMBER(SEARCH("hr ",B23)),ISNUMBER(SEARCH("recruit",B23)),ISNUMBER(SEARCH("human resource",B23))),"HR / Recruiter",OR(ISNUMBER(SEARCH("account",B23)),ISNUMBER(SEARCH("finance",B23)),ISNUMBER(SEARCH("tax",B23)),ISNUMBER(SEARCH("audit",B23))),"Accountant / Finance",OR(ISNUMBER(SEARCH("customer service",B23)),ISNUMBER(SEARCH("customer support",B23)),ISNUMBER(SEARCH("customer care",B23)),ISNUMBER(SEARCH("voice process",B23)),ISNUMBER(SEARCH("bpo",B23))),"Customer Support",ISNUMBER(SEARCH("engineer",B23)),"Engineer (Technical)",ISNUMBER(SEARCH("manager",B23)),"Manager",OR(ISNUMBER(SEARCH("teacher",B23)),ISNUMBER(SEARCH("trainer",B23)),ISNUMBER(SEARCH("faculty",B23))),"Teacher / Trainer",OR(ISNUMBER(SEARCH("doctor",B23)),ISNUMBER(SEARCH("nurse",B23)),ISNUMBER(SEARCH("medical",B23)),ISNUMBER(SEARCH("pharma",B23)),ISNUMBER(SEARCH("clinical",B23))),"Healthcare",TRUE,"Other")</f>
        <v/>
      </c>
      <c r="Q23" s="48">
        <f>IF(COUNTIFS($B$11:B23,B23,$C$11:C23,C23,$D$11:D23,D23,$L$11:L23,L23)&gt;1,"Duplicate","Unique")</f>
        <v/>
      </c>
    </row>
    <row r="24">
      <c r="A24" s="48">
        <f>Raw_Data!A15</f>
        <v/>
      </c>
      <c r="B24" s="48">
        <f>PROPER(TRIM(Raw_Data!B15))</f>
        <v/>
      </c>
      <c r="C24" s="48">
        <f>TRIM(Raw_Data!C15)</f>
        <v/>
      </c>
      <c r="D24" s="48">
        <f>IF(PROPER(TRIM(Raw_Data!D15))="Bangalore","Bengaluru",IF(PROPER(TRIM(Raw_Data!D15))="Gurgaon","Gurugram",IF(OR(PROPER(TRIM(Raw_Data!D15))="New Delhi",PROPER(TRIM(Raw_Data!D15))="Delhi"),"Delhi",PROPER(TRIM(Raw_Data!D15)))))</f>
        <v/>
      </c>
      <c r="E24" s="48">
        <f>Raw_Data!E15</f>
        <v/>
      </c>
      <c r="F24" s="48">
        <f>IF(TRIM(Raw_Data!F15&amp;"")="","Not Specified",Raw_Data!F15)</f>
        <v/>
      </c>
      <c r="G24" s="48">
        <f>Raw_Data!G15</f>
        <v/>
      </c>
      <c r="H24" s="48">
        <f>Raw_Data!H15</f>
        <v/>
      </c>
      <c r="I24" s="49">
        <f>IF(Raw_Data!I15="","",Raw_Data!I15)</f>
        <v/>
      </c>
      <c r="J24" s="49">
        <f>IF(Raw_Data!J15="","",Raw_Data!J15)</f>
        <v/>
      </c>
      <c r="K24" s="48">
        <f>IF(TRIM(Raw_Data!K15&amp;"")="","Not Specified",Raw_Data!K15)</f>
        <v/>
      </c>
      <c r="L24" s="56">
        <f>Raw_Data!L15</f>
        <v/>
      </c>
      <c r="M24" s="49">
        <f>IF(OR(I24="",J24=""),"",(I24+J24)/2)</f>
        <v/>
      </c>
      <c r="N24" s="49">
        <f>IF(OR(I24="",J24=""),"",J24-I24)</f>
        <v/>
      </c>
      <c r="O24" s="48">
        <f>TEXT(L24,"mmm-yyyy")</f>
        <v/>
      </c>
      <c r="P24" s="48">
        <f>_xlfn.IFS(ISNUMBER(SEARCH("data analy",B24)),"Data Analyst",ISNUMBER(SEARCH("business analy",B24)),"Business Analyst",OR(ISNUMBER(SEARCH("developer",B24)),ISNUMBER(SEARCH("software engineer",B24)),ISNUMBER(SEARCH("programmer",B24))),"Software Developer",ISNUMBER(SEARCH("business development",B24)),"Business Development",ISNUMBER(SEARCH("sales",B24)),"Sales Executive",ISNUMBER(SEARCH("marketing",B24)),"Marketing Executive",OR(ISNUMBER(SEARCH("hr ",B24)),ISNUMBER(SEARCH("recruit",B24)),ISNUMBER(SEARCH("human resource",B24))),"HR / Recruiter",OR(ISNUMBER(SEARCH("account",B24)),ISNUMBER(SEARCH("finance",B24)),ISNUMBER(SEARCH("tax",B24)),ISNUMBER(SEARCH("audit",B24))),"Accountant / Finance",OR(ISNUMBER(SEARCH("customer service",B24)),ISNUMBER(SEARCH("customer support",B24)),ISNUMBER(SEARCH("customer care",B24)),ISNUMBER(SEARCH("voice process",B24)),ISNUMBER(SEARCH("bpo",B24))),"Customer Support",ISNUMBER(SEARCH("engineer",B24)),"Engineer (Technical)",ISNUMBER(SEARCH("manager",B24)),"Manager",OR(ISNUMBER(SEARCH("teacher",B24)),ISNUMBER(SEARCH("trainer",B24)),ISNUMBER(SEARCH("faculty",B24))),"Teacher / Trainer",OR(ISNUMBER(SEARCH("doctor",B24)),ISNUMBER(SEARCH("nurse",B24)),ISNUMBER(SEARCH("medical",B24)),ISNUMBER(SEARCH("pharma",B24)),ISNUMBER(SEARCH("clinical",B24))),"Healthcare",TRUE,"Other")</f>
        <v/>
      </c>
      <c r="Q24" s="48">
        <f>IF(COUNTIFS($B$11:B24,B24,$C$11:C24,C24,$D$11:D24,D24,$L$11:L24,L24)&gt;1,"Duplicate","Unique")</f>
        <v/>
      </c>
    </row>
    <row r="25">
      <c r="A25" s="48">
        <f>Raw_Data!A16</f>
        <v/>
      </c>
      <c r="B25" s="48">
        <f>PROPER(TRIM(Raw_Data!B16))</f>
        <v/>
      </c>
      <c r="C25" s="48">
        <f>TRIM(Raw_Data!C16)</f>
        <v/>
      </c>
      <c r="D25" s="48">
        <f>IF(PROPER(TRIM(Raw_Data!D16))="Bangalore","Bengaluru",IF(PROPER(TRIM(Raw_Data!D16))="Gurgaon","Gurugram",IF(OR(PROPER(TRIM(Raw_Data!D16))="New Delhi",PROPER(TRIM(Raw_Data!D16))="Delhi"),"Delhi",PROPER(TRIM(Raw_Data!D16)))))</f>
        <v/>
      </c>
      <c r="E25" s="48">
        <f>Raw_Data!E16</f>
        <v/>
      </c>
      <c r="F25" s="48">
        <f>IF(TRIM(Raw_Data!F16&amp;"")="","Not Specified",Raw_Data!F16)</f>
        <v/>
      </c>
      <c r="G25" s="48">
        <f>Raw_Data!G16</f>
        <v/>
      </c>
      <c r="H25" s="48">
        <f>Raw_Data!H16</f>
        <v/>
      </c>
      <c r="I25" s="49">
        <f>IF(Raw_Data!I16="","",Raw_Data!I16)</f>
        <v/>
      </c>
      <c r="J25" s="49">
        <f>IF(Raw_Data!J16="","",Raw_Data!J16)</f>
        <v/>
      </c>
      <c r="K25" s="48">
        <f>IF(TRIM(Raw_Data!K16&amp;"")="","Not Specified",Raw_Data!K16)</f>
        <v/>
      </c>
      <c r="L25" s="56">
        <f>Raw_Data!L16</f>
        <v/>
      </c>
      <c r="M25" s="49">
        <f>IF(OR(I25="",J25=""),"",(I25+J25)/2)</f>
        <v/>
      </c>
      <c r="N25" s="49">
        <f>IF(OR(I25="",J25=""),"",J25-I25)</f>
        <v/>
      </c>
      <c r="O25" s="48">
        <f>TEXT(L25,"mmm-yyyy")</f>
        <v/>
      </c>
      <c r="P25" s="48">
        <f>_xlfn.IFS(ISNUMBER(SEARCH("data analy",B25)),"Data Analyst",ISNUMBER(SEARCH("business analy",B25)),"Business Analyst",OR(ISNUMBER(SEARCH("developer",B25)),ISNUMBER(SEARCH("software engineer",B25)),ISNUMBER(SEARCH("programmer",B25))),"Software Developer",ISNUMBER(SEARCH("business development",B25)),"Business Development",ISNUMBER(SEARCH("sales",B25)),"Sales Executive",ISNUMBER(SEARCH("marketing",B25)),"Marketing Executive",OR(ISNUMBER(SEARCH("hr ",B25)),ISNUMBER(SEARCH("recruit",B25)),ISNUMBER(SEARCH("human resource",B25))),"HR / Recruiter",OR(ISNUMBER(SEARCH("account",B25)),ISNUMBER(SEARCH("finance",B25)),ISNUMBER(SEARCH("tax",B25)),ISNUMBER(SEARCH("audit",B25))),"Accountant / Finance",OR(ISNUMBER(SEARCH("customer service",B25)),ISNUMBER(SEARCH("customer support",B25)),ISNUMBER(SEARCH("customer care",B25)),ISNUMBER(SEARCH("voice process",B25)),ISNUMBER(SEARCH("bpo",B25))),"Customer Support",ISNUMBER(SEARCH("engineer",B25)),"Engineer (Technical)",ISNUMBER(SEARCH("manager",B25)),"Manager",OR(ISNUMBER(SEARCH("teacher",B25)),ISNUMBER(SEARCH("trainer",B25)),ISNUMBER(SEARCH("faculty",B25))),"Teacher / Trainer",OR(ISNUMBER(SEARCH("doctor",B25)),ISNUMBER(SEARCH("nurse",B25)),ISNUMBER(SEARCH("medical",B25)),ISNUMBER(SEARCH("pharma",B25)),ISNUMBER(SEARCH("clinical",B25))),"Healthcare",TRUE,"Other")</f>
        <v/>
      </c>
      <c r="Q25" s="48">
        <f>IF(COUNTIFS($B$11:B25,B25,$C$11:C25,C25,$D$11:D25,D25,$L$11:L25,L25)&gt;1,"Duplicate","Unique")</f>
        <v/>
      </c>
    </row>
    <row r="26">
      <c r="A26" s="48">
        <f>Raw_Data!A17</f>
        <v/>
      </c>
      <c r="B26" s="48">
        <f>PROPER(TRIM(Raw_Data!B17))</f>
        <v/>
      </c>
      <c r="C26" s="48">
        <f>TRIM(Raw_Data!C17)</f>
        <v/>
      </c>
      <c r="D26" s="48">
        <f>IF(PROPER(TRIM(Raw_Data!D17))="Bangalore","Bengaluru",IF(PROPER(TRIM(Raw_Data!D17))="Gurgaon","Gurugram",IF(OR(PROPER(TRIM(Raw_Data!D17))="New Delhi",PROPER(TRIM(Raw_Data!D17))="Delhi"),"Delhi",PROPER(TRIM(Raw_Data!D17)))))</f>
        <v/>
      </c>
      <c r="E26" s="48">
        <f>Raw_Data!E17</f>
        <v/>
      </c>
      <c r="F26" s="48">
        <f>IF(TRIM(Raw_Data!F17&amp;"")="","Not Specified",Raw_Data!F17)</f>
        <v/>
      </c>
      <c r="G26" s="48">
        <f>Raw_Data!G17</f>
        <v/>
      </c>
      <c r="H26" s="48">
        <f>Raw_Data!H17</f>
        <v/>
      </c>
      <c r="I26" s="49">
        <f>IF(Raw_Data!I17="","",Raw_Data!I17)</f>
        <v/>
      </c>
      <c r="J26" s="49">
        <f>IF(Raw_Data!J17="","",Raw_Data!J17)</f>
        <v/>
      </c>
      <c r="K26" s="48">
        <f>IF(TRIM(Raw_Data!K17&amp;"")="","Not Specified",Raw_Data!K17)</f>
        <v/>
      </c>
      <c r="L26" s="56">
        <f>Raw_Data!L17</f>
        <v/>
      </c>
      <c r="M26" s="49">
        <f>IF(OR(I26="",J26=""),"",(I26+J26)/2)</f>
        <v/>
      </c>
      <c r="N26" s="49">
        <f>IF(OR(I26="",J26=""),"",J26-I26)</f>
        <v/>
      </c>
      <c r="O26" s="48">
        <f>TEXT(L26,"mmm-yyyy")</f>
        <v/>
      </c>
      <c r="P26" s="48">
        <f>_xlfn.IFS(ISNUMBER(SEARCH("data analy",B26)),"Data Analyst",ISNUMBER(SEARCH("business analy",B26)),"Business Analyst",OR(ISNUMBER(SEARCH("developer",B26)),ISNUMBER(SEARCH("software engineer",B26)),ISNUMBER(SEARCH("programmer",B26))),"Software Developer",ISNUMBER(SEARCH("business development",B26)),"Business Development",ISNUMBER(SEARCH("sales",B26)),"Sales Executive",ISNUMBER(SEARCH("marketing",B26)),"Marketing Executive",OR(ISNUMBER(SEARCH("hr ",B26)),ISNUMBER(SEARCH("recruit",B26)),ISNUMBER(SEARCH("human resource",B26))),"HR / Recruiter",OR(ISNUMBER(SEARCH("account",B26)),ISNUMBER(SEARCH("finance",B26)),ISNUMBER(SEARCH("tax",B26)),ISNUMBER(SEARCH("audit",B26))),"Accountant / Finance",OR(ISNUMBER(SEARCH("customer service",B26)),ISNUMBER(SEARCH("customer support",B26)),ISNUMBER(SEARCH("customer care",B26)),ISNUMBER(SEARCH("voice process",B26)),ISNUMBER(SEARCH("bpo",B26))),"Customer Support",ISNUMBER(SEARCH("engineer",B26)),"Engineer (Technical)",ISNUMBER(SEARCH("manager",B26)),"Manager",OR(ISNUMBER(SEARCH("teacher",B26)),ISNUMBER(SEARCH("trainer",B26)),ISNUMBER(SEARCH("faculty",B26))),"Teacher / Trainer",OR(ISNUMBER(SEARCH("doctor",B26)),ISNUMBER(SEARCH("nurse",B26)),ISNUMBER(SEARCH("medical",B26)),ISNUMBER(SEARCH("pharma",B26)),ISNUMBER(SEARCH("clinical",B26))),"Healthcare",TRUE,"Other")</f>
        <v/>
      </c>
      <c r="Q26" s="48">
        <f>IF(COUNTIFS($B$11:B26,B26,$C$11:C26,C26,$D$11:D26,D26,$L$11:L26,L26)&gt;1,"Duplicate","Unique")</f>
        <v/>
      </c>
    </row>
    <row r="27">
      <c r="A27" s="48">
        <f>Raw_Data!A18</f>
        <v/>
      </c>
      <c r="B27" s="48">
        <f>PROPER(TRIM(Raw_Data!B18))</f>
        <v/>
      </c>
      <c r="C27" s="48">
        <f>TRIM(Raw_Data!C18)</f>
        <v/>
      </c>
      <c r="D27" s="48">
        <f>IF(PROPER(TRIM(Raw_Data!D18))="Bangalore","Bengaluru",IF(PROPER(TRIM(Raw_Data!D18))="Gurgaon","Gurugram",IF(OR(PROPER(TRIM(Raw_Data!D18))="New Delhi",PROPER(TRIM(Raw_Data!D18))="Delhi"),"Delhi",PROPER(TRIM(Raw_Data!D18)))))</f>
        <v/>
      </c>
      <c r="E27" s="48">
        <f>Raw_Data!E18</f>
        <v/>
      </c>
      <c r="F27" s="48">
        <f>IF(TRIM(Raw_Data!F18&amp;"")="","Not Specified",Raw_Data!F18)</f>
        <v/>
      </c>
      <c r="G27" s="48">
        <f>Raw_Data!G18</f>
        <v/>
      </c>
      <c r="H27" s="48">
        <f>Raw_Data!H18</f>
        <v/>
      </c>
      <c r="I27" s="49">
        <f>IF(Raw_Data!I18="","",Raw_Data!I18)</f>
        <v/>
      </c>
      <c r="J27" s="49">
        <f>IF(Raw_Data!J18="","",Raw_Data!J18)</f>
        <v/>
      </c>
      <c r="K27" s="48">
        <f>IF(TRIM(Raw_Data!K18&amp;"")="","Not Specified",Raw_Data!K18)</f>
        <v/>
      </c>
      <c r="L27" s="56">
        <f>Raw_Data!L18</f>
        <v/>
      </c>
      <c r="M27" s="49">
        <f>IF(OR(I27="",J27=""),"",(I27+J27)/2)</f>
        <v/>
      </c>
      <c r="N27" s="49">
        <f>IF(OR(I27="",J27=""),"",J27-I27)</f>
        <v/>
      </c>
      <c r="O27" s="48">
        <f>TEXT(L27,"mmm-yyyy")</f>
        <v/>
      </c>
      <c r="P27" s="48">
        <f>_xlfn.IFS(ISNUMBER(SEARCH("data analy",B27)),"Data Analyst",ISNUMBER(SEARCH("business analy",B27)),"Business Analyst",OR(ISNUMBER(SEARCH("developer",B27)),ISNUMBER(SEARCH("software engineer",B27)),ISNUMBER(SEARCH("programmer",B27))),"Software Developer",ISNUMBER(SEARCH("business development",B27)),"Business Development",ISNUMBER(SEARCH("sales",B27)),"Sales Executive",ISNUMBER(SEARCH("marketing",B27)),"Marketing Executive",OR(ISNUMBER(SEARCH("hr ",B27)),ISNUMBER(SEARCH("recruit",B27)),ISNUMBER(SEARCH("human resource",B27))),"HR / Recruiter",OR(ISNUMBER(SEARCH("account",B27)),ISNUMBER(SEARCH("finance",B27)),ISNUMBER(SEARCH("tax",B27)),ISNUMBER(SEARCH("audit",B27))),"Accountant / Finance",OR(ISNUMBER(SEARCH("customer service",B27)),ISNUMBER(SEARCH("customer support",B27)),ISNUMBER(SEARCH("customer care",B27)),ISNUMBER(SEARCH("voice process",B27)),ISNUMBER(SEARCH("bpo",B27))),"Customer Support",ISNUMBER(SEARCH("engineer",B27)),"Engineer (Technical)",ISNUMBER(SEARCH("manager",B27)),"Manager",OR(ISNUMBER(SEARCH("teacher",B27)),ISNUMBER(SEARCH("trainer",B27)),ISNUMBER(SEARCH("faculty",B27))),"Teacher / Trainer",OR(ISNUMBER(SEARCH("doctor",B27)),ISNUMBER(SEARCH("nurse",B27)),ISNUMBER(SEARCH("medical",B27)),ISNUMBER(SEARCH("pharma",B27)),ISNUMBER(SEARCH("clinical",B27))),"Healthcare",TRUE,"Other")</f>
        <v/>
      </c>
      <c r="Q27" s="48">
        <f>IF(COUNTIFS($B$11:B27,B27,$C$11:C27,C27,$D$11:D27,D27,$L$11:L27,L27)&gt;1,"Duplicate","Unique")</f>
        <v/>
      </c>
    </row>
    <row r="28">
      <c r="A28" s="48">
        <f>Raw_Data!A19</f>
        <v/>
      </c>
      <c r="B28" s="48">
        <f>PROPER(TRIM(Raw_Data!B19))</f>
        <v/>
      </c>
      <c r="C28" s="48">
        <f>TRIM(Raw_Data!C19)</f>
        <v/>
      </c>
      <c r="D28" s="48">
        <f>IF(PROPER(TRIM(Raw_Data!D19))="Bangalore","Bengaluru",IF(PROPER(TRIM(Raw_Data!D19))="Gurgaon","Gurugram",IF(OR(PROPER(TRIM(Raw_Data!D19))="New Delhi",PROPER(TRIM(Raw_Data!D19))="Delhi"),"Delhi",PROPER(TRIM(Raw_Data!D19)))))</f>
        <v/>
      </c>
      <c r="E28" s="48">
        <f>Raw_Data!E19</f>
        <v/>
      </c>
      <c r="F28" s="48">
        <f>IF(TRIM(Raw_Data!F19&amp;"")="","Not Specified",Raw_Data!F19)</f>
        <v/>
      </c>
      <c r="G28" s="48">
        <f>Raw_Data!G19</f>
        <v/>
      </c>
      <c r="H28" s="48">
        <f>Raw_Data!H19</f>
        <v/>
      </c>
      <c r="I28" s="49">
        <f>IF(Raw_Data!I19="","",Raw_Data!I19)</f>
        <v/>
      </c>
      <c r="J28" s="49">
        <f>IF(Raw_Data!J19="","",Raw_Data!J19)</f>
        <v/>
      </c>
      <c r="K28" s="48">
        <f>IF(TRIM(Raw_Data!K19&amp;"")="","Not Specified",Raw_Data!K19)</f>
        <v/>
      </c>
      <c r="L28" s="56">
        <f>Raw_Data!L19</f>
        <v/>
      </c>
      <c r="M28" s="49">
        <f>IF(OR(I28="",J28=""),"",(I28+J28)/2)</f>
        <v/>
      </c>
      <c r="N28" s="49">
        <f>IF(OR(I28="",J28=""),"",J28-I28)</f>
        <v/>
      </c>
      <c r="O28" s="48">
        <f>TEXT(L28,"mmm-yyyy")</f>
        <v/>
      </c>
      <c r="P28" s="48">
        <f>_xlfn.IFS(ISNUMBER(SEARCH("data analy",B28)),"Data Analyst",ISNUMBER(SEARCH("business analy",B28)),"Business Analyst",OR(ISNUMBER(SEARCH("developer",B28)),ISNUMBER(SEARCH("software engineer",B28)),ISNUMBER(SEARCH("programmer",B28))),"Software Developer",ISNUMBER(SEARCH("business development",B28)),"Business Development",ISNUMBER(SEARCH("sales",B28)),"Sales Executive",ISNUMBER(SEARCH("marketing",B28)),"Marketing Executive",OR(ISNUMBER(SEARCH("hr ",B28)),ISNUMBER(SEARCH("recruit",B28)),ISNUMBER(SEARCH("human resource",B28))),"HR / Recruiter",OR(ISNUMBER(SEARCH("account",B28)),ISNUMBER(SEARCH("finance",B28)),ISNUMBER(SEARCH("tax",B28)),ISNUMBER(SEARCH("audit",B28))),"Accountant / Finance",OR(ISNUMBER(SEARCH("customer service",B28)),ISNUMBER(SEARCH("customer support",B28)),ISNUMBER(SEARCH("customer care",B28)),ISNUMBER(SEARCH("voice process",B28)),ISNUMBER(SEARCH("bpo",B28))),"Customer Support",ISNUMBER(SEARCH("engineer",B28)),"Engineer (Technical)",ISNUMBER(SEARCH("manager",B28)),"Manager",OR(ISNUMBER(SEARCH("teacher",B28)),ISNUMBER(SEARCH("trainer",B28)),ISNUMBER(SEARCH("faculty",B28))),"Teacher / Trainer",OR(ISNUMBER(SEARCH("doctor",B28)),ISNUMBER(SEARCH("nurse",B28)),ISNUMBER(SEARCH("medical",B28)),ISNUMBER(SEARCH("pharma",B28)),ISNUMBER(SEARCH("clinical",B28))),"Healthcare",TRUE,"Other")</f>
        <v/>
      </c>
      <c r="Q28" s="48">
        <f>IF(COUNTIFS($B$11:B28,B28,$C$11:C28,C28,$D$11:D28,D28,$L$11:L28,L28)&gt;1,"Duplicate","Unique")</f>
        <v/>
      </c>
    </row>
    <row r="29">
      <c r="A29" s="48">
        <f>Raw_Data!A20</f>
        <v/>
      </c>
      <c r="B29" s="48">
        <f>PROPER(TRIM(Raw_Data!B20))</f>
        <v/>
      </c>
      <c r="C29" s="48">
        <f>TRIM(Raw_Data!C20)</f>
        <v/>
      </c>
      <c r="D29" s="48">
        <f>IF(PROPER(TRIM(Raw_Data!D20))="Bangalore","Bengaluru",IF(PROPER(TRIM(Raw_Data!D20))="Gurgaon","Gurugram",IF(OR(PROPER(TRIM(Raw_Data!D20))="New Delhi",PROPER(TRIM(Raw_Data!D20))="Delhi"),"Delhi",PROPER(TRIM(Raw_Data!D20)))))</f>
        <v/>
      </c>
      <c r="E29" s="48">
        <f>Raw_Data!E20</f>
        <v/>
      </c>
      <c r="F29" s="48">
        <f>IF(TRIM(Raw_Data!F20&amp;"")="","Not Specified",Raw_Data!F20)</f>
        <v/>
      </c>
      <c r="G29" s="48">
        <f>Raw_Data!G20</f>
        <v/>
      </c>
      <c r="H29" s="48">
        <f>Raw_Data!H20</f>
        <v/>
      </c>
      <c r="I29" s="49">
        <f>IF(Raw_Data!I20="","",Raw_Data!I20)</f>
        <v/>
      </c>
      <c r="J29" s="49">
        <f>IF(Raw_Data!J20="","",Raw_Data!J20)</f>
        <v/>
      </c>
      <c r="K29" s="48">
        <f>IF(TRIM(Raw_Data!K20&amp;"")="","Not Specified",Raw_Data!K20)</f>
        <v/>
      </c>
      <c r="L29" s="56">
        <f>Raw_Data!L20</f>
        <v/>
      </c>
      <c r="M29" s="49">
        <f>IF(OR(I29="",J29=""),"",(I29+J29)/2)</f>
        <v/>
      </c>
      <c r="N29" s="49">
        <f>IF(OR(I29="",J29=""),"",J29-I29)</f>
        <v/>
      </c>
      <c r="O29" s="48">
        <f>TEXT(L29,"mmm-yyyy")</f>
        <v/>
      </c>
      <c r="P29" s="48">
        <f>_xlfn.IFS(ISNUMBER(SEARCH("data analy",B29)),"Data Analyst",ISNUMBER(SEARCH("business analy",B29)),"Business Analyst",OR(ISNUMBER(SEARCH("developer",B29)),ISNUMBER(SEARCH("software engineer",B29)),ISNUMBER(SEARCH("programmer",B29))),"Software Developer",ISNUMBER(SEARCH("business development",B29)),"Business Development",ISNUMBER(SEARCH("sales",B29)),"Sales Executive",ISNUMBER(SEARCH("marketing",B29)),"Marketing Executive",OR(ISNUMBER(SEARCH("hr ",B29)),ISNUMBER(SEARCH("recruit",B29)),ISNUMBER(SEARCH("human resource",B29))),"HR / Recruiter",OR(ISNUMBER(SEARCH("account",B29)),ISNUMBER(SEARCH("finance",B29)),ISNUMBER(SEARCH("tax",B29)),ISNUMBER(SEARCH("audit",B29))),"Accountant / Finance",OR(ISNUMBER(SEARCH("customer service",B29)),ISNUMBER(SEARCH("customer support",B29)),ISNUMBER(SEARCH("customer care",B29)),ISNUMBER(SEARCH("voice process",B29)),ISNUMBER(SEARCH("bpo",B29))),"Customer Support",ISNUMBER(SEARCH("engineer",B29)),"Engineer (Technical)",ISNUMBER(SEARCH("manager",B29)),"Manager",OR(ISNUMBER(SEARCH("teacher",B29)),ISNUMBER(SEARCH("trainer",B29)),ISNUMBER(SEARCH("faculty",B29))),"Teacher / Trainer",OR(ISNUMBER(SEARCH("doctor",B29)),ISNUMBER(SEARCH("nurse",B29)),ISNUMBER(SEARCH("medical",B29)),ISNUMBER(SEARCH("pharma",B29)),ISNUMBER(SEARCH("clinical",B29))),"Healthcare",TRUE,"Other")</f>
        <v/>
      </c>
      <c r="Q29" s="48">
        <f>IF(COUNTIFS($B$11:B29,B29,$C$11:C29,C29,$D$11:D29,D29,$L$11:L29,L29)&gt;1,"Duplicate","Unique")</f>
        <v/>
      </c>
    </row>
    <row r="30">
      <c r="A30" s="48">
        <f>Raw_Data!A21</f>
        <v/>
      </c>
      <c r="B30" s="48">
        <f>PROPER(TRIM(Raw_Data!B21))</f>
        <v/>
      </c>
      <c r="C30" s="48">
        <f>TRIM(Raw_Data!C21)</f>
        <v/>
      </c>
      <c r="D30" s="48">
        <f>IF(PROPER(TRIM(Raw_Data!D21))="Bangalore","Bengaluru",IF(PROPER(TRIM(Raw_Data!D21))="Gurgaon","Gurugram",IF(OR(PROPER(TRIM(Raw_Data!D21))="New Delhi",PROPER(TRIM(Raw_Data!D21))="Delhi"),"Delhi",PROPER(TRIM(Raw_Data!D21)))))</f>
        <v/>
      </c>
      <c r="E30" s="48">
        <f>Raw_Data!E21</f>
        <v/>
      </c>
      <c r="F30" s="48">
        <f>IF(TRIM(Raw_Data!F21&amp;"")="","Not Specified",Raw_Data!F21)</f>
        <v/>
      </c>
      <c r="G30" s="48">
        <f>Raw_Data!G21</f>
        <v/>
      </c>
      <c r="H30" s="48">
        <f>Raw_Data!H21</f>
        <v/>
      </c>
      <c r="I30" s="49">
        <f>IF(Raw_Data!I21="","",Raw_Data!I21)</f>
        <v/>
      </c>
      <c r="J30" s="49">
        <f>IF(Raw_Data!J21="","",Raw_Data!J21)</f>
        <v/>
      </c>
      <c r="K30" s="48">
        <f>IF(TRIM(Raw_Data!K21&amp;"")="","Not Specified",Raw_Data!K21)</f>
        <v/>
      </c>
      <c r="L30" s="56">
        <f>Raw_Data!L21</f>
        <v/>
      </c>
      <c r="M30" s="49">
        <f>IF(OR(I30="",J30=""),"",(I30+J30)/2)</f>
        <v/>
      </c>
      <c r="N30" s="49">
        <f>IF(OR(I30="",J30=""),"",J30-I30)</f>
        <v/>
      </c>
      <c r="O30" s="48">
        <f>TEXT(L30,"mmm-yyyy")</f>
        <v/>
      </c>
      <c r="P30" s="48">
        <f>_xlfn.IFS(ISNUMBER(SEARCH("data analy",B30)),"Data Analyst",ISNUMBER(SEARCH("business analy",B30)),"Business Analyst",OR(ISNUMBER(SEARCH("developer",B30)),ISNUMBER(SEARCH("software engineer",B30)),ISNUMBER(SEARCH("programmer",B30))),"Software Developer",ISNUMBER(SEARCH("business development",B30)),"Business Development",ISNUMBER(SEARCH("sales",B30)),"Sales Executive",ISNUMBER(SEARCH("marketing",B30)),"Marketing Executive",OR(ISNUMBER(SEARCH("hr ",B30)),ISNUMBER(SEARCH("recruit",B30)),ISNUMBER(SEARCH("human resource",B30))),"HR / Recruiter",OR(ISNUMBER(SEARCH("account",B30)),ISNUMBER(SEARCH("finance",B30)),ISNUMBER(SEARCH("tax",B30)),ISNUMBER(SEARCH("audit",B30))),"Accountant / Finance",OR(ISNUMBER(SEARCH("customer service",B30)),ISNUMBER(SEARCH("customer support",B30)),ISNUMBER(SEARCH("customer care",B30)),ISNUMBER(SEARCH("voice process",B30)),ISNUMBER(SEARCH("bpo",B30))),"Customer Support",ISNUMBER(SEARCH("engineer",B30)),"Engineer (Technical)",ISNUMBER(SEARCH("manager",B30)),"Manager",OR(ISNUMBER(SEARCH("teacher",B30)),ISNUMBER(SEARCH("trainer",B30)),ISNUMBER(SEARCH("faculty",B30))),"Teacher / Trainer",OR(ISNUMBER(SEARCH("doctor",B30)),ISNUMBER(SEARCH("nurse",B30)),ISNUMBER(SEARCH("medical",B30)),ISNUMBER(SEARCH("pharma",B30)),ISNUMBER(SEARCH("clinical",B30))),"Healthcare",TRUE,"Other")</f>
        <v/>
      </c>
      <c r="Q30" s="48">
        <f>IF(COUNTIFS($B$11:B30,B30,$C$11:C30,C30,$D$11:D30,D30,$L$11:L30,L30)&gt;1,"Duplicate","Unique")</f>
        <v/>
      </c>
    </row>
    <row r="31">
      <c r="A31" s="48">
        <f>Raw_Data!A22</f>
        <v/>
      </c>
      <c r="B31" s="48">
        <f>PROPER(TRIM(Raw_Data!B22))</f>
        <v/>
      </c>
      <c r="C31" s="48">
        <f>TRIM(Raw_Data!C22)</f>
        <v/>
      </c>
      <c r="D31" s="48">
        <f>IF(PROPER(TRIM(Raw_Data!D22))="Bangalore","Bengaluru",IF(PROPER(TRIM(Raw_Data!D22))="Gurgaon","Gurugram",IF(OR(PROPER(TRIM(Raw_Data!D22))="New Delhi",PROPER(TRIM(Raw_Data!D22))="Delhi"),"Delhi",PROPER(TRIM(Raw_Data!D22)))))</f>
        <v/>
      </c>
      <c r="E31" s="48">
        <f>Raw_Data!E22</f>
        <v/>
      </c>
      <c r="F31" s="48">
        <f>IF(TRIM(Raw_Data!F22&amp;"")="","Not Specified",Raw_Data!F22)</f>
        <v/>
      </c>
      <c r="G31" s="48">
        <f>Raw_Data!G22</f>
        <v/>
      </c>
      <c r="H31" s="48">
        <f>Raw_Data!H22</f>
        <v/>
      </c>
      <c r="I31" s="49">
        <f>IF(Raw_Data!I22="","",Raw_Data!I22)</f>
        <v/>
      </c>
      <c r="J31" s="49">
        <f>IF(Raw_Data!J22="","",Raw_Data!J22)</f>
        <v/>
      </c>
      <c r="K31" s="48">
        <f>IF(TRIM(Raw_Data!K22&amp;"")="","Not Specified",Raw_Data!K22)</f>
        <v/>
      </c>
      <c r="L31" s="56">
        <f>Raw_Data!L22</f>
        <v/>
      </c>
      <c r="M31" s="49">
        <f>IF(OR(I31="",J31=""),"",(I31+J31)/2)</f>
        <v/>
      </c>
      <c r="N31" s="49">
        <f>IF(OR(I31="",J31=""),"",J31-I31)</f>
        <v/>
      </c>
      <c r="O31" s="48">
        <f>TEXT(L31,"mmm-yyyy")</f>
        <v/>
      </c>
      <c r="P31" s="48">
        <f>_xlfn.IFS(ISNUMBER(SEARCH("data analy",B31)),"Data Analyst",ISNUMBER(SEARCH("business analy",B31)),"Business Analyst",OR(ISNUMBER(SEARCH("developer",B31)),ISNUMBER(SEARCH("software engineer",B31)),ISNUMBER(SEARCH("programmer",B31))),"Software Developer",ISNUMBER(SEARCH("business development",B31)),"Business Development",ISNUMBER(SEARCH("sales",B31)),"Sales Executive",ISNUMBER(SEARCH("marketing",B31)),"Marketing Executive",OR(ISNUMBER(SEARCH("hr ",B31)),ISNUMBER(SEARCH("recruit",B31)),ISNUMBER(SEARCH("human resource",B31))),"HR / Recruiter",OR(ISNUMBER(SEARCH("account",B31)),ISNUMBER(SEARCH("finance",B31)),ISNUMBER(SEARCH("tax",B31)),ISNUMBER(SEARCH("audit",B31))),"Accountant / Finance",OR(ISNUMBER(SEARCH("customer service",B31)),ISNUMBER(SEARCH("customer support",B31)),ISNUMBER(SEARCH("customer care",B31)),ISNUMBER(SEARCH("voice process",B31)),ISNUMBER(SEARCH("bpo",B31))),"Customer Support",ISNUMBER(SEARCH("engineer",B31)),"Engineer (Technical)",ISNUMBER(SEARCH("manager",B31)),"Manager",OR(ISNUMBER(SEARCH("teacher",B31)),ISNUMBER(SEARCH("trainer",B31)),ISNUMBER(SEARCH("faculty",B31))),"Teacher / Trainer",OR(ISNUMBER(SEARCH("doctor",B31)),ISNUMBER(SEARCH("nurse",B31)),ISNUMBER(SEARCH("medical",B31)),ISNUMBER(SEARCH("pharma",B31)),ISNUMBER(SEARCH("clinical",B31))),"Healthcare",TRUE,"Other")</f>
        <v/>
      </c>
      <c r="Q31" s="48">
        <f>IF(COUNTIFS($B$11:B31,B31,$C$11:C31,C31,$D$11:D31,D31,$L$11:L31,L31)&gt;1,"Duplicate","Unique")</f>
        <v/>
      </c>
    </row>
    <row r="32">
      <c r="A32" s="48">
        <f>Raw_Data!A23</f>
        <v/>
      </c>
      <c r="B32" s="48">
        <f>PROPER(TRIM(Raw_Data!B23))</f>
        <v/>
      </c>
      <c r="C32" s="48">
        <f>TRIM(Raw_Data!C23)</f>
        <v/>
      </c>
      <c r="D32" s="48">
        <f>IF(PROPER(TRIM(Raw_Data!D23))="Bangalore","Bengaluru",IF(PROPER(TRIM(Raw_Data!D23))="Gurgaon","Gurugram",IF(OR(PROPER(TRIM(Raw_Data!D23))="New Delhi",PROPER(TRIM(Raw_Data!D23))="Delhi"),"Delhi",PROPER(TRIM(Raw_Data!D23)))))</f>
        <v/>
      </c>
      <c r="E32" s="48">
        <f>Raw_Data!E23</f>
        <v/>
      </c>
      <c r="F32" s="48">
        <f>IF(TRIM(Raw_Data!F23&amp;"")="","Not Specified",Raw_Data!F23)</f>
        <v/>
      </c>
      <c r="G32" s="48">
        <f>Raw_Data!G23</f>
        <v/>
      </c>
      <c r="H32" s="48">
        <f>Raw_Data!H23</f>
        <v/>
      </c>
      <c r="I32" s="49">
        <f>IF(Raw_Data!I23="","",Raw_Data!I23)</f>
        <v/>
      </c>
      <c r="J32" s="49">
        <f>IF(Raw_Data!J23="","",Raw_Data!J23)</f>
        <v/>
      </c>
      <c r="K32" s="48">
        <f>IF(TRIM(Raw_Data!K23&amp;"")="","Not Specified",Raw_Data!K23)</f>
        <v/>
      </c>
      <c r="L32" s="56">
        <f>Raw_Data!L23</f>
        <v/>
      </c>
      <c r="M32" s="49">
        <f>IF(OR(I32="",J32=""),"",(I32+J32)/2)</f>
        <v/>
      </c>
      <c r="N32" s="49">
        <f>IF(OR(I32="",J32=""),"",J32-I32)</f>
        <v/>
      </c>
      <c r="O32" s="48">
        <f>TEXT(L32,"mmm-yyyy")</f>
        <v/>
      </c>
      <c r="P32" s="48">
        <f>_xlfn.IFS(ISNUMBER(SEARCH("data analy",B32)),"Data Analyst",ISNUMBER(SEARCH("business analy",B32)),"Business Analyst",OR(ISNUMBER(SEARCH("developer",B32)),ISNUMBER(SEARCH("software engineer",B32)),ISNUMBER(SEARCH("programmer",B32))),"Software Developer",ISNUMBER(SEARCH("business development",B32)),"Business Development",ISNUMBER(SEARCH("sales",B32)),"Sales Executive",ISNUMBER(SEARCH("marketing",B32)),"Marketing Executive",OR(ISNUMBER(SEARCH("hr ",B32)),ISNUMBER(SEARCH("recruit",B32)),ISNUMBER(SEARCH("human resource",B32))),"HR / Recruiter",OR(ISNUMBER(SEARCH("account",B32)),ISNUMBER(SEARCH("finance",B32)),ISNUMBER(SEARCH("tax",B32)),ISNUMBER(SEARCH("audit",B32))),"Accountant / Finance",OR(ISNUMBER(SEARCH("customer service",B32)),ISNUMBER(SEARCH("customer support",B32)),ISNUMBER(SEARCH("customer care",B32)),ISNUMBER(SEARCH("voice process",B32)),ISNUMBER(SEARCH("bpo",B32))),"Customer Support",ISNUMBER(SEARCH("engineer",B32)),"Engineer (Technical)",ISNUMBER(SEARCH("manager",B32)),"Manager",OR(ISNUMBER(SEARCH("teacher",B32)),ISNUMBER(SEARCH("trainer",B32)),ISNUMBER(SEARCH("faculty",B32))),"Teacher / Trainer",OR(ISNUMBER(SEARCH("doctor",B32)),ISNUMBER(SEARCH("nurse",B32)),ISNUMBER(SEARCH("medical",B32)),ISNUMBER(SEARCH("pharma",B32)),ISNUMBER(SEARCH("clinical",B32))),"Healthcare",TRUE,"Other")</f>
        <v/>
      </c>
      <c r="Q32" s="48">
        <f>IF(COUNTIFS($B$11:B32,B32,$C$11:C32,C32,$D$11:D32,D32,$L$11:L32,L32)&gt;1,"Duplicate","Unique")</f>
        <v/>
      </c>
    </row>
    <row r="33">
      <c r="A33" s="48">
        <f>Raw_Data!A24</f>
        <v/>
      </c>
      <c r="B33" s="48">
        <f>PROPER(TRIM(Raw_Data!B24))</f>
        <v/>
      </c>
      <c r="C33" s="48">
        <f>TRIM(Raw_Data!C24)</f>
        <v/>
      </c>
      <c r="D33" s="48">
        <f>IF(PROPER(TRIM(Raw_Data!D24))="Bangalore","Bengaluru",IF(PROPER(TRIM(Raw_Data!D24))="Gurgaon","Gurugram",IF(OR(PROPER(TRIM(Raw_Data!D24))="New Delhi",PROPER(TRIM(Raw_Data!D24))="Delhi"),"Delhi",PROPER(TRIM(Raw_Data!D24)))))</f>
        <v/>
      </c>
      <c r="E33" s="48">
        <f>Raw_Data!E24</f>
        <v/>
      </c>
      <c r="F33" s="48">
        <f>IF(TRIM(Raw_Data!F24&amp;"")="","Not Specified",Raw_Data!F24)</f>
        <v/>
      </c>
      <c r="G33" s="48">
        <f>Raw_Data!G24</f>
        <v/>
      </c>
      <c r="H33" s="48">
        <f>Raw_Data!H24</f>
        <v/>
      </c>
      <c r="I33" s="49">
        <f>IF(Raw_Data!I24="","",Raw_Data!I24)</f>
        <v/>
      </c>
      <c r="J33" s="49">
        <f>IF(Raw_Data!J24="","",Raw_Data!J24)</f>
        <v/>
      </c>
      <c r="K33" s="48">
        <f>IF(TRIM(Raw_Data!K24&amp;"")="","Not Specified",Raw_Data!K24)</f>
        <v/>
      </c>
      <c r="L33" s="56">
        <f>Raw_Data!L24</f>
        <v/>
      </c>
      <c r="M33" s="49">
        <f>IF(OR(I33="",J33=""),"",(I33+J33)/2)</f>
        <v/>
      </c>
      <c r="N33" s="49">
        <f>IF(OR(I33="",J33=""),"",J33-I33)</f>
        <v/>
      </c>
      <c r="O33" s="48">
        <f>TEXT(L33,"mmm-yyyy")</f>
        <v/>
      </c>
      <c r="P33" s="48">
        <f>_xlfn.IFS(ISNUMBER(SEARCH("data analy",B33)),"Data Analyst",ISNUMBER(SEARCH("business analy",B33)),"Business Analyst",OR(ISNUMBER(SEARCH("developer",B33)),ISNUMBER(SEARCH("software engineer",B33)),ISNUMBER(SEARCH("programmer",B33))),"Software Developer",ISNUMBER(SEARCH("business development",B33)),"Business Development",ISNUMBER(SEARCH("sales",B33)),"Sales Executive",ISNUMBER(SEARCH("marketing",B33)),"Marketing Executive",OR(ISNUMBER(SEARCH("hr ",B33)),ISNUMBER(SEARCH("recruit",B33)),ISNUMBER(SEARCH("human resource",B33))),"HR / Recruiter",OR(ISNUMBER(SEARCH("account",B33)),ISNUMBER(SEARCH("finance",B33)),ISNUMBER(SEARCH("tax",B33)),ISNUMBER(SEARCH("audit",B33))),"Accountant / Finance",OR(ISNUMBER(SEARCH("customer service",B33)),ISNUMBER(SEARCH("customer support",B33)),ISNUMBER(SEARCH("customer care",B33)),ISNUMBER(SEARCH("voice process",B33)),ISNUMBER(SEARCH("bpo",B33))),"Customer Support",ISNUMBER(SEARCH("engineer",B33)),"Engineer (Technical)",ISNUMBER(SEARCH("manager",B33)),"Manager",OR(ISNUMBER(SEARCH("teacher",B33)),ISNUMBER(SEARCH("trainer",B33)),ISNUMBER(SEARCH("faculty",B33))),"Teacher / Trainer",OR(ISNUMBER(SEARCH("doctor",B33)),ISNUMBER(SEARCH("nurse",B33)),ISNUMBER(SEARCH("medical",B33)),ISNUMBER(SEARCH("pharma",B33)),ISNUMBER(SEARCH("clinical",B33))),"Healthcare",TRUE,"Other")</f>
        <v/>
      </c>
      <c r="Q33" s="48">
        <f>IF(COUNTIFS($B$11:B33,B33,$C$11:C33,C33,$D$11:D33,D33,$L$11:L33,L33)&gt;1,"Duplicate","Unique")</f>
        <v/>
      </c>
    </row>
    <row r="34">
      <c r="A34" s="48">
        <f>Raw_Data!A25</f>
        <v/>
      </c>
      <c r="B34" s="48">
        <f>PROPER(TRIM(Raw_Data!B25))</f>
        <v/>
      </c>
      <c r="C34" s="48">
        <f>TRIM(Raw_Data!C25)</f>
        <v/>
      </c>
      <c r="D34" s="48">
        <f>IF(PROPER(TRIM(Raw_Data!D25))="Bangalore","Bengaluru",IF(PROPER(TRIM(Raw_Data!D25))="Gurgaon","Gurugram",IF(OR(PROPER(TRIM(Raw_Data!D25))="New Delhi",PROPER(TRIM(Raw_Data!D25))="Delhi"),"Delhi",PROPER(TRIM(Raw_Data!D25)))))</f>
        <v/>
      </c>
      <c r="E34" s="48">
        <f>Raw_Data!E25</f>
        <v/>
      </c>
      <c r="F34" s="48">
        <f>IF(TRIM(Raw_Data!F25&amp;"")="","Not Specified",Raw_Data!F25)</f>
        <v/>
      </c>
      <c r="G34" s="48">
        <f>Raw_Data!G25</f>
        <v/>
      </c>
      <c r="H34" s="48">
        <f>Raw_Data!H25</f>
        <v/>
      </c>
      <c r="I34" s="49">
        <f>IF(Raw_Data!I25="","",Raw_Data!I25)</f>
        <v/>
      </c>
      <c r="J34" s="49">
        <f>IF(Raw_Data!J25="","",Raw_Data!J25)</f>
        <v/>
      </c>
      <c r="K34" s="48">
        <f>IF(TRIM(Raw_Data!K25&amp;"")="","Not Specified",Raw_Data!K25)</f>
        <v/>
      </c>
      <c r="L34" s="56">
        <f>Raw_Data!L25</f>
        <v/>
      </c>
      <c r="M34" s="49">
        <f>IF(OR(I34="",J34=""),"",(I34+J34)/2)</f>
        <v/>
      </c>
      <c r="N34" s="49">
        <f>IF(OR(I34="",J34=""),"",J34-I34)</f>
        <v/>
      </c>
      <c r="O34" s="48">
        <f>TEXT(L34,"mmm-yyyy")</f>
        <v/>
      </c>
      <c r="P34" s="48">
        <f>_xlfn.IFS(ISNUMBER(SEARCH("data analy",B34)),"Data Analyst",ISNUMBER(SEARCH("business analy",B34)),"Business Analyst",OR(ISNUMBER(SEARCH("developer",B34)),ISNUMBER(SEARCH("software engineer",B34)),ISNUMBER(SEARCH("programmer",B34))),"Software Developer",ISNUMBER(SEARCH("business development",B34)),"Business Development",ISNUMBER(SEARCH("sales",B34)),"Sales Executive",ISNUMBER(SEARCH("marketing",B34)),"Marketing Executive",OR(ISNUMBER(SEARCH("hr ",B34)),ISNUMBER(SEARCH("recruit",B34)),ISNUMBER(SEARCH("human resource",B34))),"HR / Recruiter",OR(ISNUMBER(SEARCH("account",B34)),ISNUMBER(SEARCH("finance",B34)),ISNUMBER(SEARCH("tax",B34)),ISNUMBER(SEARCH("audit",B34))),"Accountant / Finance",OR(ISNUMBER(SEARCH("customer service",B34)),ISNUMBER(SEARCH("customer support",B34)),ISNUMBER(SEARCH("customer care",B34)),ISNUMBER(SEARCH("voice process",B34)),ISNUMBER(SEARCH("bpo",B34))),"Customer Support",ISNUMBER(SEARCH("engineer",B34)),"Engineer (Technical)",ISNUMBER(SEARCH("manager",B34)),"Manager",OR(ISNUMBER(SEARCH("teacher",B34)),ISNUMBER(SEARCH("trainer",B34)),ISNUMBER(SEARCH("faculty",B34))),"Teacher / Trainer",OR(ISNUMBER(SEARCH("doctor",B34)),ISNUMBER(SEARCH("nurse",B34)),ISNUMBER(SEARCH("medical",B34)),ISNUMBER(SEARCH("pharma",B34)),ISNUMBER(SEARCH("clinical",B34))),"Healthcare",TRUE,"Other")</f>
        <v/>
      </c>
      <c r="Q34" s="48">
        <f>IF(COUNTIFS($B$11:B34,B34,$C$11:C34,C34,$D$11:D34,D34,$L$11:L34,L34)&gt;1,"Duplicate","Unique")</f>
        <v/>
      </c>
    </row>
    <row r="35">
      <c r="A35" s="48">
        <f>Raw_Data!A26</f>
        <v/>
      </c>
      <c r="B35" s="48">
        <f>PROPER(TRIM(Raw_Data!B26))</f>
        <v/>
      </c>
      <c r="C35" s="48">
        <f>TRIM(Raw_Data!C26)</f>
        <v/>
      </c>
      <c r="D35" s="48">
        <f>IF(PROPER(TRIM(Raw_Data!D26))="Bangalore","Bengaluru",IF(PROPER(TRIM(Raw_Data!D26))="Gurgaon","Gurugram",IF(OR(PROPER(TRIM(Raw_Data!D26))="New Delhi",PROPER(TRIM(Raw_Data!D26))="Delhi"),"Delhi",PROPER(TRIM(Raw_Data!D26)))))</f>
        <v/>
      </c>
      <c r="E35" s="48">
        <f>Raw_Data!E26</f>
        <v/>
      </c>
      <c r="F35" s="48">
        <f>IF(TRIM(Raw_Data!F26&amp;"")="","Not Specified",Raw_Data!F26)</f>
        <v/>
      </c>
      <c r="G35" s="48">
        <f>Raw_Data!G26</f>
        <v/>
      </c>
      <c r="H35" s="48">
        <f>Raw_Data!H26</f>
        <v/>
      </c>
      <c r="I35" s="49">
        <f>IF(Raw_Data!I26="","",Raw_Data!I26)</f>
        <v/>
      </c>
      <c r="J35" s="49">
        <f>IF(Raw_Data!J26="","",Raw_Data!J26)</f>
        <v/>
      </c>
      <c r="K35" s="48">
        <f>IF(TRIM(Raw_Data!K26&amp;"")="","Not Specified",Raw_Data!K26)</f>
        <v/>
      </c>
      <c r="L35" s="56">
        <f>Raw_Data!L26</f>
        <v/>
      </c>
      <c r="M35" s="49">
        <f>IF(OR(I35="",J35=""),"",(I35+J35)/2)</f>
        <v/>
      </c>
      <c r="N35" s="49">
        <f>IF(OR(I35="",J35=""),"",J35-I35)</f>
        <v/>
      </c>
      <c r="O35" s="48">
        <f>TEXT(L35,"mmm-yyyy")</f>
        <v/>
      </c>
      <c r="P35" s="48">
        <f>_xlfn.IFS(ISNUMBER(SEARCH("data analy",B35)),"Data Analyst",ISNUMBER(SEARCH("business analy",B35)),"Business Analyst",OR(ISNUMBER(SEARCH("developer",B35)),ISNUMBER(SEARCH("software engineer",B35)),ISNUMBER(SEARCH("programmer",B35))),"Software Developer",ISNUMBER(SEARCH("business development",B35)),"Business Development",ISNUMBER(SEARCH("sales",B35)),"Sales Executive",ISNUMBER(SEARCH("marketing",B35)),"Marketing Executive",OR(ISNUMBER(SEARCH("hr ",B35)),ISNUMBER(SEARCH("recruit",B35)),ISNUMBER(SEARCH("human resource",B35))),"HR / Recruiter",OR(ISNUMBER(SEARCH("account",B35)),ISNUMBER(SEARCH("finance",B35)),ISNUMBER(SEARCH("tax",B35)),ISNUMBER(SEARCH("audit",B35))),"Accountant / Finance",OR(ISNUMBER(SEARCH("customer service",B35)),ISNUMBER(SEARCH("customer support",B35)),ISNUMBER(SEARCH("customer care",B35)),ISNUMBER(SEARCH("voice process",B35)),ISNUMBER(SEARCH("bpo",B35))),"Customer Support",ISNUMBER(SEARCH("engineer",B35)),"Engineer (Technical)",ISNUMBER(SEARCH("manager",B35)),"Manager",OR(ISNUMBER(SEARCH("teacher",B35)),ISNUMBER(SEARCH("trainer",B35)),ISNUMBER(SEARCH("faculty",B35))),"Teacher / Trainer",OR(ISNUMBER(SEARCH("doctor",B35)),ISNUMBER(SEARCH("nurse",B35)),ISNUMBER(SEARCH("medical",B35)),ISNUMBER(SEARCH("pharma",B35)),ISNUMBER(SEARCH("clinical",B35))),"Healthcare",TRUE,"Other")</f>
        <v/>
      </c>
      <c r="Q35" s="48">
        <f>IF(COUNTIFS($B$11:B35,B35,$C$11:C35,C35,$D$11:D35,D35,$L$11:L35,L35)&gt;1,"Duplicate","Unique")</f>
        <v/>
      </c>
    </row>
    <row r="36">
      <c r="A36" s="48">
        <f>Raw_Data!A27</f>
        <v/>
      </c>
      <c r="B36" s="48">
        <f>PROPER(TRIM(Raw_Data!B27))</f>
        <v/>
      </c>
      <c r="C36" s="48">
        <f>TRIM(Raw_Data!C27)</f>
        <v/>
      </c>
      <c r="D36" s="48">
        <f>IF(PROPER(TRIM(Raw_Data!D27))="Bangalore","Bengaluru",IF(PROPER(TRIM(Raw_Data!D27))="Gurgaon","Gurugram",IF(OR(PROPER(TRIM(Raw_Data!D27))="New Delhi",PROPER(TRIM(Raw_Data!D27))="Delhi"),"Delhi",PROPER(TRIM(Raw_Data!D27)))))</f>
        <v/>
      </c>
      <c r="E36" s="48">
        <f>Raw_Data!E27</f>
        <v/>
      </c>
      <c r="F36" s="48">
        <f>IF(TRIM(Raw_Data!F27&amp;"")="","Not Specified",Raw_Data!F27)</f>
        <v/>
      </c>
      <c r="G36" s="48">
        <f>Raw_Data!G27</f>
        <v/>
      </c>
      <c r="H36" s="48">
        <f>Raw_Data!H27</f>
        <v/>
      </c>
      <c r="I36" s="49">
        <f>IF(Raw_Data!I27="","",Raw_Data!I27)</f>
        <v/>
      </c>
      <c r="J36" s="49">
        <f>IF(Raw_Data!J27="","",Raw_Data!J27)</f>
        <v/>
      </c>
      <c r="K36" s="48">
        <f>IF(TRIM(Raw_Data!K27&amp;"")="","Not Specified",Raw_Data!K27)</f>
        <v/>
      </c>
      <c r="L36" s="56">
        <f>Raw_Data!L27</f>
        <v/>
      </c>
      <c r="M36" s="49">
        <f>IF(OR(I36="",J36=""),"",(I36+J36)/2)</f>
        <v/>
      </c>
      <c r="N36" s="49">
        <f>IF(OR(I36="",J36=""),"",J36-I36)</f>
        <v/>
      </c>
      <c r="O36" s="48">
        <f>TEXT(L36,"mmm-yyyy")</f>
        <v/>
      </c>
      <c r="P36" s="48">
        <f>_xlfn.IFS(ISNUMBER(SEARCH("data analy",B36)),"Data Analyst",ISNUMBER(SEARCH("business analy",B36)),"Business Analyst",OR(ISNUMBER(SEARCH("developer",B36)),ISNUMBER(SEARCH("software engineer",B36)),ISNUMBER(SEARCH("programmer",B36))),"Software Developer",ISNUMBER(SEARCH("business development",B36)),"Business Development",ISNUMBER(SEARCH("sales",B36)),"Sales Executive",ISNUMBER(SEARCH("marketing",B36)),"Marketing Executive",OR(ISNUMBER(SEARCH("hr ",B36)),ISNUMBER(SEARCH("recruit",B36)),ISNUMBER(SEARCH("human resource",B36))),"HR / Recruiter",OR(ISNUMBER(SEARCH("account",B36)),ISNUMBER(SEARCH("finance",B36)),ISNUMBER(SEARCH("tax",B36)),ISNUMBER(SEARCH("audit",B36))),"Accountant / Finance",OR(ISNUMBER(SEARCH("customer service",B36)),ISNUMBER(SEARCH("customer support",B36)),ISNUMBER(SEARCH("customer care",B36)),ISNUMBER(SEARCH("voice process",B36)),ISNUMBER(SEARCH("bpo",B36))),"Customer Support",ISNUMBER(SEARCH("engineer",B36)),"Engineer (Technical)",ISNUMBER(SEARCH("manager",B36)),"Manager",OR(ISNUMBER(SEARCH("teacher",B36)),ISNUMBER(SEARCH("trainer",B36)),ISNUMBER(SEARCH("faculty",B36))),"Teacher / Trainer",OR(ISNUMBER(SEARCH("doctor",B36)),ISNUMBER(SEARCH("nurse",B36)),ISNUMBER(SEARCH("medical",B36)),ISNUMBER(SEARCH("pharma",B36)),ISNUMBER(SEARCH("clinical",B36))),"Healthcare",TRUE,"Other")</f>
        <v/>
      </c>
      <c r="Q36" s="48">
        <f>IF(COUNTIFS($B$11:B36,B36,$C$11:C36,C36,$D$11:D36,D36,$L$11:L36,L36)&gt;1,"Duplicate","Unique")</f>
        <v/>
      </c>
    </row>
    <row r="37">
      <c r="A37" s="48">
        <f>Raw_Data!A28</f>
        <v/>
      </c>
      <c r="B37" s="48">
        <f>PROPER(TRIM(Raw_Data!B28))</f>
        <v/>
      </c>
      <c r="C37" s="48">
        <f>TRIM(Raw_Data!C28)</f>
        <v/>
      </c>
      <c r="D37" s="48">
        <f>IF(PROPER(TRIM(Raw_Data!D28))="Bangalore","Bengaluru",IF(PROPER(TRIM(Raw_Data!D28))="Gurgaon","Gurugram",IF(OR(PROPER(TRIM(Raw_Data!D28))="New Delhi",PROPER(TRIM(Raw_Data!D28))="Delhi"),"Delhi",PROPER(TRIM(Raw_Data!D28)))))</f>
        <v/>
      </c>
      <c r="E37" s="48">
        <f>Raw_Data!E28</f>
        <v/>
      </c>
      <c r="F37" s="48">
        <f>IF(TRIM(Raw_Data!F28&amp;"")="","Not Specified",Raw_Data!F28)</f>
        <v/>
      </c>
      <c r="G37" s="48">
        <f>Raw_Data!G28</f>
        <v/>
      </c>
      <c r="H37" s="48">
        <f>Raw_Data!H28</f>
        <v/>
      </c>
      <c r="I37" s="49">
        <f>IF(Raw_Data!I28="","",Raw_Data!I28)</f>
        <v/>
      </c>
      <c r="J37" s="49">
        <f>IF(Raw_Data!J28="","",Raw_Data!J28)</f>
        <v/>
      </c>
      <c r="K37" s="48">
        <f>IF(TRIM(Raw_Data!K28&amp;"")="","Not Specified",Raw_Data!K28)</f>
        <v/>
      </c>
      <c r="L37" s="56">
        <f>Raw_Data!L28</f>
        <v/>
      </c>
      <c r="M37" s="49">
        <f>IF(OR(I37="",J37=""),"",(I37+J37)/2)</f>
        <v/>
      </c>
      <c r="N37" s="49">
        <f>IF(OR(I37="",J37=""),"",J37-I37)</f>
        <v/>
      </c>
      <c r="O37" s="48">
        <f>TEXT(L37,"mmm-yyyy")</f>
        <v/>
      </c>
      <c r="P37" s="48">
        <f>_xlfn.IFS(ISNUMBER(SEARCH("data analy",B37)),"Data Analyst",ISNUMBER(SEARCH("business analy",B37)),"Business Analyst",OR(ISNUMBER(SEARCH("developer",B37)),ISNUMBER(SEARCH("software engineer",B37)),ISNUMBER(SEARCH("programmer",B37))),"Software Developer",ISNUMBER(SEARCH("business development",B37)),"Business Development",ISNUMBER(SEARCH("sales",B37)),"Sales Executive",ISNUMBER(SEARCH("marketing",B37)),"Marketing Executive",OR(ISNUMBER(SEARCH("hr ",B37)),ISNUMBER(SEARCH("recruit",B37)),ISNUMBER(SEARCH("human resource",B37))),"HR / Recruiter",OR(ISNUMBER(SEARCH("account",B37)),ISNUMBER(SEARCH("finance",B37)),ISNUMBER(SEARCH("tax",B37)),ISNUMBER(SEARCH("audit",B37))),"Accountant / Finance",OR(ISNUMBER(SEARCH("customer service",B37)),ISNUMBER(SEARCH("customer support",B37)),ISNUMBER(SEARCH("customer care",B37)),ISNUMBER(SEARCH("voice process",B37)),ISNUMBER(SEARCH("bpo",B37))),"Customer Support",ISNUMBER(SEARCH("engineer",B37)),"Engineer (Technical)",ISNUMBER(SEARCH("manager",B37)),"Manager",OR(ISNUMBER(SEARCH("teacher",B37)),ISNUMBER(SEARCH("trainer",B37)),ISNUMBER(SEARCH("faculty",B37))),"Teacher / Trainer",OR(ISNUMBER(SEARCH("doctor",B37)),ISNUMBER(SEARCH("nurse",B37)),ISNUMBER(SEARCH("medical",B37)),ISNUMBER(SEARCH("pharma",B37)),ISNUMBER(SEARCH("clinical",B37))),"Healthcare",TRUE,"Other")</f>
        <v/>
      </c>
      <c r="Q37" s="48">
        <f>IF(COUNTIFS($B$11:B37,B37,$C$11:C37,C37,$D$11:D37,D37,$L$11:L37,L37)&gt;1,"Duplicate","Unique")</f>
        <v/>
      </c>
    </row>
    <row r="38">
      <c r="A38" s="48">
        <f>Raw_Data!A29</f>
        <v/>
      </c>
      <c r="B38" s="48">
        <f>PROPER(TRIM(Raw_Data!B29))</f>
        <v/>
      </c>
      <c r="C38" s="48">
        <f>TRIM(Raw_Data!C29)</f>
        <v/>
      </c>
      <c r="D38" s="48">
        <f>IF(PROPER(TRIM(Raw_Data!D29))="Bangalore","Bengaluru",IF(PROPER(TRIM(Raw_Data!D29))="Gurgaon","Gurugram",IF(OR(PROPER(TRIM(Raw_Data!D29))="New Delhi",PROPER(TRIM(Raw_Data!D29))="Delhi"),"Delhi",PROPER(TRIM(Raw_Data!D29)))))</f>
        <v/>
      </c>
      <c r="E38" s="48">
        <f>Raw_Data!E29</f>
        <v/>
      </c>
      <c r="F38" s="48">
        <f>IF(TRIM(Raw_Data!F29&amp;"")="","Not Specified",Raw_Data!F29)</f>
        <v/>
      </c>
      <c r="G38" s="48">
        <f>Raw_Data!G29</f>
        <v/>
      </c>
      <c r="H38" s="48">
        <f>Raw_Data!H29</f>
        <v/>
      </c>
      <c r="I38" s="49">
        <f>IF(Raw_Data!I29="","",Raw_Data!I29)</f>
        <v/>
      </c>
      <c r="J38" s="49">
        <f>IF(Raw_Data!J29="","",Raw_Data!J29)</f>
        <v/>
      </c>
      <c r="K38" s="48">
        <f>IF(TRIM(Raw_Data!K29&amp;"")="","Not Specified",Raw_Data!K29)</f>
        <v/>
      </c>
      <c r="L38" s="56">
        <f>Raw_Data!L29</f>
        <v/>
      </c>
      <c r="M38" s="49">
        <f>IF(OR(I38="",J38=""),"",(I38+J38)/2)</f>
        <v/>
      </c>
      <c r="N38" s="49">
        <f>IF(OR(I38="",J38=""),"",J38-I38)</f>
        <v/>
      </c>
      <c r="O38" s="48">
        <f>TEXT(L38,"mmm-yyyy")</f>
        <v/>
      </c>
      <c r="P38" s="48">
        <f>_xlfn.IFS(ISNUMBER(SEARCH("data analy",B38)),"Data Analyst",ISNUMBER(SEARCH("business analy",B38)),"Business Analyst",OR(ISNUMBER(SEARCH("developer",B38)),ISNUMBER(SEARCH("software engineer",B38)),ISNUMBER(SEARCH("programmer",B38))),"Software Developer",ISNUMBER(SEARCH("business development",B38)),"Business Development",ISNUMBER(SEARCH("sales",B38)),"Sales Executive",ISNUMBER(SEARCH("marketing",B38)),"Marketing Executive",OR(ISNUMBER(SEARCH("hr ",B38)),ISNUMBER(SEARCH("recruit",B38)),ISNUMBER(SEARCH("human resource",B38))),"HR / Recruiter",OR(ISNUMBER(SEARCH("account",B38)),ISNUMBER(SEARCH("finance",B38)),ISNUMBER(SEARCH("tax",B38)),ISNUMBER(SEARCH("audit",B38))),"Accountant / Finance",OR(ISNUMBER(SEARCH("customer service",B38)),ISNUMBER(SEARCH("customer support",B38)),ISNUMBER(SEARCH("customer care",B38)),ISNUMBER(SEARCH("voice process",B38)),ISNUMBER(SEARCH("bpo",B38))),"Customer Support",ISNUMBER(SEARCH("engineer",B38)),"Engineer (Technical)",ISNUMBER(SEARCH("manager",B38)),"Manager",OR(ISNUMBER(SEARCH("teacher",B38)),ISNUMBER(SEARCH("trainer",B38)),ISNUMBER(SEARCH("faculty",B38))),"Teacher / Trainer",OR(ISNUMBER(SEARCH("doctor",B38)),ISNUMBER(SEARCH("nurse",B38)),ISNUMBER(SEARCH("medical",B38)),ISNUMBER(SEARCH("pharma",B38)),ISNUMBER(SEARCH("clinical",B38))),"Healthcare",TRUE,"Other")</f>
        <v/>
      </c>
      <c r="Q38" s="48">
        <f>IF(COUNTIFS($B$11:B38,B38,$C$11:C38,C38,$D$11:D38,D38,$L$11:L38,L38)&gt;1,"Duplicate","Unique")</f>
        <v/>
      </c>
    </row>
    <row r="39">
      <c r="A39" s="48">
        <f>Raw_Data!A30</f>
        <v/>
      </c>
      <c r="B39" s="48">
        <f>PROPER(TRIM(Raw_Data!B30))</f>
        <v/>
      </c>
      <c r="C39" s="48">
        <f>TRIM(Raw_Data!C30)</f>
        <v/>
      </c>
      <c r="D39" s="48">
        <f>IF(PROPER(TRIM(Raw_Data!D30))="Bangalore","Bengaluru",IF(PROPER(TRIM(Raw_Data!D30))="Gurgaon","Gurugram",IF(OR(PROPER(TRIM(Raw_Data!D30))="New Delhi",PROPER(TRIM(Raw_Data!D30))="Delhi"),"Delhi",PROPER(TRIM(Raw_Data!D30)))))</f>
        <v/>
      </c>
      <c r="E39" s="48">
        <f>Raw_Data!E30</f>
        <v/>
      </c>
      <c r="F39" s="48">
        <f>IF(TRIM(Raw_Data!F30&amp;"")="","Not Specified",Raw_Data!F30)</f>
        <v/>
      </c>
      <c r="G39" s="48">
        <f>Raw_Data!G30</f>
        <v/>
      </c>
      <c r="H39" s="48">
        <f>Raw_Data!H30</f>
        <v/>
      </c>
      <c r="I39" s="49">
        <f>IF(Raw_Data!I30="","",Raw_Data!I30)</f>
        <v/>
      </c>
      <c r="J39" s="49">
        <f>IF(Raw_Data!J30="","",Raw_Data!J30)</f>
        <v/>
      </c>
      <c r="K39" s="48">
        <f>IF(TRIM(Raw_Data!K30&amp;"")="","Not Specified",Raw_Data!K30)</f>
        <v/>
      </c>
      <c r="L39" s="56">
        <f>Raw_Data!L30</f>
        <v/>
      </c>
      <c r="M39" s="49">
        <f>IF(OR(I39="",J39=""),"",(I39+J39)/2)</f>
        <v/>
      </c>
      <c r="N39" s="49">
        <f>IF(OR(I39="",J39=""),"",J39-I39)</f>
        <v/>
      </c>
      <c r="O39" s="48">
        <f>TEXT(L39,"mmm-yyyy")</f>
        <v/>
      </c>
      <c r="P39" s="48">
        <f>_xlfn.IFS(ISNUMBER(SEARCH("data analy",B39)),"Data Analyst",ISNUMBER(SEARCH("business analy",B39)),"Business Analyst",OR(ISNUMBER(SEARCH("developer",B39)),ISNUMBER(SEARCH("software engineer",B39)),ISNUMBER(SEARCH("programmer",B39))),"Software Developer",ISNUMBER(SEARCH("business development",B39)),"Business Development",ISNUMBER(SEARCH("sales",B39)),"Sales Executive",ISNUMBER(SEARCH("marketing",B39)),"Marketing Executive",OR(ISNUMBER(SEARCH("hr ",B39)),ISNUMBER(SEARCH("recruit",B39)),ISNUMBER(SEARCH("human resource",B39))),"HR / Recruiter",OR(ISNUMBER(SEARCH("account",B39)),ISNUMBER(SEARCH("finance",B39)),ISNUMBER(SEARCH("tax",B39)),ISNUMBER(SEARCH("audit",B39))),"Accountant / Finance",OR(ISNUMBER(SEARCH("customer service",B39)),ISNUMBER(SEARCH("customer support",B39)),ISNUMBER(SEARCH("customer care",B39)),ISNUMBER(SEARCH("voice process",B39)),ISNUMBER(SEARCH("bpo",B39))),"Customer Support",ISNUMBER(SEARCH("engineer",B39)),"Engineer (Technical)",ISNUMBER(SEARCH("manager",B39)),"Manager",OR(ISNUMBER(SEARCH("teacher",B39)),ISNUMBER(SEARCH("trainer",B39)),ISNUMBER(SEARCH("faculty",B39))),"Teacher / Trainer",OR(ISNUMBER(SEARCH("doctor",B39)),ISNUMBER(SEARCH("nurse",B39)),ISNUMBER(SEARCH("medical",B39)),ISNUMBER(SEARCH("pharma",B39)),ISNUMBER(SEARCH("clinical",B39))),"Healthcare",TRUE,"Other")</f>
        <v/>
      </c>
      <c r="Q39" s="48">
        <f>IF(COUNTIFS($B$11:B39,B39,$C$11:C39,C39,$D$11:D39,D39,$L$11:L39,L39)&gt;1,"Duplicate","Unique")</f>
        <v/>
      </c>
    </row>
    <row r="40">
      <c r="A40" s="48">
        <f>Raw_Data!A31</f>
        <v/>
      </c>
      <c r="B40" s="48">
        <f>PROPER(TRIM(Raw_Data!B31))</f>
        <v/>
      </c>
      <c r="C40" s="48">
        <f>TRIM(Raw_Data!C31)</f>
        <v/>
      </c>
      <c r="D40" s="48">
        <f>IF(PROPER(TRIM(Raw_Data!D31))="Bangalore","Bengaluru",IF(PROPER(TRIM(Raw_Data!D31))="Gurgaon","Gurugram",IF(OR(PROPER(TRIM(Raw_Data!D31))="New Delhi",PROPER(TRIM(Raw_Data!D31))="Delhi"),"Delhi",PROPER(TRIM(Raw_Data!D31)))))</f>
        <v/>
      </c>
      <c r="E40" s="48">
        <f>Raw_Data!E31</f>
        <v/>
      </c>
      <c r="F40" s="48">
        <f>IF(TRIM(Raw_Data!F31&amp;"")="","Not Specified",Raw_Data!F31)</f>
        <v/>
      </c>
      <c r="G40" s="48">
        <f>Raw_Data!G31</f>
        <v/>
      </c>
      <c r="H40" s="48">
        <f>Raw_Data!H31</f>
        <v/>
      </c>
      <c r="I40" s="49">
        <f>IF(Raw_Data!I31="","",Raw_Data!I31)</f>
        <v/>
      </c>
      <c r="J40" s="49">
        <f>IF(Raw_Data!J31="","",Raw_Data!J31)</f>
        <v/>
      </c>
      <c r="K40" s="48">
        <f>IF(TRIM(Raw_Data!K31&amp;"")="","Not Specified",Raw_Data!K31)</f>
        <v/>
      </c>
      <c r="L40" s="56">
        <f>Raw_Data!L31</f>
        <v/>
      </c>
      <c r="M40" s="49">
        <f>IF(OR(I40="",J40=""),"",(I40+J40)/2)</f>
        <v/>
      </c>
      <c r="N40" s="49">
        <f>IF(OR(I40="",J40=""),"",J40-I40)</f>
        <v/>
      </c>
      <c r="O40" s="48">
        <f>TEXT(L40,"mmm-yyyy")</f>
        <v/>
      </c>
      <c r="P40" s="48">
        <f>_xlfn.IFS(ISNUMBER(SEARCH("data analy",B40)),"Data Analyst",ISNUMBER(SEARCH("business analy",B40)),"Business Analyst",OR(ISNUMBER(SEARCH("developer",B40)),ISNUMBER(SEARCH("software engineer",B40)),ISNUMBER(SEARCH("programmer",B40))),"Software Developer",ISNUMBER(SEARCH("business development",B40)),"Business Development",ISNUMBER(SEARCH("sales",B40)),"Sales Executive",ISNUMBER(SEARCH("marketing",B40)),"Marketing Executive",OR(ISNUMBER(SEARCH("hr ",B40)),ISNUMBER(SEARCH("recruit",B40)),ISNUMBER(SEARCH("human resource",B40))),"HR / Recruiter",OR(ISNUMBER(SEARCH("account",B40)),ISNUMBER(SEARCH("finance",B40)),ISNUMBER(SEARCH("tax",B40)),ISNUMBER(SEARCH("audit",B40))),"Accountant / Finance",OR(ISNUMBER(SEARCH("customer service",B40)),ISNUMBER(SEARCH("customer support",B40)),ISNUMBER(SEARCH("customer care",B40)),ISNUMBER(SEARCH("voice process",B40)),ISNUMBER(SEARCH("bpo",B40))),"Customer Support",ISNUMBER(SEARCH("engineer",B40)),"Engineer (Technical)",ISNUMBER(SEARCH("manager",B40)),"Manager",OR(ISNUMBER(SEARCH("teacher",B40)),ISNUMBER(SEARCH("trainer",B40)),ISNUMBER(SEARCH("faculty",B40))),"Teacher / Trainer",OR(ISNUMBER(SEARCH("doctor",B40)),ISNUMBER(SEARCH("nurse",B40)),ISNUMBER(SEARCH("medical",B40)),ISNUMBER(SEARCH("pharma",B40)),ISNUMBER(SEARCH("clinical",B40))),"Healthcare",TRUE,"Other")</f>
        <v/>
      </c>
      <c r="Q40" s="48">
        <f>IF(COUNTIFS($B$11:B40,B40,$C$11:C40,C40,$D$11:D40,D40,$L$11:L40,L40)&gt;1,"Duplicate","Unique")</f>
        <v/>
      </c>
    </row>
    <row r="41">
      <c r="A41" s="48">
        <f>Raw_Data!A32</f>
        <v/>
      </c>
      <c r="B41" s="48">
        <f>PROPER(TRIM(Raw_Data!B32))</f>
        <v/>
      </c>
      <c r="C41" s="48">
        <f>TRIM(Raw_Data!C32)</f>
        <v/>
      </c>
      <c r="D41" s="48">
        <f>IF(PROPER(TRIM(Raw_Data!D32))="Bangalore","Bengaluru",IF(PROPER(TRIM(Raw_Data!D32))="Gurgaon","Gurugram",IF(OR(PROPER(TRIM(Raw_Data!D32))="New Delhi",PROPER(TRIM(Raw_Data!D32))="Delhi"),"Delhi",PROPER(TRIM(Raw_Data!D32)))))</f>
        <v/>
      </c>
      <c r="E41" s="48">
        <f>Raw_Data!E32</f>
        <v/>
      </c>
      <c r="F41" s="48">
        <f>IF(TRIM(Raw_Data!F32&amp;"")="","Not Specified",Raw_Data!F32)</f>
        <v/>
      </c>
      <c r="G41" s="48">
        <f>Raw_Data!G32</f>
        <v/>
      </c>
      <c r="H41" s="48">
        <f>Raw_Data!H32</f>
        <v/>
      </c>
      <c r="I41" s="49">
        <f>IF(Raw_Data!I32="","",Raw_Data!I32)</f>
        <v/>
      </c>
      <c r="J41" s="49">
        <f>IF(Raw_Data!J32="","",Raw_Data!J32)</f>
        <v/>
      </c>
      <c r="K41" s="48">
        <f>IF(TRIM(Raw_Data!K32&amp;"")="","Not Specified",Raw_Data!K32)</f>
        <v/>
      </c>
      <c r="L41" s="56">
        <f>Raw_Data!L32</f>
        <v/>
      </c>
      <c r="M41" s="49">
        <f>IF(OR(I41="",J41=""),"",(I41+J41)/2)</f>
        <v/>
      </c>
      <c r="N41" s="49">
        <f>IF(OR(I41="",J41=""),"",J41-I41)</f>
        <v/>
      </c>
      <c r="O41" s="48">
        <f>TEXT(L41,"mmm-yyyy")</f>
        <v/>
      </c>
      <c r="P41" s="48">
        <f>_xlfn.IFS(ISNUMBER(SEARCH("data analy",B41)),"Data Analyst",ISNUMBER(SEARCH("business analy",B41)),"Business Analyst",OR(ISNUMBER(SEARCH("developer",B41)),ISNUMBER(SEARCH("software engineer",B41)),ISNUMBER(SEARCH("programmer",B41))),"Software Developer",ISNUMBER(SEARCH("business development",B41)),"Business Development",ISNUMBER(SEARCH("sales",B41)),"Sales Executive",ISNUMBER(SEARCH("marketing",B41)),"Marketing Executive",OR(ISNUMBER(SEARCH("hr ",B41)),ISNUMBER(SEARCH("recruit",B41)),ISNUMBER(SEARCH("human resource",B41))),"HR / Recruiter",OR(ISNUMBER(SEARCH("account",B41)),ISNUMBER(SEARCH("finance",B41)),ISNUMBER(SEARCH("tax",B41)),ISNUMBER(SEARCH("audit",B41))),"Accountant / Finance",OR(ISNUMBER(SEARCH("customer service",B41)),ISNUMBER(SEARCH("customer support",B41)),ISNUMBER(SEARCH("customer care",B41)),ISNUMBER(SEARCH("voice process",B41)),ISNUMBER(SEARCH("bpo",B41))),"Customer Support",ISNUMBER(SEARCH("engineer",B41)),"Engineer (Technical)",ISNUMBER(SEARCH("manager",B41)),"Manager",OR(ISNUMBER(SEARCH("teacher",B41)),ISNUMBER(SEARCH("trainer",B41)),ISNUMBER(SEARCH("faculty",B41))),"Teacher / Trainer",OR(ISNUMBER(SEARCH("doctor",B41)),ISNUMBER(SEARCH("nurse",B41)),ISNUMBER(SEARCH("medical",B41)),ISNUMBER(SEARCH("pharma",B41)),ISNUMBER(SEARCH("clinical",B41))),"Healthcare",TRUE,"Other")</f>
        <v/>
      </c>
      <c r="Q41" s="48">
        <f>IF(COUNTIFS($B$11:B41,B41,$C$11:C41,C41,$D$11:D41,D41,$L$11:L41,L41)&gt;1,"Duplicate","Unique")</f>
        <v/>
      </c>
    </row>
    <row r="42">
      <c r="A42" s="48">
        <f>Raw_Data!A33</f>
        <v/>
      </c>
      <c r="B42" s="48">
        <f>PROPER(TRIM(Raw_Data!B33))</f>
        <v/>
      </c>
      <c r="C42" s="48">
        <f>TRIM(Raw_Data!C33)</f>
        <v/>
      </c>
      <c r="D42" s="48">
        <f>IF(PROPER(TRIM(Raw_Data!D33))="Bangalore","Bengaluru",IF(PROPER(TRIM(Raw_Data!D33))="Gurgaon","Gurugram",IF(OR(PROPER(TRIM(Raw_Data!D33))="New Delhi",PROPER(TRIM(Raw_Data!D33))="Delhi"),"Delhi",PROPER(TRIM(Raw_Data!D33)))))</f>
        <v/>
      </c>
      <c r="E42" s="48">
        <f>Raw_Data!E33</f>
        <v/>
      </c>
      <c r="F42" s="48">
        <f>IF(TRIM(Raw_Data!F33&amp;"")="","Not Specified",Raw_Data!F33)</f>
        <v/>
      </c>
      <c r="G42" s="48">
        <f>Raw_Data!G33</f>
        <v/>
      </c>
      <c r="H42" s="48">
        <f>Raw_Data!H33</f>
        <v/>
      </c>
      <c r="I42" s="49">
        <f>IF(Raw_Data!I33="","",Raw_Data!I33)</f>
        <v/>
      </c>
      <c r="J42" s="49">
        <f>IF(Raw_Data!J33="","",Raw_Data!J33)</f>
        <v/>
      </c>
      <c r="K42" s="48">
        <f>IF(TRIM(Raw_Data!K33&amp;"")="","Not Specified",Raw_Data!K33)</f>
        <v/>
      </c>
      <c r="L42" s="56">
        <f>Raw_Data!L33</f>
        <v/>
      </c>
      <c r="M42" s="49">
        <f>IF(OR(I42="",J42=""),"",(I42+J42)/2)</f>
        <v/>
      </c>
      <c r="N42" s="49">
        <f>IF(OR(I42="",J42=""),"",J42-I42)</f>
        <v/>
      </c>
      <c r="O42" s="48">
        <f>TEXT(L42,"mmm-yyyy")</f>
        <v/>
      </c>
      <c r="P42" s="48">
        <f>_xlfn.IFS(ISNUMBER(SEARCH("data analy",B42)),"Data Analyst",ISNUMBER(SEARCH("business analy",B42)),"Business Analyst",OR(ISNUMBER(SEARCH("developer",B42)),ISNUMBER(SEARCH("software engineer",B42)),ISNUMBER(SEARCH("programmer",B42))),"Software Developer",ISNUMBER(SEARCH("business development",B42)),"Business Development",ISNUMBER(SEARCH("sales",B42)),"Sales Executive",ISNUMBER(SEARCH("marketing",B42)),"Marketing Executive",OR(ISNUMBER(SEARCH("hr ",B42)),ISNUMBER(SEARCH("recruit",B42)),ISNUMBER(SEARCH("human resource",B42))),"HR / Recruiter",OR(ISNUMBER(SEARCH("account",B42)),ISNUMBER(SEARCH("finance",B42)),ISNUMBER(SEARCH("tax",B42)),ISNUMBER(SEARCH("audit",B42))),"Accountant / Finance",OR(ISNUMBER(SEARCH("customer service",B42)),ISNUMBER(SEARCH("customer support",B42)),ISNUMBER(SEARCH("customer care",B42)),ISNUMBER(SEARCH("voice process",B42)),ISNUMBER(SEARCH("bpo",B42))),"Customer Support",ISNUMBER(SEARCH("engineer",B42)),"Engineer (Technical)",ISNUMBER(SEARCH("manager",B42)),"Manager",OR(ISNUMBER(SEARCH("teacher",B42)),ISNUMBER(SEARCH("trainer",B42)),ISNUMBER(SEARCH("faculty",B42))),"Teacher / Trainer",OR(ISNUMBER(SEARCH("doctor",B42)),ISNUMBER(SEARCH("nurse",B42)),ISNUMBER(SEARCH("medical",B42)),ISNUMBER(SEARCH("pharma",B42)),ISNUMBER(SEARCH("clinical",B42))),"Healthcare",TRUE,"Other")</f>
        <v/>
      </c>
      <c r="Q42" s="48">
        <f>IF(COUNTIFS($B$11:B42,B42,$C$11:C42,C42,$D$11:D42,D42,$L$11:L42,L42)&gt;1,"Duplicate","Unique")</f>
        <v/>
      </c>
    </row>
    <row r="43">
      <c r="A43" s="48">
        <f>Raw_Data!A34</f>
        <v/>
      </c>
      <c r="B43" s="48">
        <f>PROPER(TRIM(Raw_Data!B34))</f>
        <v/>
      </c>
      <c r="C43" s="48">
        <f>TRIM(Raw_Data!C34)</f>
        <v/>
      </c>
      <c r="D43" s="48">
        <f>IF(PROPER(TRIM(Raw_Data!D34))="Bangalore","Bengaluru",IF(PROPER(TRIM(Raw_Data!D34))="Gurgaon","Gurugram",IF(OR(PROPER(TRIM(Raw_Data!D34))="New Delhi",PROPER(TRIM(Raw_Data!D34))="Delhi"),"Delhi",PROPER(TRIM(Raw_Data!D34)))))</f>
        <v/>
      </c>
      <c r="E43" s="48">
        <f>Raw_Data!E34</f>
        <v/>
      </c>
      <c r="F43" s="48">
        <f>IF(TRIM(Raw_Data!F34&amp;"")="","Not Specified",Raw_Data!F34)</f>
        <v/>
      </c>
      <c r="G43" s="48">
        <f>Raw_Data!G34</f>
        <v/>
      </c>
      <c r="H43" s="48">
        <f>Raw_Data!H34</f>
        <v/>
      </c>
      <c r="I43" s="49">
        <f>IF(Raw_Data!I34="","",Raw_Data!I34)</f>
        <v/>
      </c>
      <c r="J43" s="49">
        <f>IF(Raw_Data!J34="","",Raw_Data!J34)</f>
        <v/>
      </c>
      <c r="K43" s="48">
        <f>IF(TRIM(Raw_Data!K34&amp;"")="","Not Specified",Raw_Data!K34)</f>
        <v/>
      </c>
      <c r="L43" s="56">
        <f>Raw_Data!L34</f>
        <v/>
      </c>
      <c r="M43" s="49">
        <f>IF(OR(I43="",J43=""),"",(I43+J43)/2)</f>
        <v/>
      </c>
      <c r="N43" s="49">
        <f>IF(OR(I43="",J43=""),"",J43-I43)</f>
        <v/>
      </c>
      <c r="O43" s="48">
        <f>TEXT(L43,"mmm-yyyy")</f>
        <v/>
      </c>
      <c r="P43" s="48">
        <f>_xlfn.IFS(ISNUMBER(SEARCH("data analy",B43)),"Data Analyst",ISNUMBER(SEARCH("business analy",B43)),"Business Analyst",OR(ISNUMBER(SEARCH("developer",B43)),ISNUMBER(SEARCH("software engineer",B43)),ISNUMBER(SEARCH("programmer",B43))),"Software Developer",ISNUMBER(SEARCH("business development",B43)),"Business Development",ISNUMBER(SEARCH("sales",B43)),"Sales Executive",ISNUMBER(SEARCH("marketing",B43)),"Marketing Executive",OR(ISNUMBER(SEARCH("hr ",B43)),ISNUMBER(SEARCH("recruit",B43)),ISNUMBER(SEARCH("human resource",B43))),"HR / Recruiter",OR(ISNUMBER(SEARCH("account",B43)),ISNUMBER(SEARCH("finance",B43)),ISNUMBER(SEARCH("tax",B43)),ISNUMBER(SEARCH("audit",B43))),"Accountant / Finance",OR(ISNUMBER(SEARCH("customer service",B43)),ISNUMBER(SEARCH("customer support",B43)),ISNUMBER(SEARCH("customer care",B43)),ISNUMBER(SEARCH("voice process",B43)),ISNUMBER(SEARCH("bpo",B43))),"Customer Support",ISNUMBER(SEARCH("engineer",B43)),"Engineer (Technical)",ISNUMBER(SEARCH("manager",B43)),"Manager",OR(ISNUMBER(SEARCH("teacher",B43)),ISNUMBER(SEARCH("trainer",B43)),ISNUMBER(SEARCH("faculty",B43))),"Teacher / Trainer",OR(ISNUMBER(SEARCH("doctor",B43)),ISNUMBER(SEARCH("nurse",B43)),ISNUMBER(SEARCH("medical",B43)),ISNUMBER(SEARCH("pharma",B43)),ISNUMBER(SEARCH("clinical",B43))),"Healthcare",TRUE,"Other")</f>
        <v/>
      </c>
      <c r="Q43" s="48">
        <f>IF(COUNTIFS($B$11:B43,B43,$C$11:C43,C43,$D$11:D43,D43,$L$11:L43,L43)&gt;1,"Duplicate","Unique")</f>
        <v/>
      </c>
    </row>
    <row r="44">
      <c r="A44" s="48">
        <f>Raw_Data!A35</f>
        <v/>
      </c>
      <c r="B44" s="48">
        <f>PROPER(TRIM(Raw_Data!B35))</f>
        <v/>
      </c>
      <c r="C44" s="48">
        <f>TRIM(Raw_Data!C35)</f>
        <v/>
      </c>
      <c r="D44" s="48">
        <f>IF(PROPER(TRIM(Raw_Data!D35))="Bangalore","Bengaluru",IF(PROPER(TRIM(Raw_Data!D35))="Gurgaon","Gurugram",IF(OR(PROPER(TRIM(Raw_Data!D35))="New Delhi",PROPER(TRIM(Raw_Data!D35))="Delhi"),"Delhi",PROPER(TRIM(Raw_Data!D35)))))</f>
        <v/>
      </c>
      <c r="E44" s="48">
        <f>Raw_Data!E35</f>
        <v/>
      </c>
      <c r="F44" s="48">
        <f>IF(TRIM(Raw_Data!F35&amp;"")="","Not Specified",Raw_Data!F35)</f>
        <v/>
      </c>
      <c r="G44" s="48">
        <f>Raw_Data!G35</f>
        <v/>
      </c>
      <c r="H44" s="48">
        <f>Raw_Data!H35</f>
        <v/>
      </c>
      <c r="I44" s="49">
        <f>IF(Raw_Data!I35="","",Raw_Data!I35)</f>
        <v/>
      </c>
      <c r="J44" s="49">
        <f>IF(Raw_Data!J35="","",Raw_Data!J35)</f>
        <v/>
      </c>
      <c r="K44" s="48">
        <f>IF(TRIM(Raw_Data!K35&amp;"")="","Not Specified",Raw_Data!K35)</f>
        <v/>
      </c>
      <c r="L44" s="56">
        <f>Raw_Data!L35</f>
        <v/>
      </c>
      <c r="M44" s="49">
        <f>IF(OR(I44="",J44=""),"",(I44+J44)/2)</f>
        <v/>
      </c>
      <c r="N44" s="49">
        <f>IF(OR(I44="",J44=""),"",J44-I44)</f>
        <v/>
      </c>
      <c r="O44" s="48">
        <f>TEXT(L44,"mmm-yyyy")</f>
        <v/>
      </c>
      <c r="P44" s="48">
        <f>_xlfn.IFS(ISNUMBER(SEARCH("data analy",B44)),"Data Analyst",ISNUMBER(SEARCH("business analy",B44)),"Business Analyst",OR(ISNUMBER(SEARCH("developer",B44)),ISNUMBER(SEARCH("software engineer",B44)),ISNUMBER(SEARCH("programmer",B44))),"Software Developer",ISNUMBER(SEARCH("business development",B44)),"Business Development",ISNUMBER(SEARCH("sales",B44)),"Sales Executive",ISNUMBER(SEARCH("marketing",B44)),"Marketing Executive",OR(ISNUMBER(SEARCH("hr ",B44)),ISNUMBER(SEARCH("recruit",B44)),ISNUMBER(SEARCH("human resource",B44))),"HR / Recruiter",OR(ISNUMBER(SEARCH("account",B44)),ISNUMBER(SEARCH("finance",B44)),ISNUMBER(SEARCH("tax",B44)),ISNUMBER(SEARCH("audit",B44))),"Accountant / Finance",OR(ISNUMBER(SEARCH("customer service",B44)),ISNUMBER(SEARCH("customer support",B44)),ISNUMBER(SEARCH("customer care",B44)),ISNUMBER(SEARCH("voice process",B44)),ISNUMBER(SEARCH("bpo",B44))),"Customer Support",ISNUMBER(SEARCH("engineer",B44)),"Engineer (Technical)",ISNUMBER(SEARCH("manager",B44)),"Manager",OR(ISNUMBER(SEARCH("teacher",B44)),ISNUMBER(SEARCH("trainer",B44)),ISNUMBER(SEARCH("faculty",B44))),"Teacher / Trainer",OR(ISNUMBER(SEARCH("doctor",B44)),ISNUMBER(SEARCH("nurse",B44)),ISNUMBER(SEARCH("medical",B44)),ISNUMBER(SEARCH("pharma",B44)),ISNUMBER(SEARCH("clinical",B44))),"Healthcare",TRUE,"Other")</f>
        <v/>
      </c>
      <c r="Q44" s="48">
        <f>IF(COUNTIFS($B$11:B44,B44,$C$11:C44,C44,$D$11:D44,D44,$L$11:L44,L44)&gt;1,"Duplicate","Unique")</f>
        <v/>
      </c>
    </row>
    <row r="45">
      <c r="A45" s="48">
        <f>Raw_Data!A36</f>
        <v/>
      </c>
      <c r="B45" s="48">
        <f>PROPER(TRIM(Raw_Data!B36))</f>
        <v/>
      </c>
      <c r="C45" s="48">
        <f>TRIM(Raw_Data!C36)</f>
        <v/>
      </c>
      <c r="D45" s="48">
        <f>IF(PROPER(TRIM(Raw_Data!D36))="Bangalore","Bengaluru",IF(PROPER(TRIM(Raw_Data!D36))="Gurgaon","Gurugram",IF(OR(PROPER(TRIM(Raw_Data!D36))="New Delhi",PROPER(TRIM(Raw_Data!D36))="Delhi"),"Delhi",PROPER(TRIM(Raw_Data!D36)))))</f>
        <v/>
      </c>
      <c r="E45" s="48">
        <f>Raw_Data!E36</f>
        <v/>
      </c>
      <c r="F45" s="48">
        <f>IF(TRIM(Raw_Data!F36&amp;"")="","Not Specified",Raw_Data!F36)</f>
        <v/>
      </c>
      <c r="G45" s="48">
        <f>Raw_Data!G36</f>
        <v/>
      </c>
      <c r="H45" s="48">
        <f>Raw_Data!H36</f>
        <v/>
      </c>
      <c r="I45" s="49">
        <f>IF(Raw_Data!I36="","",Raw_Data!I36)</f>
        <v/>
      </c>
      <c r="J45" s="49">
        <f>IF(Raw_Data!J36="","",Raw_Data!J36)</f>
        <v/>
      </c>
      <c r="K45" s="48">
        <f>IF(TRIM(Raw_Data!K36&amp;"")="","Not Specified",Raw_Data!K36)</f>
        <v/>
      </c>
      <c r="L45" s="56">
        <f>Raw_Data!L36</f>
        <v/>
      </c>
      <c r="M45" s="49">
        <f>IF(OR(I45="",J45=""),"",(I45+J45)/2)</f>
        <v/>
      </c>
      <c r="N45" s="49">
        <f>IF(OR(I45="",J45=""),"",J45-I45)</f>
        <v/>
      </c>
      <c r="O45" s="48">
        <f>TEXT(L45,"mmm-yyyy")</f>
        <v/>
      </c>
      <c r="P45" s="48">
        <f>_xlfn.IFS(ISNUMBER(SEARCH("data analy",B45)),"Data Analyst",ISNUMBER(SEARCH("business analy",B45)),"Business Analyst",OR(ISNUMBER(SEARCH("developer",B45)),ISNUMBER(SEARCH("software engineer",B45)),ISNUMBER(SEARCH("programmer",B45))),"Software Developer",ISNUMBER(SEARCH("business development",B45)),"Business Development",ISNUMBER(SEARCH("sales",B45)),"Sales Executive",ISNUMBER(SEARCH("marketing",B45)),"Marketing Executive",OR(ISNUMBER(SEARCH("hr ",B45)),ISNUMBER(SEARCH("recruit",B45)),ISNUMBER(SEARCH("human resource",B45))),"HR / Recruiter",OR(ISNUMBER(SEARCH("account",B45)),ISNUMBER(SEARCH("finance",B45)),ISNUMBER(SEARCH("tax",B45)),ISNUMBER(SEARCH("audit",B45))),"Accountant / Finance",OR(ISNUMBER(SEARCH("customer service",B45)),ISNUMBER(SEARCH("customer support",B45)),ISNUMBER(SEARCH("customer care",B45)),ISNUMBER(SEARCH("voice process",B45)),ISNUMBER(SEARCH("bpo",B45))),"Customer Support",ISNUMBER(SEARCH("engineer",B45)),"Engineer (Technical)",ISNUMBER(SEARCH("manager",B45)),"Manager",OR(ISNUMBER(SEARCH("teacher",B45)),ISNUMBER(SEARCH("trainer",B45)),ISNUMBER(SEARCH("faculty",B45))),"Teacher / Trainer",OR(ISNUMBER(SEARCH("doctor",B45)),ISNUMBER(SEARCH("nurse",B45)),ISNUMBER(SEARCH("medical",B45)),ISNUMBER(SEARCH("pharma",B45)),ISNUMBER(SEARCH("clinical",B45))),"Healthcare",TRUE,"Other")</f>
        <v/>
      </c>
      <c r="Q45" s="48">
        <f>IF(COUNTIFS($B$11:B45,B45,$C$11:C45,C45,$D$11:D45,D45,$L$11:L45,L45)&gt;1,"Duplicate","Unique")</f>
        <v/>
      </c>
    </row>
    <row r="46">
      <c r="A46" s="48">
        <f>Raw_Data!A37</f>
        <v/>
      </c>
      <c r="B46" s="48">
        <f>PROPER(TRIM(Raw_Data!B37))</f>
        <v/>
      </c>
      <c r="C46" s="48">
        <f>TRIM(Raw_Data!C37)</f>
        <v/>
      </c>
      <c r="D46" s="48">
        <f>IF(PROPER(TRIM(Raw_Data!D37))="Bangalore","Bengaluru",IF(PROPER(TRIM(Raw_Data!D37))="Gurgaon","Gurugram",IF(OR(PROPER(TRIM(Raw_Data!D37))="New Delhi",PROPER(TRIM(Raw_Data!D37))="Delhi"),"Delhi",PROPER(TRIM(Raw_Data!D37)))))</f>
        <v/>
      </c>
      <c r="E46" s="48">
        <f>Raw_Data!E37</f>
        <v/>
      </c>
      <c r="F46" s="48">
        <f>IF(TRIM(Raw_Data!F37&amp;"")="","Not Specified",Raw_Data!F37)</f>
        <v/>
      </c>
      <c r="G46" s="48">
        <f>Raw_Data!G37</f>
        <v/>
      </c>
      <c r="H46" s="48">
        <f>Raw_Data!H37</f>
        <v/>
      </c>
      <c r="I46" s="49">
        <f>IF(Raw_Data!I37="","",Raw_Data!I37)</f>
        <v/>
      </c>
      <c r="J46" s="49">
        <f>IF(Raw_Data!J37="","",Raw_Data!J37)</f>
        <v/>
      </c>
      <c r="K46" s="48">
        <f>IF(TRIM(Raw_Data!K37&amp;"")="","Not Specified",Raw_Data!K37)</f>
        <v/>
      </c>
      <c r="L46" s="56">
        <f>Raw_Data!L37</f>
        <v/>
      </c>
      <c r="M46" s="49">
        <f>IF(OR(I46="",J46=""),"",(I46+J46)/2)</f>
        <v/>
      </c>
      <c r="N46" s="49">
        <f>IF(OR(I46="",J46=""),"",J46-I46)</f>
        <v/>
      </c>
      <c r="O46" s="48">
        <f>TEXT(L46,"mmm-yyyy")</f>
        <v/>
      </c>
      <c r="P46" s="48">
        <f>_xlfn.IFS(ISNUMBER(SEARCH("data analy",B46)),"Data Analyst",ISNUMBER(SEARCH("business analy",B46)),"Business Analyst",OR(ISNUMBER(SEARCH("developer",B46)),ISNUMBER(SEARCH("software engineer",B46)),ISNUMBER(SEARCH("programmer",B46))),"Software Developer",ISNUMBER(SEARCH("business development",B46)),"Business Development",ISNUMBER(SEARCH("sales",B46)),"Sales Executive",ISNUMBER(SEARCH("marketing",B46)),"Marketing Executive",OR(ISNUMBER(SEARCH("hr ",B46)),ISNUMBER(SEARCH("recruit",B46)),ISNUMBER(SEARCH("human resource",B46))),"HR / Recruiter",OR(ISNUMBER(SEARCH("account",B46)),ISNUMBER(SEARCH("finance",B46)),ISNUMBER(SEARCH("tax",B46)),ISNUMBER(SEARCH("audit",B46))),"Accountant / Finance",OR(ISNUMBER(SEARCH("customer service",B46)),ISNUMBER(SEARCH("customer support",B46)),ISNUMBER(SEARCH("customer care",B46)),ISNUMBER(SEARCH("voice process",B46)),ISNUMBER(SEARCH("bpo",B46))),"Customer Support",ISNUMBER(SEARCH("engineer",B46)),"Engineer (Technical)",ISNUMBER(SEARCH("manager",B46)),"Manager",OR(ISNUMBER(SEARCH("teacher",B46)),ISNUMBER(SEARCH("trainer",B46)),ISNUMBER(SEARCH("faculty",B46))),"Teacher / Trainer",OR(ISNUMBER(SEARCH("doctor",B46)),ISNUMBER(SEARCH("nurse",B46)),ISNUMBER(SEARCH("medical",B46)),ISNUMBER(SEARCH("pharma",B46)),ISNUMBER(SEARCH("clinical",B46))),"Healthcare",TRUE,"Other")</f>
        <v/>
      </c>
      <c r="Q46" s="48">
        <f>IF(COUNTIFS($B$11:B46,B46,$C$11:C46,C46,$D$11:D46,D46,$L$11:L46,L46)&gt;1,"Duplicate","Unique")</f>
        <v/>
      </c>
    </row>
    <row r="47">
      <c r="A47" s="48">
        <f>Raw_Data!A38</f>
        <v/>
      </c>
      <c r="B47" s="48">
        <f>PROPER(TRIM(Raw_Data!B38))</f>
        <v/>
      </c>
      <c r="C47" s="48">
        <f>TRIM(Raw_Data!C38)</f>
        <v/>
      </c>
      <c r="D47" s="48">
        <f>IF(PROPER(TRIM(Raw_Data!D38))="Bangalore","Bengaluru",IF(PROPER(TRIM(Raw_Data!D38))="Gurgaon","Gurugram",IF(OR(PROPER(TRIM(Raw_Data!D38))="New Delhi",PROPER(TRIM(Raw_Data!D38))="Delhi"),"Delhi",PROPER(TRIM(Raw_Data!D38)))))</f>
        <v/>
      </c>
      <c r="E47" s="48">
        <f>Raw_Data!E38</f>
        <v/>
      </c>
      <c r="F47" s="48">
        <f>IF(TRIM(Raw_Data!F38&amp;"")="","Not Specified",Raw_Data!F38)</f>
        <v/>
      </c>
      <c r="G47" s="48">
        <f>Raw_Data!G38</f>
        <v/>
      </c>
      <c r="H47" s="48">
        <f>Raw_Data!H38</f>
        <v/>
      </c>
      <c r="I47" s="49">
        <f>IF(Raw_Data!I38="","",Raw_Data!I38)</f>
        <v/>
      </c>
      <c r="J47" s="49">
        <f>IF(Raw_Data!J38="","",Raw_Data!J38)</f>
        <v/>
      </c>
      <c r="K47" s="48">
        <f>IF(TRIM(Raw_Data!K38&amp;"")="","Not Specified",Raw_Data!K38)</f>
        <v/>
      </c>
      <c r="L47" s="56">
        <f>Raw_Data!L38</f>
        <v/>
      </c>
      <c r="M47" s="49">
        <f>IF(OR(I47="",J47=""),"",(I47+J47)/2)</f>
        <v/>
      </c>
      <c r="N47" s="49">
        <f>IF(OR(I47="",J47=""),"",J47-I47)</f>
        <v/>
      </c>
      <c r="O47" s="48">
        <f>TEXT(L47,"mmm-yyyy")</f>
        <v/>
      </c>
      <c r="P47" s="48">
        <f>_xlfn.IFS(ISNUMBER(SEARCH("data analy",B47)),"Data Analyst",ISNUMBER(SEARCH("business analy",B47)),"Business Analyst",OR(ISNUMBER(SEARCH("developer",B47)),ISNUMBER(SEARCH("software engineer",B47)),ISNUMBER(SEARCH("programmer",B47))),"Software Developer",ISNUMBER(SEARCH("business development",B47)),"Business Development",ISNUMBER(SEARCH("sales",B47)),"Sales Executive",ISNUMBER(SEARCH("marketing",B47)),"Marketing Executive",OR(ISNUMBER(SEARCH("hr ",B47)),ISNUMBER(SEARCH("recruit",B47)),ISNUMBER(SEARCH("human resource",B47))),"HR / Recruiter",OR(ISNUMBER(SEARCH("account",B47)),ISNUMBER(SEARCH("finance",B47)),ISNUMBER(SEARCH("tax",B47)),ISNUMBER(SEARCH("audit",B47))),"Accountant / Finance",OR(ISNUMBER(SEARCH("customer service",B47)),ISNUMBER(SEARCH("customer support",B47)),ISNUMBER(SEARCH("customer care",B47)),ISNUMBER(SEARCH("voice process",B47)),ISNUMBER(SEARCH("bpo",B47))),"Customer Support",ISNUMBER(SEARCH("engineer",B47)),"Engineer (Technical)",ISNUMBER(SEARCH("manager",B47)),"Manager",OR(ISNUMBER(SEARCH("teacher",B47)),ISNUMBER(SEARCH("trainer",B47)),ISNUMBER(SEARCH("faculty",B47))),"Teacher / Trainer",OR(ISNUMBER(SEARCH("doctor",B47)),ISNUMBER(SEARCH("nurse",B47)),ISNUMBER(SEARCH("medical",B47)),ISNUMBER(SEARCH("pharma",B47)),ISNUMBER(SEARCH("clinical",B47))),"Healthcare",TRUE,"Other")</f>
        <v/>
      </c>
      <c r="Q47" s="48">
        <f>IF(COUNTIFS($B$11:B47,B47,$C$11:C47,C47,$D$11:D47,D47,$L$11:L47,L47)&gt;1,"Duplicate","Unique")</f>
        <v/>
      </c>
    </row>
    <row r="48">
      <c r="A48" s="48">
        <f>Raw_Data!A39</f>
        <v/>
      </c>
      <c r="B48" s="48">
        <f>PROPER(TRIM(Raw_Data!B39))</f>
        <v/>
      </c>
      <c r="C48" s="48">
        <f>TRIM(Raw_Data!C39)</f>
        <v/>
      </c>
      <c r="D48" s="48">
        <f>IF(PROPER(TRIM(Raw_Data!D39))="Bangalore","Bengaluru",IF(PROPER(TRIM(Raw_Data!D39))="Gurgaon","Gurugram",IF(OR(PROPER(TRIM(Raw_Data!D39))="New Delhi",PROPER(TRIM(Raw_Data!D39))="Delhi"),"Delhi",PROPER(TRIM(Raw_Data!D39)))))</f>
        <v/>
      </c>
      <c r="E48" s="48">
        <f>Raw_Data!E39</f>
        <v/>
      </c>
      <c r="F48" s="48">
        <f>IF(TRIM(Raw_Data!F39&amp;"")="","Not Specified",Raw_Data!F39)</f>
        <v/>
      </c>
      <c r="G48" s="48">
        <f>Raw_Data!G39</f>
        <v/>
      </c>
      <c r="H48" s="48">
        <f>Raw_Data!H39</f>
        <v/>
      </c>
      <c r="I48" s="49">
        <f>IF(Raw_Data!I39="","",Raw_Data!I39)</f>
        <v/>
      </c>
      <c r="J48" s="49">
        <f>IF(Raw_Data!J39="","",Raw_Data!J39)</f>
        <v/>
      </c>
      <c r="K48" s="48">
        <f>IF(TRIM(Raw_Data!K39&amp;"")="","Not Specified",Raw_Data!K39)</f>
        <v/>
      </c>
      <c r="L48" s="56">
        <f>Raw_Data!L39</f>
        <v/>
      </c>
      <c r="M48" s="49">
        <f>IF(OR(I48="",J48=""),"",(I48+J48)/2)</f>
        <v/>
      </c>
      <c r="N48" s="49">
        <f>IF(OR(I48="",J48=""),"",J48-I48)</f>
        <v/>
      </c>
      <c r="O48" s="48">
        <f>TEXT(L48,"mmm-yyyy")</f>
        <v/>
      </c>
      <c r="P48" s="48">
        <f>_xlfn.IFS(ISNUMBER(SEARCH("data analy",B48)),"Data Analyst",ISNUMBER(SEARCH("business analy",B48)),"Business Analyst",OR(ISNUMBER(SEARCH("developer",B48)),ISNUMBER(SEARCH("software engineer",B48)),ISNUMBER(SEARCH("programmer",B48))),"Software Developer",ISNUMBER(SEARCH("business development",B48)),"Business Development",ISNUMBER(SEARCH("sales",B48)),"Sales Executive",ISNUMBER(SEARCH("marketing",B48)),"Marketing Executive",OR(ISNUMBER(SEARCH("hr ",B48)),ISNUMBER(SEARCH("recruit",B48)),ISNUMBER(SEARCH("human resource",B48))),"HR / Recruiter",OR(ISNUMBER(SEARCH("account",B48)),ISNUMBER(SEARCH("finance",B48)),ISNUMBER(SEARCH("tax",B48)),ISNUMBER(SEARCH("audit",B48))),"Accountant / Finance",OR(ISNUMBER(SEARCH("customer service",B48)),ISNUMBER(SEARCH("customer support",B48)),ISNUMBER(SEARCH("customer care",B48)),ISNUMBER(SEARCH("voice process",B48)),ISNUMBER(SEARCH("bpo",B48))),"Customer Support",ISNUMBER(SEARCH("engineer",B48)),"Engineer (Technical)",ISNUMBER(SEARCH("manager",B48)),"Manager",OR(ISNUMBER(SEARCH("teacher",B48)),ISNUMBER(SEARCH("trainer",B48)),ISNUMBER(SEARCH("faculty",B48))),"Teacher / Trainer",OR(ISNUMBER(SEARCH("doctor",B48)),ISNUMBER(SEARCH("nurse",B48)),ISNUMBER(SEARCH("medical",B48)),ISNUMBER(SEARCH("pharma",B48)),ISNUMBER(SEARCH("clinical",B48))),"Healthcare",TRUE,"Other")</f>
        <v/>
      </c>
      <c r="Q48" s="48">
        <f>IF(COUNTIFS($B$11:B48,B48,$C$11:C48,C48,$D$11:D48,D48,$L$11:L48,L48)&gt;1,"Duplicate","Unique")</f>
        <v/>
      </c>
    </row>
    <row r="49">
      <c r="A49" s="48">
        <f>Raw_Data!A40</f>
        <v/>
      </c>
      <c r="B49" s="48">
        <f>PROPER(TRIM(Raw_Data!B40))</f>
        <v/>
      </c>
      <c r="C49" s="48">
        <f>TRIM(Raw_Data!C40)</f>
        <v/>
      </c>
      <c r="D49" s="48">
        <f>IF(PROPER(TRIM(Raw_Data!D40))="Bangalore","Bengaluru",IF(PROPER(TRIM(Raw_Data!D40))="Gurgaon","Gurugram",IF(OR(PROPER(TRIM(Raw_Data!D40))="New Delhi",PROPER(TRIM(Raw_Data!D40))="Delhi"),"Delhi",PROPER(TRIM(Raw_Data!D40)))))</f>
        <v/>
      </c>
      <c r="E49" s="48">
        <f>Raw_Data!E40</f>
        <v/>
      </c>
      <c r="F49" s="48">
        <f>IF(TRIM(Raw_Data!F40&amp;"")="","Not Specified",Raw_Data!F40)</f>
        <v/>
      </c>
      <c r="G49" s="48">
        <f>Raw_Data!G40</f>
        <v/>
      </c>
      <c r="H49" s="48">
        <f>Raw_Data!H40</f>
        <v/>
      </c>
      <c r="I49" s="49">
        <f>IF(Raw_Data!I40="","",Raw_Data!I40)</f>
        <v/>
      </c>
      <c r="J49" s="49">
        <f>IF(Raw_Data!J40="","",Raw_Data!J40)</f>
        <v/>
      </c>
      <c r="K49" s="48">
        <f>IF(TRIM(Raw_Data!K40&amp;"")="","Not Specified",Raw_Data!K40)</f>
        <v/>
      </c>
      <c r="L49" s="56">
        <f>Raw_Data!L40</f>
        <v/>
      </c>
      <c r="M49" s="49">
        <f>IF(OR(I49="",J49=""),"",(I49+J49)/2)</f>
        <v/>
      </c>
      <c r="N49" s="49">
        <f>IF(OR(I49="",J49=""),"",J49-I49)</f>
        <v/>
      </c>
      <c r="O49" s="48">
        <f>TEXT(L49,"mmm-yyyy")</f>
        <v/>
      </c>
      <c r="P49" s="48">
        <f>_xlfn.IFS(ISNUMBER(SEARCH("data analy",B49)),"Data Analyst",ISNUMBER(SEARCH("business analy",B49)),"Business Analyst",OR(ISNUMBER(SEARCH("developer",B49)),ISNUMBER(SEARCH("software engineer",B49)),ISNUMBER(SEARCH("programmer",B49))),"Software Developer",ISNUMBER(SEARCH("business development",B49)),"Business Development",ISNUMBER(SEARCH("sales",B49)),"Sales Executive",ISNUMBER(SEARCH("marketing",B49)),"Marketing Executive",OR(ISNUMBER(SEARCH("hr ",B49)),ISNUMBER(SEARCH("recruit",B49)),ISNUMBER(SEARCH("human resource",B49))),"HR / Recruiter",OR(ISNUMBER(SEARCH("account",B49)),ISNUMBER(SEARCH("finance",B49)),ISNUMBER(SEARCH("tax",B49)),ISNUMBER(SEARCH("audit",B49))),"Accountant / Finance",OR(ISNUMBER(SEARCH("customer service",B49)),ISNUMBER(SEARCH("customer support",B49)),ISNUMBER(SEARCH("customer care",B49)),ISNUMBER(SEARCH("voice process",B49)),ISNUMBER(SEARCH("bpo",B49))),"Customer Support",ISNUMBER(SEARCH("engineer",B49)),"Engineer (Technical)",ISNUMBER(SEARCH("manager",B49)),"Manager",OR(ISNUMBER(SEARCH("teacher",B49)),ISNUMBER(SEARCH("trainer",B49)),ISNUMBER(SEARCH("faculty",B49))),"Teacher / Trainer",OR(ISNUMBER(SEARCH("doctor",B49)),ISNUMBER(SEARCH("nurse",B49)),ISNUMBER(SEARCH("medical",B49)),ISNUMBER(SEARCH("pharma",B49)),ISNUMBER(SEARCH("clinical",B49))),"Healthcare",TRUE,"Other")</f>
        <v/>
      </c>
      <c r="Q49" s="48">
        <f>IF(COUNTIFS($B$11:B49,B49,$C$11:C49,C49,$D$11:D49,D49,$L$11:L49,L49)&gt;1,"Duplicate","Unique")</f>
        <v/>
      </c>
    </row>
    <row r="50">
      <c r="A50" s="48">
        <f>Raw_Data!A41</f>
        <v/>
      </c>
      <c r="B50" s="48">
        <f>PROPER(TRIM(Raw_Data!B41))</f>
        <v/>
      </c>
      <c r="C50" s="48">
        <f>TRIM(Raw_Data!C41)</f>
        <v/>
      </c>
      <c r="D50" s="48">
        <f>IF(PROPER(TRIM(Raw_Data!D41))="Bangalore","Bengaluru",IF(PROPER(TRIM(Raw_Data!D41))="Gurgaon","Gurugram",IF(OR(PROPER(TRIM(Raw_Data!D41))="New Delhi",PROPER(TRIM(Raw_Data!D41))="Delhi"),"Delhi",PROPER(TRIM(Raw_Data!D41)))))</f>
        <v/>
      </c>
      <c r="E50" s="48">
        <f>Raw_Data!E41</f>
        <v/>
      </c>
      <c r="F50" s="48">
        <f>IF(TRIM(Raw_Data!F41&amp;"")="","Not Specified",Raw_Data!F41)</f>
        <v/>
      </c>
      <c r="G50" s="48">
        <f>Raw_Data!G41</f>
        <v/>
      </c>
      <c r="H50" s="48">
        <f>Raw_Data!H41</f>
        <v/>
      </c>
      <c r="I50" s="49">
        <f>IF(Raw_Data!I41="","",Raw_Data!I41)</f>
        <v/>
      </c>
      <c r="J50" s="49">
        <f>IF(Raw_Data!J41="","",Raw_Data!J41)</f>
        <v/>
      </c>
      <c r="K50" s="48">
        <f>IF(TRIM(Raw_Data!K41&amp;"")="","Not Specified",Raw_Data!K41)</f>
        <v/>
      </c>
      <c r="L50" s="56">
        <f>Raw_Data!L41</f>
        <v/>
      </c>
      <c r="M50" s="49">
        <f>IF(OR(I50="",J50=""),"",(I50+J50)/2)</f>
        <v/>
      </c>
      <c r="N50" s="49">
        <f>IF(OR(I50="",J50=""),"",J50-I50)</f>
        <v/>
      </c>
      <c r="O50" s="48">
        <f>TEXT(L50,"mmm-yyyy")</f>
        <v/>
      </c>
      <c r="P50" s="48">
        <f>_xlfn.IFS(ISNUMBER(SEARCH("data analy",B50)),"Data Analyst",ISNUMBER(SEARCH("business analy",B50)),"Business Analyst",OR(ISNUMBER(SEARCH("developer",B50)),ISNUMBER(SEARCH("software engineer",B50)),ISNUMBER(SEARCH("programmer",B50))),"Software Developer",ISNUMBER(SEARCH("business development",B50)),"Business Development",ISNUMBER(SEARCH("sales",B50)),"Sales Executive",ISNUMBER(SEARCH("marketing",B50)),"Marketing Executive",OR(ISNUMBER(SEARCH("hr ",B50)),ISNUMBER(SEARCH("recruit",B50)),ISNUMBER(SEARCH("human resource",B50))),"HR / Recruiter",OR(ISNUMBER(SEARCH("account",B50)),ISNUMBER(SEARCH("finance",B50)),ISNUMBER(SEARCH("tax",B50)),ISNUMBER(SEARCH("audit",B50))),"Accountant / Finance",OR(ISNUMBER(SEARCH("customer service",B50)),ISNUMBER(SEARCH("customer support",B50)),ISNUMBER(SEARCH("customer care",B50)),ISNUMBER(SEARCH("voice process",B50)),ISNUMBER(SEARCH("bpo",B50))),"Customer Support",ISNUMBER(SEARCH("engineer",B50)),"Engineer (Technical)",ISNUMBER(SEARCH("manager",B50)),"Manager",OR(ISNUMBER(SEARCH("teacher",B50)),ISNUMBER(SEARCH("trainer",B50)),ISNUMBER(SEARCH("faculty",B50))),"Teacher / Trainer",OR(ISNUMBER(SEARCH("doctor",B50)),ISNUMBER(SEARCH("nurse",B50)),ISNUMBER(SEARCH("medical",B50)),ISNUMBER(SEARCH("pharma",B50)),ISNUMBER(SEARCH("clinical",B50))),"Healthcare",TRUE,"Other")</f>
        <v/>
      </c>
      <c r="Q50" s="48">
        <f>IF(COUNTIFS($B$11:B50,B50,$C$11:C50,C50,$D$11:D50,D50,$L$11:L50,L50)&gt;1,"Duplicate","Unique")</f>
        <v/>
      </c>
    </row>
    <row r="51">
      <c r="A51" s="48">
        <f>Raw_Data!A42</f>
        <v/>
      </c>
      <c r="B51" s="48">
        <f>PROPER(TRIM(Raw_Data!B42))</f>
        <v/>
      </c>
      <c r="C51" s="48">
        <f>TRIM(Raw_Data!C42)</f>
        <v/>
      </c>
      <c r="D51" s="48">
        <f>IF(PROPER(TRIM(Raw_Data!D42))="Bangalore","Bengaluru",IF(PROPER(TRIM(Raw_Data!D42))="Gurgaon","Gurugram",IF(OR(PROPER(TRIM(Raw_Data!D42))="New Delhi",PROPER(TRIM(Raw_Data!D42))="Delhi"),"Delhi",PROPER(TRIM(Raw_Data!D42)))))</f>
        <v/>
      </c>
      <c r="E51" s="48">
        <f>Raw_Data!E42</f>
        <v/>
      </c>
      <c r="F51" s="48">
        <f>IF(TRIM(Raw_Data!F42&amp;"")="","Not Specified",Raw_Data!F42)</f>
        <v/>
      </c>
      <c r="G51" s="48">
        <f>Raw_Data!G42</f>
        <v/>
      </c>
      <c r="H51" s="48">
        <f>Raw_Data!H42</f>
        <v/>
      </c>
      <c r="I51" s="49">
        <f>IF(Raw_Data!I42="","",Raw_Data!I42)</f>
        <v/>
      </c>
      <c r="J51" s="49">
        <f>IF(Raw_Data!J42="","",Raw_Data!J42)</f>
        <v/>
      </c>
      <c r="K51" s="48">
        <f>IF(TRIM(Raw_Data!K42&amp;"")="","Not Specified",Raw_Data!K42)</f>
        <v/>
      </c>
      <c r="L51" s="56">
        <f>Raw_Data!L42</f>
        <v/>
      </c>
      <c r="M51" s="49">
        <f>IF(OR(I51="",J51=""),"",(I51+J51)/2)</f>
        <v/>
      </c>
      <c r="N51" s="49">
        <f>IF(OR(I51="",J51=""),"",J51-I51)</f>
        <v/>
      </c>
      <c r="O51" s="48">
        <f>TEXT(L51,"mmm-yyyy")</f>
        <v/>
      </c>
      <c r="P51" s="48">
        <f>_xlfn.IFS(ISNUMBER(SEARCH("data analy",B51)),"Data Analyst",ISNUMBER(SEARCH("business analy",B51)),"Business Analyst",OR(ISNUMBER(SEARCH("developer",B51)),ISNUMBER(SEARCH("software engineer",B51)),ISNUMBER(SEARCH("programmer",B51))),"Software Developer",ISNUMBER(SEARCH("business development",B51)),"Business Development",ISNUMBER(SEARCH("sales",B51)),"Sales Executive",ISNUMBER(SEARCH("marketing",B51)),"Marketing Executive",OR(ISNUMBER(SEARCH("hr ",B51)),ISNUMBER(SEARCH("recruit",B51)),ISNUMBER(SEARCH("human resource",B51))),"HR / Recruiter",OR(ISNUMBER(SEARCH("account",B51)),ISNUMBER(SEARCH("finance",B51)),ISNUMBER(SEARCH("tax",B51)),ISNUMBER(SEARCH("audit",B51))),"Accountant / Finance",OR(ISNUMBER(SEARCH("customer service",B51)),ISNUMBER(SEARCH("customer support",B51)),ISNUMBER(SEARCH("customer care",B51)),ISNUMBER(SEARCH("voice process",B51)),ISNUMBER(SEARCH("bpo",B51))),"Customer Support",ISNUMBER(SEARCH("engineer",B51)),"Engineer (Technical)",ISNUMBER(SEARCH("manager",B51)),"Manager",OR(ISNUMBER(SEARCH("teacher",B51)),ISNUMBER(SEARCH("trainer",B51)),ISNUMBER(SEARCH("faculty",B51))),"Teacher / Trainer",OR(ISNUMBER(SEARCH("doctor",B51)),ISNUMBER(SEARCH("nurse",B51)),ISNUMBER(SEARCH("medical",B51)),ISNUMBER(SEARCH("pharma",B51)),ISNUMBER(SEARCH("clinical",B51))),"Healthcare",TRUE,"Other")</f>
        <v/>
      </c>
      <c r="Q51" s="48">
        <f>IF(COUNTIFS($B$11:B51,B51,$C$11:C51,C51,$D$11:D51,D51,$L$11:L51,L51)&gt;1,"Duplicate","Unique")</f>
        <v/>
      </c>
    </row>
    <row r="52">
      <c r="A52" s="48">
        <f>Raw_Data!A43</f>
        <v/>
      </c>
      <c r="B52" s="48">
        <f>PROPER(TRIM(Raw_Data!B43))</f>
        <v/>
      </c>
      <c r="C52" s="48">
        <f>TRIM(Raw_Data!C43)</f>
        <v/>
      </c>
      <c r="D52" s="48">
        <f>IF(PROPER(TRIM(Raw_Data!D43))="Bangalore","Bengaluru",IF(PROPER(TRIM(Raw_Data!D43))="Gurgaon","Gurugram",IF(OR(PROPER(TRIM(Raw_Data!D43))="New Delhi",PROPER(TRIM(Raw_Data!D43))="Delhi"),"Delhi",PROPER(TRIM(Raw_Data!D43)))))</f>
        <v/>
      </c>
      <c r="E52" s="48">
        <f>Raw_Data!E43</f>
        <v/>
      </c>
      <c r="F52" s="48">
        <f>IF(TRIM(Raw_Data!F43&amp;"")="","Not Specified",Raw_Data!F43)</f>
        <v/>
      </c>
      <c r="G52" s="48">
        <f>Raw_Data!G43</f>
        <v/>
      </c>
      <c r="H52" s="48">
        <f>Raw_Data!H43</f>
        <v/>
      </c>
      <c r="I52" s="49">
        <f>IF(Raw_Data!I43="","",Raw_Data!I43)</f>
        <v/>
      </c>
      <c r="J52" s="49">
        <f>IF(Raw_Data!J43="","",Raw_Data!J43)</f>
        <v/>
      </c>
      <c r="K52" s="48">
        <f>IF(TRIM(Raw_Data!K43&amp;"")="","Not Specified",Raw_Data!K43)</f>
        <v/>
      </c>
      <c r="L52" s="56">
        <f>Raw_Data!L43</f>
        <v/>
      </c>
      <c r="M52" s="49">
        <f>IF(OR(I52="",J52=""),"",(I52+J52)/2)</f>
        <v/>
      </c>
      <c r="N52" s="49">
        <f>IF(OR(I52="",J52=""),"",J52-I52)</f>
        <v/>
      </c>
      <c r="O52" s="48">
        <f>TEXT(L52,"mmm-yyyy")</f>
        <v/>
      </c>
      <c r="P52" s="48">
        <f>_xlfn.IFS(ISNUMBER(SEARCH("data analy",B52)),"Data Analyst",ISNUMBER(SEARCH("business analy",B52)),"Business Analyst",OR(ISNUMBER(SEARCH("developer",B52)),ISNUMBER(SEARCH("software engineer",B52)),ISNUMBER(SEARCH("programmer",B52))),"Software Developer",ISNUMBER(SEARCH("business development",B52)),"Business Development",ISNUMBER(SEARCH("sales",B52)),"Sales Executive",ISNUMBER(SEARCH("marketing",B52)),"Marketing Executive",OR(ISNUMBER(SEARCH("hr ",B52)),ISNUMBER(SEARCH("recruit",B52)),ISNUMBER(SEARCH("human resource",B52))),"HR / Recruiter",OR(ISNUMBER(SEARCH("account",B52)),ISNUMBER(SEARCH("finance",B52)),ISNUMBER(SEARCH("tax",B52)),ISNUMBER(SEARCH("audit",B52))),"Accountant / Finance",OR(ISNUMBER(SEARCH("customer service",B52)),ISNUMBER(SEARCH("customer support",B52)),ISNUMBER(SEARCH("customer care",B52)),ISNUMBER(SEARCH("voice process",B52)),ISNUMBER(SEARCH("bpo",B52))),"Customer Support",ISNUMBER(SEARCH("engineer",B52)),"Engineer (Technical)",ISNUMBER(SEARCH("manager",B52)),"Manager",OR(ISNUMBER(SEARCH("teacher",B52)),ISNUMBER(SEARCH("trainer",B52)),ISNUMBER(SEARCH("faculty",B52))),"Teacher / Trainer",OR(ISNUMBER(SEARCH("doctor",B52)),ISNUMBER(SEARCH("nurse",B52)),ISNUMBER(SEARCH("medical",B52)),ISNUMBER(SEARCH("pharma",B52)),ISNUMBER(SEARCH("clinical",B52))),"Healthcare",TRUE,"Other")</f>
        <v/>
      </c>
      <c r="Q52" s="48">
        <f>IF(COUNTIFS($B$11:B52,B52,$C$11:C52,C52,$D$11:D52,D52,$L$11:L52,L52)&gt;1,"Duplicate","Unique")</f>
        <v/>
      </c>
    </row>
    <row r="53">
      <c r="A53" s="48">
        <f>Raw_Data!A44</f>
        <v/>
      </c>
      <c r="B53" s="48">
        <f>PROPER(TRIM(Raw_Data!B44))</f>
        <v/>
      </c>
      <c r="C53" s="48">
        <f>TRIM(Raw_Data!C44)</f>
        <v/>
      </c>
      <c r="D53" s="48">
        <f>IF(PROPER(TRIM(Raw_Data!D44))="Bangalore","Bengaluru",IF(PROPER(TRIM(Raw_Data!D44))="Gurgaon","Gurugram",IF(OR(PROPER(TRIM(Raw_Data!D44))="New Delhi",PROPER(TRIM(Raw_Data!D44))="Delhi"),"Delhi",PROPER(TRIM(Raw_Data!D44)))))</f>
        <v/>
      </c>
      <c r="E53" s="48">
        <f>Raw_Data!E44</f>
        <v/>
      </c>
      <c r="F53" s="48">
        <f>IF(TRIM(Raw_Data!F44&amp;"")="","Not Specified",Raw_Data!F44)</f>
        <v/>
      </c>
      <c r="G53" s="48">
        <f>Raw_Data!G44</f>
        <v/>
      </c>
      <c r="H53" s="48">
        <f>Raw_Data!H44</f>
        <v/>
      </c>
      <c r="I53" s="49">
        <f>IF(Raw_Data!I44="","",Raw_Data!I44)</f>
        <v/>
      </c>
      <c r="J53" s="49">
        <f>IF(Raw_Data!J44="","",Raw_Data!J44)</f>
        <v/>
      </c>
      <c r="K53" s="48">
        <f>IF(TRIM(Raw_Data!K44&amp;"")="","Not Specified",Raw_Data!K44)</f>
        <v/>
      </c>
      <c r="L53" s="56">
        <f>Raw_Data!L44</f>
        <v/>
      </c>
      <c r="M53" s="49">
        <f>IF(OR(I53="",J53=""),"",(I53+J53)/2)</f>
        <v/>
      </c>
      <c r="N53" s="49">
        <f>IF(OR(I53="",J53=""),"",J53-I53)</f>
        <v/>
      </c>
      <c r="O53" s="48">
        <f>TEXT(L53,"mmm-yyyy")</f>
        <v/>
      </c>
      <c r="P53" s="48">
        <f>_xlfn.IFS(ISNUMBER(SEARCH("data analy",B53)),"Data Analyst",ISNUMBER(SEARCH("business analy",B53)),"Business Analyst",OR(ISNUMBER(SEARCH("developer",B53)),ISNUMBER(SEARCH("software engineer",B53)),ISNUMBER(SEARCH("programmer",B53))),"Software Developer",ISNUMBER(SEARCH("business development",B53)),"Business Development",ISNUMBER(SEARCH("sales",B53)),"Sales Executive",ISNUMBER(SEARCH("marketing",B53)),"Marketing Executive",OR(ISNUMBER(SEARCH("hr ",B53)),ISNUMBER(SEARCH("recruit",B53)),ISNUMBER(SEARCH("human resource",B53))),"HR / Recruiter",OR(ISNUMBER(SEARCH("account",B53)),ISNUMBER(SEARCH("finance",B53)),ISNUMBER(SEARCH("tax",B53)),ISNUMBER(SEARCH("audit",B53))),"Accountant / Finance",OR(ISNUMBER(SEARCH("customer service",B53)),ISNUMBER(SEARCH("customer support",B53)),ISNUMBER(SEARCH("customer care",B53)),ISNUMBER(SEARCH("voice process",B53)),ISNUMBER(SEARCH("bpo",B53))),"Customer Support",ISNUMBER(SEARCH("engineer",B53)),"Engineer (Technical)",ISNUMBER(SEARCH("manager",B53)),"Manager",OR(ISNUMBER(SEARCH("teacher",B53)),ISNUMBER(SEARCH("trainer",B53)),ISNUMBER(SEARCH("faculty",B53))),"Teacher / Trainer",OR(ISNUMBER(SEARCH("doctor",B53)),ISNUMBER(SEARCH("nurse",B53)),ISNUMBER(SEARCH("medical",B53)),ISNUMBER(SEARCH("pharma",B53)),ISNUMBER(SEARCH("clinical",B53))),"Healthcare",TRUE,"Other")</f>
        <v/>
      </c>
      <c r="Q53" s="48">
        <f>IF(COUNTIFS($B$11:B53,B53,$C$11:C53,C53,$D$11:D53,D53,$L$11:L53,L53)&gt;1,"Duplicate","Unique")</f>
        <v/>
      </c>
    </row>
    <row r="54">
      <c r="A54" s="48">
        <f>Raw_Data!A45</f>
        <v/>
      </c>
      <c r="B54" s="48">
        <f>PROPER(TRIM(Raw_Data!B45))</f>
        <v/>
      </c>
      <c r="C54" s="48">
        <f>TRIM(Raw_Data!C45)</f>
        <v/>
      </c>
      <c r="D54" s="48">
        <f>IF(PROPER(TRIM(Raw_Data!D45))="Bangalore","Bengaluru",IF(PROPER(TRIM(Raw_Data!D45))="Gurgaon","Gurugram",IF(OR(PROPER(TRIM(Raw_Data!D45))="New Delhi",PROPER(TRIM(Raw_Data!D45))="Delhi"),"Delhi",PROPER(TRIM(Raw_Data!D45)))))</f>
        <v/>
      </c>
      <c r="E54" s="48">
        <f>Raw_Data!E45</f>
        <v/>
      </c>
      <c r="F54" s="48">
        <f>IF(TRIM(Raw_Data!F45&amp;"")="","Not Specified",Raw_Data!F45)</f>
        <v/>
      </c>
      <c r="G54" s="48">
        <f>Raw_Data!G45</f>
        <v/>
      </c>
      <c r="H54" s="48">
        <f>Raw_Data!H45</f>
        <v/>
      </c>
      <c r="I54" s="49">
        <f>IF(Raw_Data!I45="","",Raw_Data!I45)</f>
        <v/>
      </c>
      <c r="J54" s="49">
        <f>IF(Raw_Data!J45="","",Raw_Data!J45)</f>
        <v/>
      </c>
      <c r="K54" s="48">
        <f>IF(TRIM(Raw_Data!K45&amp;"")="","Not Specified",Raw_Data!K45)</f>
        <v/>
      </c>
      <c r="L54" s="56">
        <f>Raw_Data!L45</f>
        <v/>
      </c>
      <c r="M54" s="49">
        <f>IF(OR(I54="",J54=""),"",(I54+J54)/2)</f>
        <v/>
      </c>
      <c r="N54" s="49">
        <f>IF(OR(I54="",J54=""),"",J54-I54)</f>
        <v/>
      </c>
      <c r="O54" s="48">
        <f>TEXT(L54,"mmm-yyyy")</f>
        <v/>
      </c>
      <c r="P54" s="48">
        <f>_xlfn.IFS(ISNUMBER(SEARCH("data analy",B54)),"Data Analyst",ISNUMBER(SEARCH("business analy",B54)),"Business Analyst",OR(ISNUMBER(SEARCH("developer",B54)),ISNUMBER(SEARCH("software engineer",B54)),ISNUMBER(SEARCH("programmer",B54))),"Software Developer",ISNUMBER(SEARCH("business development",B54)),"Business Development",ISNUMBER(SEARCH("sales",B54)),"Sales Executive",ISNUMBER(SEARCH("marketing",B54)),"Marketing Executive",OR(ISNUMBER(SEARCH("hr ",B54)),ISNUMBER(SEARCH("recruit",B54)),ISNUMBER(SEARCH("human resource",B54))),"HR / Recruiter",OR(ISNUMBER(SEARCH("account",B54)),ISNUMBER(SEARCH("finance",B54)),ISNUMBER(SEARCH("tax",B54)),ISNUMBER(SEARCH("audit",B54))),"Accountant / Finance",OR(ISNUMBER(SEARCH("customer service",B54)),ISNUMBER(SEARCH("customer support",B54)),ISNUMBER(SEARCH("customer care",B54)),ISNUMBER(SEARCH("voice process",B54)),ISNUMBER(SEARCH("bpo",B54))),"Customer Support",ISNUMBER(SEARCH("engineer",B54)),"Engineer (Technical)",ISNUMBER(SEARCH("manager",B54)),"Manager",OR(ISNUMBER(SEARCH("teacher",B54)),ISNUMBER(SEARCH("trainer",B54)),ISNUMBER(SEARCH("faculty",B54))),"Teacher / Trainer",OR(ISNUMBER(SEARCH("doctor",B54)),ISNUMBER(SEARCH("nurse",B54)),ISNUMBER(SEARCH("medical",B54)),ISNUMBER(SEARCH("pharma",B54)),ISNUMBER(SEARCH("clinical",B54))),"Healthcare",TRUE,"Other")</f>
        <v/>
      </c>
      <c r="Q54" s="48">
        <f>IF(COUNTIFS($B$11:B54,B54,$C$11:C54,C54,$D$11:D54,D54,$L$11:L54,L54)&gt;1,"Duplicate","Unique")</f>
        <v/>
      </c>
    </row>
    <row r="55">
      <c r="A55" s="48">
        <f>Raw_Data!A46</f>
        <v/>
      </c>
      <c r="B55" s="48">
        <f>PROPER(TRIM(Raw_Data!B46))</f>
        <v/>
      </c>
      <c r="C55" s="48">
        <f>TRIM(Raw_Data!C46)</f>
        <v/>
      </c>
      <c r="D55" s="48">
        <f>IF(PROPER(TRIM(Raw_Data!D46))="Bangalore","Bengaluru",IF(PROPER(TRIM(Raw_Data!D46))="Gurgaon","Gurugram",IF(OR(PROPER(TRIM(Raw_Data!D46))="New Delhi",PROPER(TRIM(Raw_Data!D46))="Delhi"),"Delhi",PROPER(TRIM(Raw_Data!D46)))))</f>
        <v/>
      </c>
      <c r="E55" s="48">
        <f>Raw_Data!E46</f>
        <v/>
      </c>
      <c r="F55" s="48">
        <f>IF(TRIM(Raw_Data!F46&amp;"")="","Not Specified",Raw_Data!F46)</f>
        <v/>
      </c>
      <c r="G55" s="48">
        <f>Raw_Data!G46</f>
        <v/>
      </c>
      <c r="H55" s="48">
        <f>Raw_Data!H46</f>
        <v/>
      </c>
      <c r="I55" s="49">
        <f>IF(Raw_Data!I46="","",Raw_Data!I46)</f>
        <v/>
      </c>
      <c r="J55" s="49">
        <f>IF(Raw_Data!J46="","",Raw_Data!J46)</f>
        <v/>
      </c>
      <c r="K55" s="48">
        <f>IF(TRIM(Raw_Data!K46&amp;"")="","Not Specified",Raw_Data!K46)</f>
        <v/>
      </c>
      <c r="L55" s="56">
        <f>Raw_Data!L46</f>
        <v/>
      </c>
      <c r="M55" s="49">
        <f>IF(OR(I55="",J55=""),"",(I55+J55)/2)</f>
        <v/>
      </c>
      <c r="N55" s="49">
        <f>IF(OR(I55="",J55=""),"",J55-I55)</f>
        <v/>
      </c>
      <c r="O55" s="48">
        <f>TEXT(L55,"mmm-yyyy")</f>
        <v/>
      </c>
      <c r="P55" s="48">
        <f>_xlfn.IFS(ISNUMBER(SEARCH("data analy",B55)),"Data Analyst",ISNUMBER(SEARCH("business analy",B55)),"Business Analyst",OR(ISNUMBER(SEARCH("developer",B55)),ISNUMBER(SEARCH("software engineer",B55)),ISNUMBER(SEARCH("programmer",B55))),"Software Developer",ISNUMBER(SEARCH("business development",B55)),"Business Development",ISNUMBER(SEARCH("sales",B55)),"Sales Executive",ISNUMBER(SEARCH("marketing",B55)),"Marketing Executive",OR(ISNUMBER(SEARCH("hr ",B55)),ISNUMBER(SEARCH("recruit",B55)),ISNUMBER(SEARCH("human resource",B55))),"HR / Recruiter",OR(ISNUMBER(SEARCH("account",B55)),ISNUMBER(SEARCH("finance",B55)),ISNUMBER(SEARCH("tax",B55)),ISNUMBER(SEARCH("audit",B55))),"Accountant / Finance",OR(ISNUMBER(SEARCH("customer service",B55)),ISNUMBER(SEARCH("customer support",B55)),ISNUMBER(SEARCH("customer care",B55)),ISNUMBER(SEARCH("voice process",B55)),ISNUMBER(SEARCH("bpo",B55))),"Customer Support",ISNUMBER(SEARCH("engineer",B55)),"Engineer (Technical)",ISNUMBER(SEARCH("manager",B55)),"Manager",OR(ISNUMBER(SEARCH("teacher",B55)),ISNUMBER(SEARCH("trainer",B55)),ISNUMBER(SEARCH("faculty",B55))),"Teacher / Trainer",OR(ISNUMBER(SEARCH("doctor",B55)),ISNUMBER(SEARCH("nurse",B55)),ISNUMBER(SEARCH("medical",B55)),ISNUMBER(SEARCH("pharma",B55)),ISNUMBER(SEARCH("clinical",B55))),"Healthcare",TRUE,"Other")</f>
        <v/>
      </c>
      <c r="Q55" s="48">
        <f>IF(COUNTIFS($B$11:B55,B55,$C$11:C55,C55,$D$11:D55,D55,$L$11:L55,L55)&gt;1,"Duplicate","Unique")</f>
        <v/>
      </c>
    </row>
    <row r="56">
      <c r="A56" s="48">
        <f>Raw_Data!A47</f>
        <v/>
      </c>
      <c r="B56" s="48">
        <f>PROPER(TRIM(Raw_Data!B47))</f>
        <v/>
      </c>
      <c r="C56" s="48">
        <f>TRIM(Raw_Data!C47)</f>
        <v/>
      </c>
      <c r="D56" s="48">
        <f>IF(PROPER(TRIM(Raw_Data!D47))="Bangalore","Bengaluru",IF(PROPER(TRIM(Raw_Data!D47))="Gurgaon","Gurugram",IF(OR(PROPER(TRIM(Raw_Data!D47))="New Delhi",PROPER(TRIM(Raw_Data!D47))="Delhi"),"Delhi",PROPER(TRIM(Raw_Data!D47)))))</f>
        <v/>
      </c>
      <c r="E56" s="48">
        <f>Raw_Data!E47</f>
        <v/>
      </c>
      <c r="F56" s="48">
        <f>IF(TRIM(Raw_Data!F47&amp;"")="","Not Specified",Raw_Data!F47)</f>
        <v/>
      </c>
      <c r="G56" s="48">
        <f>Raw_Data!G47</f>
        <v/>
      </c>
      <c r="H56" s="48">
        <f>Raw_Data!H47</f>
        <v/>
      </c>
      <c r="I56" s="49">
        <f>IF(Raw_Data!I47="","",Raw_Data!I47)</f>
        <v/>
      </c>
      <c r="J56" s="49">
        <f>IF(Raw_Data!J47="","",Raw_Data!J47)</f>
        <v/>
      </c>
      <c r="K56" s="48">
        <f>IF(TRIM(Raw_Data!K47&amp;"")="","Not Specified",Raw_Data!K47)</f>
        <v/>
      </c>
      <c r="L56" s="56">
        <f>Raw_Data!L47</f>
        <v/>
      </c>
      <c r="M56" s="49">
        <f>IF(OR(I56="",J56=""),"",(I56+J56)/2)</f>
        <v/>
      </c>
      <c r="N56" s="49">
        <f>IF(OR(I56="",J56=""),"",J56-I56)</f>
        <v/>
      </c>
      <c r="O56" s="48">
        <f>TEXT(L56,"mmm-yyyy")</f>
        <v/>
      </c>
      <c r="P56" s="48">
        <f>_xlfn.IFS(ISNUMBER(SEARCH("data analy",B56)),"Data Analyst",ISNUMBER(SEARCH("business analy",B56)),"Business Analyst",OR(ISNUMBER(SEARCH("developer",B56)),ISNUMBER(SEARCH("software engineer",B56)),ISNUMBER(SEARCH("programmer",B56))),"Software Developer",ISNUMBER(SEARCH("business development",B56)),"Business Development",ISNUMBER(SEARCH("sales",B56)),"Sales Executive",ISNUMBER(SEARCH("marketing",B56)),"Marketing Executive",OR(ISNUMBER(SEARCH("hr ",B56)),ISNUMBER(SEARCH("recruit",B56)),ISNUMBER(SEARCH("human resource",B56))),"HR / Recruiter",OR(ISNUMBER(SEARCH("account",B56)),ISNUMBER(SEARCH("finance",B56)),ISNUMBER(SEARCH("tax",B56)),ISNUMBER(SEARCH("audit",B56))),"Accountant / Finance",OR(ISNUMBER(SEARCH("customer service",B56)),ISNUMBER(SEARCH("customer support",B56)),ISNUMBER(SEARCH("customer care",B56)),ISNUMBER(SEARCH("voice process",B56)),ISNUMBER(SEARCH("bpo",B56))),"Customer Support",ISNUMBER(SEARCH("engineer",B56)),"Engineer (Technical)",ISNUMBER(SEARCH("manager",B56)),"Manager",OR(ISNUMBER(SEARCH("teacher",B56)),ISNUMBER(SEARCH("trainer",B56)),ISNUMBER(SEARCH("faculty",B56))),"Teacher / Trainer",OR(ISNUMBER(SEARCH("doctor",B56)),ISNUMBER(SEARCH("nurse",B56)),ISNUMBER(SEARCH("medical",B56)),ISNUMBER(SEARCH("pharma",B56)),ISNUMBER(SEARCH("clinical",B56))),"Healthcare",TRUE,"Other")</f>
        <v/>
      </c>
      <c r="Q56" s="48">
        <f>IF(COUNTIFS($B$11:B56,B56,$C$11:C56,C56,$D$11:D56,D56,$L$11:L56,L56)&gt;1,"Duplicate","Unique")</f>
        <v/>
      </c>
    </row>
    <row r="57">
      <c r="A57" s="48">
        <f>Raw_Data!A48</f>
        <v/>
      </c>
      <c r="B57" s="48">
        <f>PROPER(TRIM(Raw_Data!B48))</f>
        <v/>
      </c>
      <c r="C57" s="48">
        <f>TRIM(Raw_Data!C48)</f>
        <v/>
      </c>
      <c r="D57" s="48">
        <f>IF(PROPER(TRIM(Raw_Data!D48))="Bangalore","Bengaluru",IF(PROPER(TRIM(Raw_Data!D48))="Gurgaon","Gurugram",IF(OR(PROPER(TRIM(Raw_Data!D48))="New Delhi",PROPER(TRIM(Raw_Data!D48))="Delhi"),"Delhi",PROPER(TRIM(Raw_Data!D48)))))</f>
        <v/>
      </c>
      <c r="E57" s="48">
        <f>Raw_Data!E48</f>
        <v/>
      </c>
      <c r="F57" s="48">
        <f>IF(TRIM(Raw_Data!F48&amp;"")="","Not Specified",Raw_Data!F48)</f>
        <v/>
      </c>
      <c r="G57" s="48">
        <f>Raw_Data!G48</f>
        <v/>
      </c>
      <c r="H57" s="48">
        <f>Raw_Data!H48</f>
        <v/>
      </c>
      <c r="I57" s="49">
        <f>IF(Raw_Data!I48="","",Raw_Data!I48)</f>
        <v/>
      </c>
      <c r="J57" s="49">
        <f>IF(Raw_Data!J48="","",Raw_Data!J48)</f>
        <v/>
      </c>
      <c r="K57" s="48">
        <f>IF(TRIM(Raw_Data!K48&amp;"")="","Not Specified",Raw_Data!K48)</f>
        <v/>
      </c>
      <c r="L57" s="56">
        <f>Raw_Data!L48</f>
        <v/>
      </c>
      <c r="M57" s="49">
        <f>IF(OR(I57="",J57=""),"",(I57+J57)/2)</f>
        <v/>
      </c>
      <c r="N57" s="49">
        <f>IF(OR(I57="",J57=""),"",J57-I57)</f>
        <v/>
      </c>
      <c r="O57" s="48">
        <f>TEXT(L57,"mmm-yyyy")</f>
        <v/>
      </c>
      <c r="P57" s="48">
        <f>_xlfn.IFS(ISNUMBER(SEARCH("data analy",B57)),"Data Analyst",ISNUMBER(SEARCH("business analy",B57)),"Business Analyst",OR(ISNUMBER(SEARCH("developer",B57)),ISNUMBER(SEARCH("software engineer",B57)),ISNUMBER(SEARCH("programmer",B57))),"Software Developer",ISNUMBER(SEARCH("business development",B57)),"Business Development",ISNUMBER(SEARCH("sales",B57)),"Sales Executive",ISNUMBER(SEARCH("marketing",B57)),"Marketing Executive",OR(ISNUMBER(SEARCH("hr ",B57)),ISNUMBER(SEARCH("recruit",B57)),ISNUMBER(SEARCH("human resource",B57))),"HR / Recruiter",OR(ISNUMBER(SEARCH("account",B57)),ISNUMBER(SEARCH("finance",B57)),ISNUMBER(SEARCH("tax",B57)),ISNUMBER(SEARCH("audit",B57))),"Accountant / Finance",OR(ISNUMBER(SEARCH("customer service",B57)),ISNUMBER(SEARCH("customer support",B57)),ISNUMBER(SEARCH("customer care",B57)),ISNUMBER(SEARCH("voice process",B57)),ISNUMBER(SEARCH("bpo",B57))),"Customer Support",ISNUMBER(SEARCH("engineer",B57)),"Engineer (Technical)",ISNUMBER(SEARCH("manager",B57)),"Manager",OR(ISNUMBER(SEARCH("teacher",B57)),ISNUMBER(SEARCH("trainer",B57)),ISNUMBER(SEARCH("faculty",B57))),"Teacher / Trainer",OR(ISNUMBER(SEARCH("doctor",B57)),ISNUMBER(SEARCH("nurse",B57)),ISNUMBER(SEARCH("medical",B57)),ISNUMBER(SEARCH("pharma",B57)),ISNUMBER(SEARCH("clinical",B57))),"Healthcare",TRUE,"Other")</f>
        <v/>
      </c>
      <c r="Q57" s="48">
        <f>IF(COUNTIFS($B$11:B57,B57,$C$11:C57,C57,$D$11:D57,D57,$L$11:L57,L57)&gt;1,"Duplicate","Unique")</f>
        <v/>
      </c>
    </row>
    <row r="58">
      <c r="A58" s="48">
        <f>Raw_Data!A49</f>
        <v/>
      </c>
      <c r="B58" s="48">
        <f>PROPER(TRIM(Raw_Data!B49))</f>
        <v/>
      </c>
      <c r="C58" s="48">
        <f>TRIM(Raw_Data!C49)</f>
        <v/>
      </c>
      <c r="D58" s="48">
        <f>IF(PROPER(TRIM(Raw_Data!D49))="Bangalore","Bengaluru",IF(PROPER(TRIM(Raw_Data!D49))="Gurgaon","Gurugram",IF(OR(PROPER(TRIM(Raw_Data!D49))="New Delhi",PROPER(TRIM(Raw_Data!D49))="Delhi"),"Delhi",PROPER(TRIM(Raw_Data!D49)))))</f>
        <v/>
      </c>
      <c r="E58" s="48">
        <f>Raw_Data!E49</f>
        <v/>
      </c>
      <c r="F58" s="48">
        <f>IF(TRIM(Raw_Data!F49&amp;"")="","Not Specified",Raw_Data!F49)</f>
        <v/>
      </c>
      <c r="G58" s="48">
        <f>Raw_Data!G49</f>
        <v/>
      </c>
      <c r="H58" s="48">
        <f>Raw_Data!H49</f>
        <v/>
      </c>
      <c r="I58" s="49">
        <f>IF(Raw_Data!I49="","",Raw_Data!I49)</f>
        <v/>
      </c>
      <c r="J58" s="49">
        <f>IF(Raw_Data!J49="","",Raw_Data!J49)</f>
        <v/>
      </c>
      <c r="K58" s="48">
        <f>IF(TRIM(Raw_Data!K49&amp;"")="","Not Specified",Raw_Data!K49)</f>
        <v/>
      </c>
      <c r="L58" s="56">
        <f>Raw_Data!L49</f>
        <v/>
      </c>
      <c r="M58" s="49">
        <f>IF(OR(I58="",J58=""),"",(I58+J58)/2)</f>
        <v/>
      </c>
      <c r="N58" s="49">
        <f>IF(OR(I58="",J58=""),"",J58-I58)</f>
        <v/>
      </c>
      <c r="O58" s="48">
        <f>TEXT(L58,"mmm-yyyy")</f>
        <v/>
      </c>
      <c r="P58" s="48">
        <f>_xlfn.IFS(ISNUMBER(SEARCH("data analy",B58)),"Data Analyst",ISNUMBER(SEARCH("business analy",B58)),"Business Analyst",OR(ISNUMBER(SEARCH("developer",B58)),ISNUMBER(SEARCH("software engineer",B58)),ISNUMBER(SEARCH("programmer",B58))),"Software Developer",ISNUMBER(SEARCH("business development",B58)),"Business Development",ISNUMBER(SEARCH("sales",B58)),"Sales Executive",ISNUMBER(SEARCH("marketing",B58)),"Marketing Executive",OR(ISNUMBER(SEARCH("hr ",B58)),ISNUMBER(SEARCH("recruit",B58)),ISNUMBER(SEARCH("human resource",B58))),"HR / Recruiter",OR(ISNUMBER(SEARCH("account",B58)),ISNUMBER(SEARCH("finance",B58)),ISNUMBER(SEARCH("tax",B58)),ISNUMBER(SEARCH("audit",B58))),"Accountant / Finance",OR(ISNUMBER(SEARCH("customer service",B58)),ISNUMBER(SEARCH("customer support",B58)),ISNUMBER(SEARCH("customer care",B58)),ISNUMBER(SEARCH("voice process",B58)),ISNUMBER(SEARCH("bpo",B58))),"Customer Support",ISNUMBER(SEARCH("engineer",B58)),"Engineer (Technical)",ISNUMBER(SEARCH("manager",B58)),"Manager",OR(ISNUMBER(SEARCH("teacher",B58)),ISNUMBER(SEARCH("trainer",B58)),ISNUMBER(SEARCH("faculty",B58))),"Teacher / Trainer",OR(ISNUMBER(SEARCH("doctor",B58)),ISNUMBER(SEARCH("nurse",B58)),ISNUMBER(SEARCH("medical",B58)),ISNUMBER(SEARCH("pharma",B58)),ISNUMBER(SEARCH("clinical",B58))),"Healthcare",TRUE,"Other")</f>
        <v/>
      </c>
      <c r="Q58" s="48">
        <f>IF(COUNTIFS($B$11:B58,B58,$C$11:C58,C58,$D$11:D58,D58,$L$11:L58,L58)&gt;1,"Duplicate","Unique")</f>
        <v/>
      </c>
    </row>
    <row r="59">
      <c r="A59" s="48">
        <f>Raw_Data!A50</f>
        <v/>
      </c>
      <c r="B59" s="48">
        <f>PROPER(TRIM(Raw_Data!B50))</f>
        <v/>
      </c>
      <c r="C59" s="48">
        <f>TRIM(Raw_Data!C50)</f>
        <v/>
      </c>
      <c r="D59" s="48">
        <f>IF(PROPER(TRIM(Raw_Data!D50))="Bangalore","Bengaluru",IF(PROPER(TRIM(Raw_Data!D50))="Gurgaon","Gurugram",IF(OR(PROPER(TRIM(Raw_Data!D50))="New Delhi",PROPER(TRIM(Raw_Data!D50))="Delhi"),"Delhi",PROPER(TRIM(Raw_Data!D50)))))</f>
        <v/>
      </c>
      <c r="E59" s="48">
        <f>Raw_Data!E50</f>
        <v/>
      </c>
      <c r="F59" s="48">
        <f>IF(TRIM(Raw_Data!F50&amp;"")="","Not Specified",Raw_Data!F50)</f>
        <v/>
      </c>
      <c r="G59" s="48">
        <f>Raw_Data!G50</f>
        <v/>
      </c>
      <c r="H59" s="48">
        <f>Raw_Data!H50</f>
        <v/>
      </c>
      <c r="I59" s="49">
        <f>IF(Raw_Data!I50="","",Raw_Data!I50)</f>
        <v/>
      </c>
      <c r="J59" s="49">
        <f>IF(Raw_Data!J50="","",Raw_Data!J50)</f>
        <v/>
      </c>
      <c r="K59" s="48">
        <f>IF(TRIM(Raw_Data!K50&amp;"")="","Not Specified",Raw_Data!K50)</f>
        <v/>
      </c>
      <c r="L59" s="56">
        <f>Raw_Data!L50</f>
        <v/>
      </c>
      <c r="M59" s="49">
        <f>IF(OR(I59="",J59=""),"",(I59+J59)/2)</f>
        <v/>
      </c>
      <c r="N59" s="49">
        <f>IF(OR(I59="",J59=""),"",J59-I59)</f>
        <v/>
      </c>
      <c r="O59" s="48">
        <f>TEXT(L59,"mmm-yyyy")</f>
        <v/>
      </c>
      <c r="P59" s="48">
        <f>_xlfn.IFS(ISNUMBER(SEARCH("data analy",B59)),"Data Analyst",ISNUMBER(SEARCH("business analy",B59)),"Business Analyst",OR(ISNUMBER(SEARCH("developer",B59)),ISNUMBER(SEARCH("software engineer",B59)),ISNUMBER(SEARCH("programmer",B59))),"Software Developer",ISNUMBER(SEARCH("business development",B59)),"Business Development",ISNUMBER(SEARCH("sales",B59)),"Sales Executive",ISNUMBER(SEARCH("marketing",B59)),"Marketing Executive",OR(ISNUMBER(SEARCH("hr ",B59)),ISNUMBER(SEARCH("recruit",B59)),ISNUMBER(SEARCH("human resource",B59))),"HR / Recruiter",OR(ISNUMBER(SEARCH("account",B59)),ISNUMBER(SEARCH("finance",B59)),ISNUMBER(SEARCH("tax",B59)),ISNUMBER(SEARCH("audit",B59))),"Accountant / Finance",OR(ISNUMBER(SEARCH("customer service",B59)),ISNUMBER(SEARCH("customer support",B59)),ISNUMBER(SEARCH("customer care",B59)),ISNUMBER(SEARCH("voice process",B59)),ISNUMBER(SEARCH("bpo",B59))),"Customer Support",ISNUMBER(SEARCH("engineer",B59)),"Engineer (Technical)",ISNUMBER(SEARCH("manager",B59)),"Manager",OR(ISNUMBER(SEARCH("teacher",B59)),ISNUMBER(SEARCH("trainer",B59)),ISNUMBER(SEARCH("faculty",B59))),"Teacher / Trainer",OR(ISNUMBER(SEARCH("doctor",B59)),ISNUMBER(SEARCH("nurse",B59)),ISNUMBER(SEARCH("medical",B59)),ISNUMBER(SEARCH("pharma",B59)),ISNUMBER(SEARCH("clinical",B59))),"Healthcare",TRUE,"Other")</f>
        <v/>
      </c>
      <c r="Q59" s="48">
        <f>IF(COUNTIFS($B$11:B59,B59,$C$11:C59,C59,$D$11:D59,D59,$L$11:L59,L59)&gt;1,"Duplicate","Unique")</f>
        <v/>
      </c>
    </row>
    <row r="60">
      <c r="A60" s="48">
        <f>Raw_Data!A51</f>
        <v/>
      </c>
      <c r="B60" s="48">
        <f>PROPER(TRIM(Raw_Data!B51))</f>
        <v/>
      </c>
      <c r="C60" s="48">
        <f>TRIM(Raw_Data!C51)</f>
        <v/>
      </c>
      <c r="D60" s="48">
        <f>IF(PROPER(TRIM(Raw_Data!D51))="Bangalore","Bengaluru",IF(PROPER(TRIM(Raw_Data!D51))="Gurgaon","Gurugram",IF(OR(PROPER(TRIM(Raw_Data!D51))="New Delhi",PROPER(TRIM(Raw_Data!D51))="Delhi"),"Delhi",PROPER(TRIM(Raw_Data!D51)))))</f>
        <v/>
      </c>
      <c r="E60" s="48">
        <f>Raw_Data!E51</f>
        <v/>
      </c>
      <c r="F60" s="48">
        <f>IF(TRIM(Raw_Data!F51&amp;"")="","Not Specified",Raw_Data!F51)</f>
        <v/>
      </c>
      <c r="G60" s="48">
        <f>Raw_Data!G51</f>
        <v/>
      </c>
      <c r="H60" s="48">
        <f>Raw_Data!H51</f>
        <v/>
      </c>
      <c r="I60" s="49">
        <f>IF(Raw_Data!I51="","",Raw_Data!I51)</f>
        <v/>
      </c>
      <c r="J60" s="49">
        <f>IF(Raw_Data!J51="","",Raw_Data!J51)</f>
        <v/>
      </c>
      <c r="K60" s="48">
        <f>IF(TRIM(Raw_Data!K51&amp;"")="","Not Specified",Raw_Data!K51)</f>
        <v/>
      </c>
      <c r="L60" s="56">
        <f>Raw_Data!L51</f>
        <v/>
      </c>
      <c r="M60" s="49">
        <f>IF(OR(I60="",J60=""),"",(I60+J60)/2)</f>
        <v/>
      </c>
      <c r="N60" s="49">
        <f>IF(OR(I60="",J60=""),"",J60-I60)</f>
        <v/>
      </c>
      <c r="O60" s="48">
        <f>TEXT(L60,"mmm-yyyy")</f>
        <v/>
      </c>
      <c r="P60" s="48">
        <f>_xlfn.IFS(ISNUMBER(SEARCH("data analy",B60)),"Data Analyst",ISNUMBER(SEARCH("business analy",B60)),"Business Analyst",OR(ISNUMBER(SEARCH("developer",B60)),ISNUMBER(SEARCH("software engineer",B60)),ISNUMBER(SEARCH("programmer",B60))),"Software Developer",ISNUMBER(SEARCH("business development",B60)),"Business Development",ISNUMBER(SEARCH("sales",B60)),"Sales Executive",ISNUMBER(SEARCH("marketing",B60)),"Marketing Executive",OR(ISNUMBER(SEARCH("hr ",B60)),ISNUMBER(SEARCH("recruit",B60)),ISNUMBER(SEARCH("human resource",B60))),"HR / Recruiter",OR(ISNUMBER(SEARCH("account",B60)),ISNUMBER(SEARCH("finance",B60)),ISNUMBER(SEARCH("tax",B60)),ISNUMBER(SEARCH("audit",B60))),"Accountant / Finance",OR(ISNUMBER(SEARCH("customer service",B60)),ISNUMBER(SEARCH("customer support",B60)),ISNUMBER(SEARCH("customer care",B60)),ISNUMBER(SEARCH("voice process",B60)),ISNUMBER(SEARCH("bpo",B60))),"Customer Support",ISNUMBER(SEARCH("engineer",B60)),"Engineer (Technical)",ISNUMBER(SEARCH("manager",B60)),"Manager",OR(ISNUMBER(SEARCH("teacher",B60)),ISNUMBER(SEARCH("trainer",B60)),ISNUMBER(SEARCH("faculty",B60))),"Teacher / Trainer",OR(ISNUMBER(SEARCH("doctor",B60)),ISNUMBER(SEARCH("nurse",B60)),ISNUMBER(SEARCH("medical",B60)),ISNUMBER(SEARCH("pharma",B60)),ISNUMBER(SEARCH("clinical",B60))),"Healthcare",TRUE,"Other")</f>
        <v/>
      </c>
      <c r="Q60" s="48">
        <f>IF(COUNTIFS($B$11:B60,B60,$C$11:C60,C60,$D$11:D60,D60,$L$11:L60,L60)&gt;1,"Duplicate","Unique")</f>
        <v/>
      </c>
    </row>
    <row r="61">
      <c r="A61" s="48">
        <f>Raw_Data!A52</f>
        <v/>
      </c>
      <c r="B61" s="48">
        <f>PROPER(TRIM(Raw_Data!B52))</f>
        <v/>
      </c>
      <c r="C61" s="48">
        <f>TRIM(Raw_Data!C52)</f>
        <v/>
      </c>
      <c r="D61" s="48">
        <f>IF(PROPER(TRIM(Raw_Data!D52))="Bangalore","Bengaluru",IF(PROPER(TRIM(Raw_Data!D52))="Gurgaon","Gurugram",IF(OR(PROPER(TRIM(Raw_Data!D52))="New Delhi",PROPER(TRIM(Raw_Data!D52))="Delhi"),"Delhi",PROPER(TRIM(Raw_Data!D52)))))</f>
        <v/>
      </c>
      <c r="E61" s="48">
        <f>Raw_Data!E52</f>
        <v/>
      </c>
      <c r="F61" s="48">
        <f>IF(TRIM(Raw_Data!F52&amp;"")="","Not Specified",Raw_Data!F52)</f>
        <v/>
      </c>
      <c r="G61" s="48">
        <f>Raw_Data!G52</f>
        <v/>
      </c>
      <c r="H61" s="48">
        <f>Raw_Data!H52</f>
        <v/>
      </c>
      <c r="I61" s="49">
        <f>IF(Raw_Data!I52="","",Raw_Data!I52)</f>
        <v/>
      </c>
      <c r="J61" s="49">
        <f>IF(Raw_Data!J52="","",Raw_Data!J52)</f>
        <v/>
      </c>
      <c r="K61" s="48">
        <f>IF(TRIM(Raw_Data!K52&amp;"")="","Not Specified",Raw_Data!K52)</f>
        <v/>
      </c>
      <c r="L61" s="56">
        <f>Raw_Data!L52</f>
        <v/>
      </c>
      <c r="M61" s="49">
        <f>IF(OR(I61="",J61=""),"",(I61+J61)/2)</f>
        <v/>
      </c>
      <c r="N61" s="49">
        <f>IF(OR(I61="",J61=""),"",J61-I61)</f>
        <v/>
      </c>
      <c r="O61" s="48">
        <f>TEXT(L61,"mmm-yyyy")</f>
        <v/>
      </c>
      <c r="P61" s="48">
        <f>_xlfn.IFS(ISNUMBER(SEARCH("data analy",B61)),"Data Analyst",ISNUMBER(SEARCH("business analy",B61)),"Business Analyst",OR(ISNUMBER(SEARCH("developer",B61)),ISNUMBER(SEARCH("software engineer",B61)),ISNUMBER(SEARCH("programmer",B61))),"Software Developer",ISNUMBER(SEARCH("business development",B61)),"Business Development",ISNUMBER(SEARCH("sales",B61)),"Sales Executive",ISNUMBER(SEARCH("marketing",B61)),"Marketing Executive",OR(ISNUMBER(SEARCH("hr ",B61)),ISNUMBER(SEARCH("recruit",B61)),ISNUMBER(SEARCH("human resource",B61))),"HR / Recruiter",OR(ISNUMBER(SEARCH("account",B61)),ISNUMBER(SEARCH("finance",B61)),ISNUMBER(SEARCH("tax",B61)),ISNUMBER(SEARCH("audit",B61))),"Accountant / Finance",OR(ISNUMBER(SEARCH("customer service",B61)),ISNUMBER(SEARCH("customer support",B61)),ISNUMBER(SEARCH("customer care",B61)),ISNUMBER(SEARCH("voice process",B61)),ISNUMBER(SEARCH("bpo",B61))),"Customer Support",ISNUMBER(SEARCH("engineer",B61)),"Engineer (Technical)",ISNUMBER(SEARCH("manager",B61)),"Manager",OR(ISNUMBER(SEARCH("teacher",B61)),ISNUMBER(SEARCH("trainer",B61)),ISNUMBER(SEARCH("faculty",B61))),"Teacher / Trainer",OR(ISNUMBER(SEARCH("doctor",B61)),ISNUMBER(SEARCH("nurse",B61)),ISNUMBER(SEARCH("medical",B61)),ISNUMBER(SEARCH("pharma",B61)),ISNUMBER(SEARCH("clinical",B61))),"Healthcare",TRUE,"Other")</f>
        <v/>
      </c>
      <c r="Q61" s="48">
        <f>IF(COUNTIFS($B$11:B61,B61,$C$11:C61,C61,$D$11:D61,D61,$L$11:L61,L61)&gt;1,"Duplicate","Unique")</f>
        <v/>
      </c>
    </row>
    <row r="62">
      <c r="A62" s="48">
        <f>Raw_Data!A53</f>
        <v/>
      </c>
      <c r="B62" s="48">
        <f>PROPER(TRIM(Raw_Data!B53))</f>
        <v/>
      </c>
      <c r="C62" s="48">
        <f>TRIM(Raw_Data!C53)</f>
        <v/>
      </c>
      <c r="D62" s="48">
        <f>IF(PROPER(TRIM(Raw_Data!D53))="Bangalore","Bengaluru",IF(PROPER(TRIM(Raw_Data!D53))="Gurgaon","Gurugram",IF(OR(PROPER(TRIM(Raw_Data!D53))="New Delhi",PROPER(TRIM(Raw_Data!D53))="Delhi"),"Delhi",PROPER(TRIM(Raw_Data!D53)))))</f>
        <v/>
      </c>
      <c r="E62" s="48">
        <f>Raw_Data!E53</f>
        <v/>
      </c>
      <c r="F62" s="48">
        <f>IF(TRIM(Raw_Data!F53&amp;"")="","Not Specified",Raw_Data!F53)</f>
        <v/>
      </c>
      <c r="G62" s="48">
        <f>Raw_Data!G53</f>
        <v/>
      </c>
      <c r="H62" s="48">
        <f>Raw_Data!H53</f>
        <v/>
      </c>
      <c r="I62" s="49">
        <f>IF(Raw_Data!I53="","",Raw_Data!I53)</f>
        <v/>
      </c>
      <c r="J62" s="49">
        <f>IF(Raw_Data!J53="","",Raw_Data!J53)</f>
        <v/>
      </c>
      <c r="K62" s="48">
        <f>IF(TRIM(Raw_Data!K53&amp;"")="","Not Specified",Raw_Data!K53)</f>
        <v/>
      </c>
      <c r="L62" s="56">
        <f>Raw_Data!L53</f>
        <v/>
      </c>
      <c r="M62" s="49">
        <f>IF(OR(I62="",J62=""),"",(I62+J62)/2)</f>
        <v/>
      </c>
      <c r="N62" s="49">
        <f>IF(OR(I62="",J62=""),"",J62-I62)</f>
        <v/>
      </c>
      <c r="O62" s="48">
        <f>TEXT(L62,"mmm-yyyy")</f>
        <v/>
      </c>
      <c r="P62" s="48">
        <f>_xlfn.IFS(ISNUMBER(SEARCH("data analy",B62)),"Data Analyst",ISNUMBER(SEARCH("business analy",B62)),"Business Analyst",OR(ISNUMBER(SEARCH("developer",B62)),ISNUMBER(SEARCH("software engineer",B62)),ISNUMBER(SEARCH("programmer",B62))),"Software Developer",ISNUMBER(SEARCH("business development",B62)),"Business Development",ISNUMBER(SEARCH("sales",B62)),"Sales Executive",ISNUMBER(SEARCH("marketing",B62)),"Marketing Executive",OR(ISNUMBER(SEARCH("hr ",B62)),ISNUMBER(SEARCH("recruit",B62)),ISNUMBER(SEARCH("human resource",B62))),"HR / Recruiter",OR(ISNUMBER(SEARCH("account",B62)),ISNUMBER(SEARCH("finance",B62)),ISNUMBER(SEARCH("tax",B62)),ISNUMBER(SEARCH("audit",B62))),"Accountant / Finance",OR(ISNUMBER(SEARCH("customer service",B62)),ISNUMBER(SEARCH("customer support",B62)),ISNUMBER(SEARCH("customer care",B62)),ISNUMBER(SEARCH("voice process",B62)),ISNUMBER(SEARCH("bpo",B62))),"Customer Support",ISNUMBER(SEARCH("engineer",B62)),"Engineer (Technical)",ISNUMBER(SEARCH("manager",B62)),"Manager",OR(ISNUMBER(SEARCH("teacher",B62)),ISNUMBER(SEARCH("trainer",B62)),ISNUMBER(SEARCH("faculty",B62))),"Teacher / Trainer",OR(ISNUMBER(SEARCH("doctor",B62)),ISNUMBER(SEARCH("nurse",B62)),ISNUMBER(SEARCH("medical",B62)),ISNUMBER(SEARCH("pharma",B62)),ISNUMBER(SEARCH("clinical",B62))),"Healthcare",TRUE,"Other")</f>
        <v/>
      </c>
      <c r="Q62" s="48">
        <f>IF(COUNTIFS($B$11:B62,B62,$C$11:C62,C62,$D$11:D62,D62,$L$11:L62,L62)&gt;1,"Duplicate","Unique")</f>
        <v/>
      </c>
    </row>
    <row r="63">
      <c r="A63" s="48">
        <f>Raw_Data!A54</f>
        <v/>
      </c>
      <c r="B63" s="48">
        <f>PROPER(TRIM(Raw_Data!B54))</f>
        <v/>
      </c>
      <c r="C63" s="48">
        <f>TRIM(Raw_Data!C54)</f>
        <v/>
      </c>
      <c r="D63" s="48">
        <f>IF(PROPER(TRIM(Raw_Data!D54))="Bangalore","Bengaluru",IF(PROPER(TRIM(Raw_Data!D54))="Gurgaon","Gurugram",IF(OR(PROPER(TRIM(Raw_Data!D54))="New Delhi",PROPER(TRIM(Raw_Data!D54))="Delhi"),"Delhi",PROPER(TRIM(Raw_Data!D54)))))</f>
        <v/>
      </c>
      <c r="E63" s="48">
        <f>Raw_Data!E54</f>
        <v/>
      </c>
      <c r="F63" s="48">
        <f>IF(TRIM(Raw_Data!F54&amp;"")="","Not Specified",Raw_Data!F54)</f>
        <v/>
      </c>
      <c r="G63" s="48">
        <f>Raw_Data!G54</f>
        <v/>
      </c>
      <c r="H63" s="48">
        <f>Raw_Data!H54</f>
        <v/>
      </c>
      <c r="I63" s="49">
        <f>IF(Raw_Data!I54="","",Raw_Data!I54)</f>
        <v/>
      </c>
      <c r="J63" s="49">
        <f>IF(Raw_Data!J54="","",Raw_Data!J54)</f>
        <v/>
      </c>
      <c r="K63" s="48">
        <f>IF(TRIM(Raw_Data!K54&amp;"")="","Not Specified",Raw_Data!K54)</f>
        <v/>
      </c>
      <c r="L63" s="56">
        <f>Raw_Data!L54</f>
        <v/>
      </c>
      <c r="M63" s="49">
        <f>IF(OR(I63="",J63=""),"",(I63+J63)/2)</f>
        <v/>
      </c>
      <c r="N63" s="49">
        <f>IF(OR(I63="",J63=""),"",J63-I63)</f>
        <v/>
      </c>
      <c r="O63" s="48">
        <f>TEXT(L63,"mmm-yyyy")</f>
        <v/>
      </c>
      <c r="P63" s="48">
        <f>_xlfn.IFS(ISNUMBER(SEARCH("data analy",B63)),"Data Analyst",ISNUMBER(SEARCH("business analy",B63)),"Business Analyst",OR(ISNUMBER(SEARCH("developer",B63)),ISNUMBER(SEARCH("software engineer",B63)),ISNUMBER(SEARCH("programmer",B63))),"Software Developer",ISNUMBER(SEARCH("business development",B63)),"Business Development",ISNUMBER(SEARCH("sales",B63)),"Sales Executive",ISNUMBER(SEARCH("marketing",B63)),"Marketing Executive",OR(ISNUMBER(SEARCH("hr ",B63)),ISNUMBER(SEARCH("recruit",B63)),ISNUMBER(SEARCH("human resource",B63))),"HR / Recruiter",OR(ISNUMBER(SEARCH("account",B63)),ISNUMBER(SEARCH("finance",B63)),ISNUMBER(SEARCH("tax",B63)),ISNUMBER(SEARCH("audit",B63))),"Accountant / Finance",OR(ISNUMBER(SEARCH("customer service",B63)),ISNUMBER(SEARCH("customer support",B63)),ISNUMBER(SEARCH("customer care",B63)),ISNUMBER(SEARCH("voice process",B63)),ISNUMBER(SEARCH("bpo",B63))),"Customer Support",ISNUMBER(SEARCH("engineer",B63)),"Engineer (Technical)",ISNUMBER(SEARCH("manager",B63)),"Manager",OR(ISNUMBER(SEARCH("teacher",B63)),ISNUMBER(SEARCH("trainer",B63)),ISNUMBER(SEARCH("faculty",B63))),"Teacher / Trainer",OR(ISNUMBER(SEARCH("doctor",B63)),ISNUMBER(SEARCH("nurse",B63)),ISNUMBER(SEARCH("medical",B63)),ISNUMBER(SEARCH("pharma",B63)),ISNUMBER(SEARCH("clinical",B63))),"Healthcare",TRUE,"Other")</f>
        <v/>
      </c>
      <c r="Q63" s="48">
        <f>IF(COUNTIFS($B$11:B63,B63,$C$11:C63,C63,$D$11:D63,D63,$L$11:L63,L63)&gt;1,"Duplicate","Unique")</f>
        <v/>
      </c>
    </row>
    <row r="64">
      <c r="A64" s="48">
        <f>Raw_Data!A55</f>
        <v/>
      </c>
      <c r="B64" s="48">
        <f>PROPER(TRIM(Raw_Data!B55))</f>
        <v/>
      </c>
      <c r="C64" s="48">
        <f>TRIM(Raw_Data!C55)</f>
        <v/>
      </c>
      <c r="D64" s="48">
        <f>IF(PROPER(TRIM(Raw_Data!D55))="Bangalore","Bengaluru",IF(PROPER(TRIM(Raw_Data!D55))="Gurgaon","Gurugram",IF(OR(PROPER(TRIM(Raw_Data!D55))="New Delhi",PROPER(TRIM(Raw_Data!D55))="Delhi"),"Delhi",PROPER(TRIM(Raw_Data!D55)))))</f>
        <v/>
      </c>
      <c r="E64" s="48">
        <f>Raw_Data!E55</f>
        <v/>
      </c>
      <c r="F64" s="48">
        <f>IF(TRIM(Raw_Data!F55&amp;"")="","Not Specified",Raw_Data!F55)</f>
        <v/>
      </c>
      <c r="G64" s="48">
        <f>Raw_Data!G55</f>
        <v/>
      </c>
      <c r="H64" s="48">
        <f>Raw_Data!H55</f>
        <v/>
      </c>
      <c r="I64" s="49">
        <f>IF(Raw_Data!I55="","",Raw_Data!I55)</f>
        <v/>
      </c>
      <c r="J64" s="49">
        <f>IF(Raw_Data!J55="","",Raw_Data!J55)</f>
        <v/>
      </c>
      <c r="K64" s="48">
        <f>IF(TRIM(Raw_Data!K55&amp;"")="","Not Specified",Raw_Data!K55)</f>
        <v/>
      </c>
      <c r="L64" s="56">
        <f>Raw_Data!L55</f>
        <v/>
      </c>
      <c r="M64" s="49">
        <f>IF(OR(I64="",J64=""),"",(I64+J64)/2)</f>
        <v/>
      </c>
      <c r="N64" s="49">
        <f>IF(OR(I64="",J64=""),"",J64-I64)</f>
        <v/>
      </c>
      <c r="O64" s="48">
        <f>TEXT(L64,"mmm-yyyy")</f>
        <v/>
      </c>
      <c r="P64" s="48">
        <f>_xlfn.IFS(ISNUMBER(SEARCH("data analy",B64)),"Data Analyst",ISNUMBER(SEARCH("business analy",B64)),"Business Analyst",OR(ISNUMBER(SEARCH("developer",B64)),ISNUMBER(SEARCH("software engineer",B64)),ISNUMBER(SEARCH("programmer",B64))),"Software Developer",ISNUMBER(SEARCH("business development",B64)),"Business Development",ISNUMBER(SEARCH("sales",B64)),"Sales Executive",ISNUMBER(SEARCH("marketing",B64)),"Marketing Executive",OR(ISNUMBER(SEARCH("hr ",B64)),ISNUMBER(SEARCH("recruit",B64)),ISNUMBER(SEARCH("human resource",B64))),"HR / Recruiter",OR(ISNUMBER(SEARCH("account",B64)),ISNUMBER(SEARCH("finance",B64)),ISNUMBER(SEARCH("tax",B64)),ISNUMBER(SEARCH("audit",B64))),"Accountant / Finance",OR(ISNUMBER(SEARCH("customer service",B64)),ISNUMBER(SEARCH("customer support",B64)),ISNUMBER(SEARCH("customer care",B64)),ISNUMBER(SEARCH("voice process",B64)),ISNUMBER(SEARCH("bpo",B64))),"Customer Support",ISNUMBER(SEARCH("engineer",B64)),"Engineer (Technical)",ISNUMBER(SEARCH("manager",B64)),"Manager",OR(ISNUMBER(SEARCH("teacher",B64)),ISNUMBER(SEARCH("trainer",B64)),ISNUMBER(SEARCH("faculty",B64))),"Teacher / Trainer",OR(ISNUMBER(SEARCH("doctor",B64)),ISNUMBER(SEARCH("nurse",B64)),ISNUMBER(SEARCH("medical",B64)),ISNUMBER(SEARCH("pharma",B64)),ISNUMBER(SEARCH("clinical",B64))),"Healthcare",TRUE,"Other")</f>
        <v/>
      </c>
      <c r="Q64" s="48">
        <f>IF(COUNTIFS($B$11:B64,B64,$C$11:C64,C64,$D$11:D64,D64,$L$11:L64,L64)&gt;1,"Duplicate","Unique")</f>
        <v/>
      </c>
    </row>
    <row r="65">
      <c r="A65" s="48">
        <f>Raw_Data!A56</f>
        <v/>
      </c>
      <c r="B65" s="48">
        <f>PROPER(TRIM(Raw_Data!B56))</f>
        <v/>
      </c>
      <c r="C65" s="48">
        <f>TRIM(Raw_Data!C56)</f>
        <v/>
      </c>
      <c r="D65" s="48">
        <f>IF(PROPER(TRIM(Raw_Data!D56))="Bangalore","Bengaluru",IF(PROPER(TRIM(Raw_Data!D56))="Gurgaon","Gurugram",IF(OR(PROPER(TRIM(Raw_Data!D56))="New Delhi",PROPER(TRIM(Raw_Data!D56))="Delhi"),"Delhi",PROPER(TRIM(Raw_Data!D56)))))</f>
        <v/>
      </c>
      <c r="E65" s="48">
        <f>Raw_Data!E56</f>
        <v/>
      </c>
      <c r="F65" s="48">
        <f>IF(TRIM(Raw_Data!F56&amp;"")="","Not Specified",Raw_Data!F56)</f>
        <v/>
      </c>
      <c r="G65" s="48">
        <f>Raw_Data!G56</f>
        <v/>
      </c>
      <c r="H65" s="48">
        <f>Raw_Data!H56</f>
        <v/>
      </c>
      <c r="I65" s="49">
        <f>IF(Raw_Data!I56="","",Raw_Data!I56)</f>
        <v/>
      </c>
      <c r="J65" s="49">
        <f>IF(Raw_Data!J56="","",Raw_Data!J56)</f>
        <v/>
      </c>
      <c r="K65" s="48">
        <f>IF(TRIM(Raw_Data!K56&amp;"")="","Not Specified",Raw_Data!K56)</f>
        <v/>
      </c>
      <c r="L65" s="56">
        <f>Raw_Data!L56</f>
        <v/>
      </c>
      <c r="M65" s="49">
        <f>IF(OR(I65="",J65=""),"",(I65+J65)/2)</f>
        <v/>
      </c>
      <c r="N65" s="49">
        <f>IF(OR(I65="",J65=""),"",J65-I65)</f>
        <v/>
      </c>
      <c r="O65" s="48">
        <f>TEXT(L65,"mmm-yyyy")</f>
        <v/>
      </c>
      <c r="P65" s="48">
        <f>_xlfn.IFS(ISNUMBER(SEARCH("data analy",B65)),"Data Analyst",ISNUMBER(SEARCH("business analy",B65)),"Business Analyst",OR(ISNUMBER(SEARCH("developer",B65)),ISNUMBER(SEARCH("software engineer",B65)),ISNUMBER(SEARCH("programmer",B65))),"Software Developer",ISNUMBER(SEARCH("business development",B65)),"Business Development",ISNUMBER(SEARCH("sales",B65)),"Sales Executive",ISNUMBER(SEARCH("marketing",B65)),"Marketing Executive",OR(ISNUMBER(SEARCH("hr ",B65)),ISNUMBER(SEARCH("recruit",B65)),ISNUMBER(SEARCH("human resource",B65))),"HR / Recruiter",OR(ISNUMBER(SEARCH("account",B65)),ISNUMBER(SEARCH("finance",B65)),ISNUMBER(SEARCH("tax",B65)),ISNUMBER(SEARCH("audit",B65))),"Accountant / Finance",OR(ISNUMBER(SEARCH("customer service",B65)),ISNUMBER(SEARCH("customer support",B65)),ISNUMBER(SEARCH("customer care",B65)),ISNUMBER(SEARCH("voice process",B65)),ISNUMBER(SEARCH("bpo",B65))),"Customer Support",ISNUMBER(SEARCH("engineer",B65)),"Engineer (Technical)",ISNUMBER(SEARCH("manager",B65)),"Manager",OR(ISNUMBER(SEARCH("teacher",B65)),ISNUMBER(SEARCH("trainer",B65)),ISNUMBER(SEARCH("faculty",B65))),"Teacher / Trainer",OR(ISNUMBER(SEARCH("doctor",B65)),ISNUMBER(SEARCH("nurse",B65)),ISNUMBER(SEARCH("medical",B65)),ISNUMBER(SEARCH("pharma",B65)),ISNUMBER(SEARCH("clinical",B65))),"Healthcare",TRUE,"Other")</f>
        <v/>
      </c>
      <c r="Q65" s="48">
        <f>IF(COUNTIFS($B$11:B65,B65,$C$11:C65,C65,$D$11:D65,D65,$L$11:L65,L65)&gt;1,"Duplicate","Unique")</f>
        <v/>
      </c>
    </row>
    <row r="66">
      <c r="A66" s="48">
        <f>Raw_Data!A57</f>
        <v/>
      </c>
      <c r="B66" s="48">
        <f>PROPER(TRIM(Raw_Data!B57))</f>
        <v/>
      </c>
      <c r="C66" s="48">
        <f>TRIM(Raw_Data!C57)</f>
        <v/>
      </c>
      <c r="D66" s="48">
        <f>IF(PROPER(TRIM(Raw_Data!D57))="Bangalore","Bengaluru",IF(PROPER(TRIM(Raw_Data!D57))="Gurgaon","Gurugram",IF(OR(PROPER(TRIM(Raw_Data!D57))="New Delhi",PROPER(TRIM(Raw_Data!D57))="Delhi"),"Delhi",PROPER(TRIM(Raw_Data!D57)))))</f>
        <v/>
      </c>
      <c r="E66" s="48">
        <f>Raw_Data!E57</f>
        <v/>
      </c>
      <c r="F66" s="48">
        <f>IF(TRIM(Raw_Data!F57&amp;"")="","Not Specified",Raw_Data!F57)</f>
        <v/>
      </c>
      <c r="G66" s="48">
        <f>Raw_Data!G57</f>
        <v/>
      </c>
      <c r="H66" s="48">
        <f>Raw_Data!H57</f>
        <v/>
      </c>
      <c r="I66" s="49">
        <f>IF(Raw_Data!I57="","",Raw_Data!I57)</f>
        <v/>
      </c>
      <c r="J66" s="49">
        <f>IF(Raw_Data!J57="","",Raw_Data!J57)</f>
        <v/>
      </c>
      <c r="K66" s="48">
        <f>IF(TRIM(Raw_Data!K57&amp;"")="","Not Specified",Raw_Data!K57)</f>
        <v/>
      </c>
      <c r="L66" s="56">
        <f>Raw_Data!L57</f>
        <v/>
      </c>
      <c r="M66" s="49">
        <f>IF(OR(I66="",J66=""),"",(I66+J66)/2)</f>
        <v/>
      </c>
      <c r="N66" s="49">
        <f>IF(OR(I66="",J66=""),"",J66-I66)</f>
        <v/>
      </c>
      <c r="O66" s="48">
        <f>TEXT(L66,"mmm-yyyy")</f>
        <v/>
      </c>
      <c r="P66" s="48">
        <f>_xlfn.IFS(ISNUMBER(SEARCH("data analy",B66)),"Data Analyst",ISNUMBER(SEARCH("business analy",B66)),"Business Analyst",OR(ISNUMBER(SEARCH("developer",B66)),ISNUMBER(SEARCH("software engineer",B66)),ISNUMBER(SEARCH("programmer",B66))),"Software Developer",ISNUMBER(SEARCH("business development",B66)),"Business Development",ISNUMBER(SEARCH("sales",B66)),"Sales Executive",ISNUMBER(SEARCH("marketing",B66)),"Marketing Executive",OR(ISNUMBER(SEARCH("hr ",B66)),ISNUMBER(SEARCH("recruit",B66)),ISNUMBER(SEARCH("human resource",B66))),"HR / Recruiter",OR(ISNUMBER(SEARCH("account",B66)),ISNUMBER(SEARCH("finance",B66)),ISNUMBER(SEARCH("tax",B66)),ISNUMBER(SEARCH("audit",B66))),"Accountant / Finance",OR(ISNUMBER(SEARCH("customer service",B66)),ISNUMBER(SEARCH("customer support",B66)),ISNUMBER(SEARCH("customer care",B66)),ISNUMBER(SEARCH("voice process",B66)),ISNUMBER(SEARCH("bpo",B66))),"Customer Support",ISNUMBER(SEARCH("engineer",B66)),"Engineer (Technical)",ISNUMBER(SEARCH("manager",B66)),"Manager",OR(ISNUMBER(SEARCH("teacher",B66)),ISNUMBER(SEARCH("trainer",B66)),ISNUMBER(SEARCH("faculty",B66))),"Teacher / Trainer",OR(ISNUMBER(SEARCH("doctor",B66)),ISNUMBER(SEARCH("nurse",B66)),ISNUMBER(SEARCH("medical",B66)),ISNUMBER(SEARCH("pharma",B66)),ISNUMBER(SEARCH("clinical",B66))),"Healthcare",TRUE,"Other")</f>
        <v/>
      </c>
      <c r="Q66" s="48">
        <f>IF(COUNTIFS($B$11:B66,B66,$C$11:C66,C66,$D$11:D66,D66,$L$11:L66,L66)&gt;1,"Duplicate","Unique")</f>
        <v/>
      </c>
    </row>
    <row r="67">
      <c r="A67" s="48">
        <f>Raw_Data!A58</f>
        <v/>
      </c>
      <c r="B67" s="48">
        <f>PROPER(TRIM(Raw_Data!B58))</f>
        <v/>
      </c>
      <c r="C67" s="48">
        <f>TRIM(Raw_Data!C58)</f>
        <v/>
      </c>
      <c r="D67" s="48">
        <f>IF(PROPER(TRIM(Raw_Data!D58))="Bangalore","Bengaluru",IF(PROPER(TRIM(Raw_Data!D58))="Gurgaon","Gurugram",IF(OR(PROPER(TRIM(Raw_Data!D58))="New Delhi",PROPER(TRIM(Raw_Data!D58))="Delhi"),"Delhi",PROPER(TRIM(Raw_Data!D58)))))</f>
        <v/>
      </c>
      <c r="E67" s="48">
        <f>Raw_Data!E58</f>
        <v/>
      </c>
      <c r="F67" s="48">
        <f>IF(TRIM(Raw_Data!F58&amp;"")="","Not Specified",Raw_Data!F58)</f>
        <v/>
      </c>
      <c r="G67" s="48">
        <f>Raw_Data!G58</f>
        <v/>
      </c>
      <c r="H67" s="48">
        <f>Raw_Data!H58</f>
        <v/>
      </c>
      <c r="I67" s="49">
        <f>IF(Raw_Data!I58="","",Raw_Data!I58)</f>
        <v/>
      </c>
      <c r="J67" s="49">
        <f>IF(Raw_Data!J58="","",Raw_Data!J58)</f>
        <v/>
      </c>
      <c r="K67" s="48">
        <f>IF(TRIM(Raw_Data!K58&amp;"")="","Not Specified",Raw_Data!K58)</f>
        <v/>
      </c>
      <c r="L67" s="56">
        <f>Raw_Data!L58</f>
        <v/>
      </c>
      <c r="M67" s="49">
        <f>IF(OR(I67="",J67=""),"",(I67+J67)/2)</f>
        <v/>
      </c>
      <c r="N67" s="49">
        <f>IF(OR(I67="",J67=""),"",J67-I67)</f>
        <v/>
      </c>
      <c r="O67" s="48">
        <f>TEXT(L67,"mmm-yyyy")</f>
        <v/>
      </c>
      <c r="P67" s="48">
        <f>_xlfn.IFS(ISNUMBER(SEARCH("data analy",B67)),"Data Analyst",ISNUMBER(SEARCH("business analy",B67)),"Business Analyst",OR(ISNUMBER(SEARCH("developer",B67)),ISNUMBER(SEARCH("software engineer",B67)),ISNUMBER(SEARCH("programmer",B67))),"Software Developer",ISNUMBER(SEARCH("business development",B67)),"Business Development",ISNUMBER(SEARCH("sales",B67)),"Sales Executive",ISNUMBER(SEARCH("marketing",B67)),"Marketing Executive",OR(ISNUMBER(SEARCH("hr ",B67)),ISNUMBER(SEARCH("recruit",B67)),ISNUMBER(SEARCH("human resource",B67))),"HR / Recruiter",OR(ISNUMBER(SEARCH("account",B67)),ISNUMBER(SEARCH("finance",B67)),ISNUMBER(SEARCH("tax",B67)),ISNUMBER(SEARCH("audit",B67))),"Accountant / Finance",OR(ISNUMBER(SEARCH("customer service",B67)),ISNUMBER(SEARCH("customer support",B67)),ISNUMBER(SEARCH("customer care",B67)),ISNUMBER(SEARCH("voice process",B67)),ISNUMBER(SEARCH("bpo",B67))),"Customer Support",ISNUMBER(SEARCH("engineer",B67)),"Engineer (Technical)",ISNUMBER(SEARCH("manager",B67)),"Manager",OR(ISNUMBER(SEARCH("teacher",B67)),ISNUMBER(SEARCH("trainer",B67)),ISNUMBER(SEARCH("faculty",B67))),"Teacher / Trainer",OR(ISNUMBER(SEARCH("doctor",B67)),ISNUMBER(SEARCH("nurse",B67)),ISNUMBER(SEARCH("medical",B67)),ISNUMBER(SEARCH("pharma",B67)),ISNUMBER(SEARCH("clinical",B67))),"Healthcare",TRUE,"Other")</f>
        <v/>
      </c>
      <c r="Q67" s="48">
        <f>IF(COUNTIFS($B$11:B67,B67,$C$11:C67,C67,$D$11:D67,D67,$L$11:L67,L67)&gt;1,"Duplicate","Unique")</f>
        <v/>
      </c>
    </row>
    <row r="68">
      <c r="A68" s="48">
        <f>Raw_Data!A59</f>
        <v/>
      </c>
      <c r="B68" s="48">
        <f>PROPER(TRIM(Raw_Data!B59))</f>
        <v/>
      </c>
      <c r="C68" s="48">
        <f>TRIM(Raw_Data!C59)</f>
        <v/>
      </c>
      <c r="D68" s="48">
        <f>IF(PROPER(TRIM(Raw_Data!D59))="Bangalore","Bengaluru",IF(PROPER(TRIM(Raw_Data!D59))="Gurgaon","Gurugram",IF(OR(PROPER(TRIM(Raw_Data!D59))="New Delhi",PROPER(TRIM(Raw_Data!D59))="Delhi"),"Delhi",PROPER(TRIM(Raw_Data!D59)))))</f>
        <v/>
      </c>
      <c r="E68" s="48">
        <f>Raw_Data!E59</f>
        <v/>
      </c>
      <c r="F68" s="48">
        <f>IF(TRIM(Raw_Data!F59&amp;"")="","Not Specified",Raw_Data!F59)</f>
        <v/>
      </c>
      <c r="G68" s="48">
        <f>Raw_Data!G59</f>
        <v/>
      </c>
      <c r="H68" s="48">
        <f>Raw_Data!H59</f>
        <v/>
      </c>
      <c r="I68" s="49">
        <f>IF(Raw_Data!I59="","",Raw_Data!I59)</f>
        <v/>
      </c>
      <c r="J68" s="49">
        <f>IF(Raw_Data!J59="","",Raw_Data!J59)</f>
        <v/>
      </c>
      <c r="K68" s="48">
        <f>IF(TRIM(Raw_Data!K59&amp;"")="","Not Specified",Raw_Data!K59)</f>
        <v/>
      </c>
      <c r="L68" s="56">
        <f>Raw_Data!L59</f>
        <v/>
      </c>
      <c r="M68" s="49">
        <f>IF(OR(I68="",J68=""),"",(I68+J68)/2)</f>
        <v/>
      </c>
      <c r="N68" s="49">
        <f>IF(OR(I68="",J68=""),"",J68-I68)</f>
        <v/>
      </c>
      <c r="O68" s="48">
        <f>TEXT(L68,"mmm-yyyy")</f>
        <v/>
      </c>
      <c r="P68" s="48">
        <f>_xlfn.IFS(ISNUMBER(SEARCH("data analy",B68)),"Data Analyst",ISNUMBER(SEARCH("business analy",B68)),"Business Analyst",OR(ISNUMBER(SEARCH("developer",B68)),ISNUMBER(SEARCH("software engineer",B68)),ISNUMBER(SEARCH("programmer",B68))),"Software Developer",ISNUMBER(SEARCH("business development",B68)),"Business Development",ISNUMBER(SEARCH("sales",B68)),"Sales Executive",ISNUMBER(SEARCH("marketing",B68)),"Marketing Executive",OR(ISNUMBER(SEARCH("hr ",B68)),ISNUMBER(SEARCH("recruit",B68)),ISNUMBER(SEARCH("human resource",B68))),"HR / Recruiter",OR(ISNUMBER(SEARCH("account",B68)),ISNUMBER(SEARCH("finance",B68)),ISNUMBER(SEARCH("tax",B68)),ISNUMBER(SEARCH("audit",B68))),"Accountant / Finance",OR(ISNUMBER(SEARCH("customer service",B68)),ISNUMBER(SEARCH("customer support",B68)),ISNUMBER(SEARCH("customer care",B68)),ISNUMBER(SEARCH("voice process",B68)),ISNUMBER(SEARCH("bpo",B68))),"Customer Support",ISNUMBER(SEARCH("engineer",B68)),"Engineer (Technical)",ISNUMBER(SEARCH("manager",B68)),"Manager",OR(ISNUMBER(SEARCH("teacher",B68)),ISNUMBER(SEARCH("trainer",B68)),ISNUMBER(SEARCH("faculty",B68))),"Teacher / Trainer",OR(ISNUMBER(SEARCH("doctor",B68)),ISNUMBER(SEARCH("nurse",B68)),ISNUMBER(SEARCH("medical",B68)),ISNUMBER(SEARCH("pharma",B68)),ISNUMBER(SEARCH("clinical",B68))),"Healthcare",TRUE,"Other")</f>
        <v/>
      </c>
      <c r="Q68" s="48">
        <f>IF(COUNTIFS($B$11:B68,B68,$C$11:C68,C68,$D$11:D68,D68,$L$11:L68,L68)&gt;1,"Duplicate","Unique")</f>
        <v/>
      </c>
    </row>
    <row r="69">
      <c r="A69" s="48">
        <f>Raw_Data!A60</f>
        <v/>
      </c>
      <c r="B69" s="48">
        <f>PROPER(TRIM(Raw_Data!B60))</f>
        <v/>
      </c>
      <c r="C69" s="48">
        <f>TRIM(Raw_Data!C60)</f>
        <v/>
      </c>
      <c r="D69" s="48">
        <f>IF(PROPER(TRIM(Raw_Data!D60))="Bangalore","Bengaluru",IF(PROPER(TRIM(Raw_Data!D60))="Gurgaon","Gurugram",IF(OR(PROPER(TRIM(Raw_Data!D60))="New Delhi",PROPER(TRIM(Raw_Data!D60))="Delhi"),"Delhi",PROPER(TRIM(Raw_Data!D60)))))</f>
        <v/>
      </c>
      <c r="E69" s="48">
        <f>Raw_Data!E60</f>
        <v/>
      </c>
      <c r="F69" s="48">
        <f>IF(TRIM(Raw_Data!F60&amp;"")="","Not Specified",Raw_Data!F60)</f>
        <v/>
      </c>
      <c r="G69" s="48">
        <f>Raw_Data!G60</f>
        <v/>
      </c>
      <c r="H69" s="48">
        <f>Raw_Data!H60</f>
        <v/>
      </c>
      <c r="I69" s="49">
        <f>IF(Raw_Data!I60="","",Raw_Data!I60)</f>
        <v/>
      </c>
      <c r="J69" s="49">
        <f>IF(Raw_Data!J60="","",Raw_Data!J60)</f>
        <v/>
      </c>
      <c r="K69" s="48">
        <f>IF(TRIM(Raw_Data!K60&amp;"")="","Not Specified",Raw_Data!K60)</f>
        <v/>
      </c>
      <c r="L69" s="56">
        <f>Raw_Data!L60</f>
        <v/>
      </c>
      <c r="M69" s="49">
        <f>IF(OR(I69="",J69=""),"",(I69+J69)/2)</f>
        <v/>
      </c>
      <c r="N69" s="49">
        <f>IF(OR(I69="",J69=""),"",J69-I69)</f>
        <v/>
      </c>
      <c r="O69" s="48">
        <f>TEXT(L69,"mmm-yyyy")</f>
        <v/>
      </c>
      <c r="P69" s="48">
        <f>_xlfn.IFS(ISNUMBER(SEARCH("data analy",B69)),"Data Analyst",ISNUMBER(SEARCH("business analy",B69)),"Business Analyst",OR(ISNUMBER(SEARCH("developer",B69)),ISNUMBER(SEARCH("software engineer",B69)),ISNUMBER(SEARCH("programmer",B69))),"Software Developer",ISNUMBER(SEARCH("business development",B69)),"Business Development",ISNUMBER(SEARCH("sales",B69)),"Sales Executive",ISNUMBER(SEARCH("marketing",B69)),"Marketing Executive",OR(ISNUMBER(SEARCH("hr ",B69)),ISNUMBER(SEARCH("recruit",B69)),ISNUMBER(SEARCH("human resource",B69))),"HR / Recruiter",OR(ISNUMBER(SEARCH("account",B69)),ISNUMBER(SEARCH("finance",B69)),ISNUMBER(SEARCH("tax",B69)),ISNUMBER(SEARCH("audit",B69))),"Accountant / Finance",OR(ISNUMBER(SEARCH("customer service",B69)),ISNUMBER(SEARCH("customer support",B69)),ISNUMBER(SEARCH("customer care",B69)),ISNUMBER(SEARCH("voice process",B69)),ISNUMBER(SEARCH("bpo",B69))),"Customer Support",ISNUMBER(SEARCH("engineer",B69)),"Engineer (Technical)",ISNUMBER(SEARCH("manager",B69)),"Manager",OR(ISNUMBER(SEARCH("teacher",B69)),ISNUMBER(SEARCH("trainer",B69)),ISNUMBER(SEARCH("faculty",B69))),"Teacher / Trainer",OR(ISNUMBER(SEARCH("doctor",B69)),ISNUMBER(SEARCH("nurse",B69)),ISNUMBER(SEARCH("medical",B69)),ISNUMBER(SEARCH("pharma",B69)),ISNUMBER(SEARCH("clinical",B69))),"Healthcare",TRUE,"Other")</f>
        <v/>
      </c>
      <c r="Q69" s="48">
        <f>IF(COUNTIFS($B$11:B69,B69,$C$11:C69,C69,$D$11:D69,D69,$L$11:L69,L69)&gt;1,"Duplicate","Unique")</f>
        <v/>
      </c>
    </row>
    <row r="70">
      <c r="A70" s="48">
        <f>Raw_Data!A61</f>
        <v/>
      </c>
      <c r="B70" s="48">
        <f>PROPER(TRIM(Raw_Data!B61))</f>
        <v/>
      </c>
      <c r="C70" s="48">
        <f>TRIM(Raw_Data!C61)</f>
        <v/>
      </c>
      <c r="D70" s="48">
        <f>IF(PROPER(TRIM(Raw_Data!D61))="Bangalore","Bengaluru",IF(PROPER(TRIM(Raw_Data!D61))="Gurgaon","Gurugram",IF(OR(PROPER(TRIM(Raw_Data!D61))="New Delhi",PROPER(TRIM(Raw_Data!D61))="Delhi"),"Delhi",PROPER(TRIM(Raw_Data!D61)))))</f>
        <v/>
      </c>
      <c r="E70" s="48">
        <f>Raw_Data!E61</f>
        <v/>
      </c>
      <c r="F70" s="48">
        <f>IF(TRIM(Raw_Data!F61&amp;"")="","Not Specified",Raw_Data!F61)</f>
        <v/>
      </c>
      <c r="G70" s="48">
        <f>Raw_Data!G61</f>
        <v/>
      </c>
      <c r="H70" s="48">
        <f>Raw_Data!H61</f>
        <v/>
      </c>
      <c r="I70" s="49">
        <f>IF(Raw_Data!I61="","",Raw_Data!I61)</f>
        <v/>
      </c>
      <c r="J70" s="49">
        <f>IF(Raw_Data!J61="","",Raw_Data!J61)</f>
        <v/>
      </c>
      <c r="K70" s="48">
        <f>IF(TRIM(Raw_Data!K61&amp;"")="","Not Specified",Raw_Data!K61)</f>
        <v/>
      </c>
      <c r="L70" s="56">
        <f>Raw_Data!L61</f>
        <v/>
      </c>
      <c r="M70" s="49">
        <f>IF(OR(I70="",J70=""),"",(I70+J70)/2)</f>
        <v/>
      </c>
      <c r="N70" s="49">
        <f>IF(OR(I70="",J70=""),"",J70-I70)</f>
        <v/>
      </c>
      <c r="O70" s="48">
        <f>TEXT(L70,"mmm-yyyy")</f>
        <v/>
      </c>
      <c r="P70" s="48">
        <f>_xlfn.IFS(ISNUMBER(SEARCH("data analy",B70)),"Data Analyst",ISNUMBER(SEARCH("business analy",B70)),"Business Analyst",OR(ISNUMBER(SEARCH("developer",B70)),ISNUMBER(SEARCH("software engineer",B70)),ISNUMBER(SEARCH("programmer",B70))),"Software Developer",ISNUMBER(SEARCH("business development",B70)),"Business Development",ISNUMBER(SEARCH("sales",B70)),"Sales Executive",ISNUMBER(SEARCH("marketing",B70)),"Marketing Executive",OR(ISNUMBER(SEARCH("hr ",B70)),ISNUMBER(SEARCH("recruit",B70)),ISNUMBER(SEARCH("human resource",B70))),"HR / Recruiter",OR(ISNUMBER(SEARCH("account",B70)),ISNUMBER(SEARCH("finance",B70)),ISNUMBER(SEARCH("tax",B70)),ISNUMBER(SEARCH("audit",B70))),"Accountant / Finance",OR(ISNUMBER(SEARCH("customer service",B70)),ISNUMBER(SEARCH("customer support",B70)),ISNUMBER(SEARCH("customer care",B70)),ISNUMBER(SEARCH("voice process",B70)),ISNUMBER(SEARCH("bpo",B70))),"Customer Support",ISNUMBER(SEARCH("engineer",B70)),"Engineer (Technical)",ISNUMBER(SEARCH("manager",B70)),"Manager",OR(ISNUMBER(SEARCH("teacher",B70)),ISNUMBER(SEARCH("trainer",B70)),ISNUMBER(SEARCH("faculty",B70))),"Teacher / Trainer",OR(ISNUMBER(SEARCH("doctor",B70)),ISNUMBER(SEARCH("nurse",B70)),ISNUMBER(SEARCH("medical",B70)),ISNUMBER(SEARCH("pharma",B70)),ISNUMBER(SEARCH("clinical",B70))),"Healthcare",TRUE,"Other")</f>
        <v/>
      </c>
      <c r="Q70" s="48">
        <f>IF(COUNTIFS($B$11:B70,B70,$C$11:C70,C70,$D$11:D70,D70,$L$11:L70,L70)&gt;1,"Duplicate","Unique")</f>
        <v/>
      </c>
    </row>
    <row r="71">
      <c r="A71" s="48">
        <f>Raw_Data!A62</f>
        <v/>
      </c>
      <c r="B71" s="48">
        <f>PROPER(TRIM(Raw_Data!B62))</f>
        <v/>
      </c>
      <c r="C71" s="48">
        <f>TRIM(Raw_Data!C62)</f>
        <v/>
      </c>
      <c r="D71" s="48">
        <f>IF(PROPER(TRIM(Raw_Data!D62))="Bangalore","Bengaluru",IF(PROPER(TRIM(Raw_Data!D62))="Gurgaon","Gurugram",IF(OR(PROPER(TRIM(Raw_Data!D62))="New Delhi",PROPER(TRIM(Raw_Data!D62))="Delhi"),"Delhi",PROPER(TRIM(Raw_Data!D62)))))</f>
        <v/>
      </c>
      <c r="E71" s="48">
        <f>Raw_Data!E62</f>
        <v/>
      </c>
      <c r="F71" s="48">
        <f>IF(TRIM(Raw_Data!F62&amp;"")="","Not Specified",Raw_Data!F62)</f>
        <v/>
      </c>
      <c r="G71" s="48">
        <f>Raw_Data!G62</f>
        <v/>
      </c>
      <c r="H71" s="48">
        <f>Raw_Data!H62</f>
        <v/>
      </c>
      <c r="I71" s="49">
        <f>IF(Raw_Data!I62="","",Raw_Data!I62)</f>
        <v/>
      </c>
      <c r="J71" s="49">
        <f>IF(Raw_Data!J62="","",Raw_Data!J62)</f>
        <v/>
      </c>
      <c r="K71" s="48">
        <f>IF(TRIM(Raw_Data!K62&amp;"")="","Not Specified",Raw_Data!K62)</f>
        <v/>
      </c>
      <c r="L71" s="56">
        <f>Raw_Data!L62</f>
        <v/>
      </c>
      <c r="M71" s="49">
        <f>IF(OR(I71="",J71=""),"",(I71+J71)/2)</f>
        <v/>
      </c>
      <c r="N71" s="49">
        <f>IF(OR(I71="",J71=""),"",J71-I71)</f>
        <v/>
      </c>
      <c r="O71" s="48">
        <f>TEXT(L71,"mmm-yyyy")</f>
        <v/>
      </c>
      <c r="P71" s="48">
        <f>_xlfn.IFS(ISNUMBER(SEARCH("data analy",B71)),"Data Analyst",ISNUMBER(SEARCH("business analy",B71)),"Business Analyst",OR(ISNUMBER(SEARCH("developer",B71)),ISNUMBER(SEARCH("software engineer",B71)),ISNUMBER(SEARCH("programmer",B71))),"Software Developer",ISNUMBER(SEARCH("business development",B71)),"Business Development",ISNUMBER(SEARCH("sales",B71)),"Sales Executive",ISNUMBER(SEARCH("marketing",B71)),"Marketing Executive",OR(ISNUMBER(SEARCH("hr ",B71)),ISNUMBER(SEARCH("recruit",B71)),ISNUMBER(SEARCH("human resource",B71))),"HR / Recruiter",OR(ISNUMBER(SEARCH("account",B71)),ISNUMBER(SEARCH("finance",B71)),ISNUMBER(SEARCH("tax",B71)),ISNUMBER(SEARCH("audit",B71))),"Accountant / Finance",OR(ISNUMBER(SEARCH("customer service",B71)),ISNUMBER(SEARCH("customer support",B71)),ISNUMBER(SEARCH("customer care",B71)),ISNUMBER(SEARCH("voice process",B71)),ISNUMBER(SEARCH("bpo",B71))),"Customer Support",ISNUMBER(SEARCH("engineer",B71)),"Engineer (Technical)",ISNUMBER(SEARCH("manager",B71)),"Manager",OR(ISNUMBER(SEARCH("teacher",B71)),ISNUMBER(SEARCH("trainer",B71)),ISNUMBER(SEARCH("faculty",B71))),"Teacher / Trainer",OR(ISNUMBER(SEARCH("doctor",B71)),ISNUMBER(SEARCH("nurse",B71)),ISNUMBER(SEARCH("medical",B71)),ISNUMBER(SEARCH("pharma",B71)),ISNUMBER(SEARCH("clinical",B71))),"Healthcare",TRUE,"Other")</f>
        <v/>
      </c>
      <c r="Q71" s="48">
        <f>IF(COUNTIFS($B$11:B71,B71,$C$11:C71,C71,$D$11:D71,D71,$L$11:L71,L71)&gt;1,"Duplicate","Unique")</f>
        <v/>
      </c>
    </row>
    <row r="72">
      <c r="A72" s="48">
        <f>Raw_Data!A63</f>
        <v/>
      </c>
      <c r="B72" s="48">
        <f>PROPER(TRIM(Raw_Data!B63))</f>
        <v/>
      </c>
      <c r="C72" s="48">
        <f>TRIM(Raw_Data!C63)</f>
        <v/>
      </c>
      <c r="D72" s="48">
        <f>IF(PROPER(TRIM(Raw_Data!D63))="Bangalore","Bengaluru",IF(PROPER(TRIM(Raw_Data!D63))="Gurgaon","Gurugram",IF(OR(PROPER(TRIM(Raw_Data!D63))="New Delhi",PROPER(TRIM(Raw_Data!D63))="Delhi"),"Delhi",PROPER(TRIM(Raw_Data!D63)))))</f>
        <v/>
      </c>
      <c r="E72" s="48">
        <f>Raw_Data!E63</f>
        <v/>
      </c>
      <c r="F72" s="48">
        <f>IF(TRIM(Raw_Data!F63&amp;"")="","Not Specified",Raw_Data!F63)</f>
        <v/>
      </c>
      <c r="G72" s="48">
        <f>Raw_Data!G63</f>
        <v/>
      </c>
      <c r="H72" s="48">
        <f>Raw_Data!H63</f>
        <v/>
      </c>
      <c r="I72" s="49">
        <f>IF(Raw_Data!I63="","",Raw_Data!I63)</f>
        <v/>
      </c>
      <c r="J72" s="49">
        <f>IF(Raw_Data!J63="","",Raw_Data!J63)</f>
        <v/>
      </c>
      <c r="K72" s="48">
        <f>IF(TRIM(Raw_Data!K63&amp;"")="","Not Specified",Raw_Data!K63)</f>
        <v/>
      </c>
      <c r="L72" s="56">
        <f>Raw_Data!L63</f>
        <v/>
      </c>
      <c r="M72" s="49">
        <f>IF(OR(I72="",J72=""),"",(I72+J72)/2)</f>
        <v/>
      </c>
      <c r="N72" s="49">
        <f>IF(OR(I72="",J72=""),"",J72-I72)</f>
        <v/>
      </c>
      <c r="O72" s="48">
        <f>TEXT(L72,"mmm-yyyy")</f>
        <v/>
      </c>
      <c r="P72" s="48">
        <f>_xlfn.IFS(ISNUMBER(SEARCH("data analy",B72)),"Data Analyst",ISNUMBER(SEARCH("business analy",B72)),"Business Analyst",OR(ISNUMBER(SEARCH("developer",B72)),ISNUMBER(SEARCH("software engineer",B72)),ISNUMBER(SEARCH("programmer",B72))),"Software Developer",ISNUMBER(SEARCH("business development",B72)),"Business Development",ISNUMBER(SEARCH("sales",B72)),"Sales Executive",ISNUMBER(SEARCH("marketing",B72)),"Marketing Executive",OR(ISNUMBER(SEARCH("hr ",B72)),ISNUMBER(SEARCH("recruit",B72)),ISNUMBER(SEARCH("human resource",B72))),"HR / Recruiter",OR(ISNUMBER(SEARCH("account",B72)),ISNUMBER(SEARCH("finance",B72)),ISNUMBER(SEARCH("tax",B72)),ISNUMBER(SEARCH("audit",B72))),"Accountant / Finance",OR(ISNUMBER(SEARCH("customer service",B72)),ISNUMBER(SEARCH("customer support",B72)),ISNUMBER(SEARCH("customer care",B72)),ISNUMBER(SEARCH("voice process",B72)),ISNUMBER(SEARCH("bpo",B72))),"Customer Support",ISNUMBER(SEARCH("engineer",B72)),"Engineer (Technical)",ISNUMBER(SEARCH("manager",B72)),"Manager",OR(ISNUMBER(SEARCH("teacher",B72)),ISNUMBER(SEARCH("trainer",B72)),ISNUMBER(SEARCH("faculty",B72))),"Teacher / Trainer",OR(ISNUMBER(SEARCH("doctor",B72)),ISNUMBER(SEARCH("nurse",B72)),ISNUMBER(SEARCH("medical",B72)),ISNUMBER(SEARCH("pharma",B72)),ISNUMBER(SEARCH("clinical",B72))),"Healthcare",TRUE,"Other")</f>
        <v/>
      </c>
      <c r="Q72" s="48">
        <f>IF(COUNTIFS($B$11:B72,B72,$C$11:C72,C72,$D$11:D72,D72,$L$11:L72,L72)&gt;1,"Duplicate","Unique")</f>
        <v/>
      </c>
    </row>
    <row r="73">
      <c r="A73" s="48">
        <f>Raw_Data!A64</f>
        <v/>
      </c>
      <c r="B73" s="48">
        <f>PROPER(TRIM(Raw_Data!B64))</f>
        <v/>
      </c>
      <c r="C73" s="48">
        <f>TRIM(Raw_Data!C64)</f>
        <v/>
      </c>
      <c r="D73" s="48">
        <f>IF(PROPER(TRIM(Raw_Data!D64))="Bangalore","Bengaluru",IF(PROPER(TRIM(Raw_Data!D64))="Gurgaon","Gurugram",IF(OR(PROPER(TRIM(Raw_Data!D64))="New Delhi",PROPER(TRIM(Raw_Data!D64))="Delhi"),"Delhi",PROPER(TRIM(Raw_Data!D64)))))</f>
        <v/>
      </c>
      <c r="E73" s="48">
        <f>Raw_Data!E64</f>
        <v/>
      </c>
      <c r="F73" s="48">
        <f>IF(TRIM(Raw_Data!F64&amp;"")="","Not Specified",Raw_Data!F64)</f>
        <v/>
      </c>
      <c r="G73" s="48">
        <f>Raw_Data!G64</f>
        <v/>
      </c>
      <c r="H73" s="48">
        <f>Raw_Data!H64</f>
        <v/>
      </c>
      <c r="I73" s="49">
        <f>IF(Raw_Data!I64="","",Raw_Data!I64)</f>
        <v/>
      </c>
      <c r="J73" s="49">
        <f>IF(Raw_Data!J64="","",Raw_Data!J64)</f>
        <v/>
      </c>
      <c r="K73" s="48">
        <f>IF(TRIM(Raw_Data!K64&amp;"")="","Not Specified",Raw_Data!K64)</f>
        <v/>
      </c>
      <c r="L73" s="56">
        <f>Raw_Data!L64</f>
        <v/>
      </c>
      <c r="M73" s="49">
        <f>IF(OR(I73="",J73=""),"",(I73+J73)/2)</f>
        <v/>
      </c>
      <c r="N73" s="49">
        <f>IF(OR(I73="",J73=""),"",J73-I73)</f>
        <v/>
      </c>
      <c r="O73" s="48">
        <f>TEXT(L73,"mmm-yyyy")</f>
        <v/>
      </c>
      <c r="P73" s="48">
        <f>_xlfn.IFS(ISNUMBER(SEARCH("data analy",B73)),"Data Analyst",ISNUMBER(SEARCH("business analy",B73)),"Business Analyst",OR(ISNUMBER(SEARCH("developer",B73)),ISNUMBER(SEARCH("software engineer",B73)),ISNUMBER(SEARCH("programmer",B73))),"Software Developer",ISNUMBER(SEARCH("business development",B73)),"Business Development",ISNUMBER(SEARCH("sales",B73)),"Sales Executive",ISNUMBER(SEARCH("marketing",B73)),"Marketing Executive",OR(ISNUMBER(SEARCH("hr ",B73)),ISNUMBER(SEARCH("recruit",B73)),ISNUMBER(SEARCH("human resource",B73))),"HR / Recruiter",OR(ISNUMBER(SEARCH("account",B73)),ISNUMBER(SEARCH("finance",B73)),ISNUMBER(SEARCH("tax",B73)),ISNUMBER(SEARCH("audit",B73))),"Accountant / Finance",OR(ISNUMBER(SEARCH("customer service",B73)),ISNUMBER(SEARCH("customer support",B73)),ISNUMBER(SEARCH("customer care",B73)),ISNUMBER(SEARCH("voice process",B73)),ISNUMBER(SEARCH("bpo",B73))),"Customer Support",ISNUMBER(SEARCH("engineer",B73)),"Engineer (Technical)",ISNUMBER(SEARCH("manager",B73)),"Manager",OR(ISNUMBER(SEARCH("teacher",B73)),ISNUMBER(SEARCH("trainer",B73)),ISNUMBER(SEARCH("faculty",B73))),"Teacher / Trainer",OR(ISNUMBER(SEARCH("doctor",B73)),ISNUMBER(SEARCH("nurse",B73)),ISNUMBER(SEARCH("medical",B73)),ISNUMBER(SEARCH("pharma",B73)),ISNUMBER(SEARCH("clinical",B73))),"Healthcare",TRUE,"Other")</f>
        <v/>
      </c>
      <c r="Q73" s="48">
        <f>IF(COUNTIFS($B$11:B73,B73,$C$11:C73,C73,$D$11:D73,D73,$L$11:L73,L73)&gt;1,"Duplicate","Unique")</f>
        <v/>
      </c>
    </row>
    <row r="74">
      <c r="A74" s="48">
        <f>Raw_Data!A65</f>
        <v/>
      </c>
      <c r="B74" s="48">
        <f>PROPER(TRIM(Raw_Data!B65))</f>
        <v/>
      </c>
      <c r="C74" s="48">
        <f>TRIM(Raw_Data!C65)</f>
        <v/>
      </c>
      <c r="D74" s="48">
        <f>IF(PROPER(TRIM(Raw_Data!D65))="Bangalore","Bengaluru",IF(PROPER(TRIM(Raw_Data!D65))="Gurgaon","Gurugram",IF(OR(PROPER(TRIM(Raw_Data!D65))="New Delhi",PROPER(TRIM(Raw_Data!D65))="Delhi"),"Delhi",PROPER(TRIM(Raw_Data!D65)))))</f>
        <v/>
      </c>
      <c r="E74" s="48">
        <f>Raw_Data!E65</f>
        <v/>
      </c>
      <c r="F74" s="48">
        <f>IF(TRIM(Raw_Data!F65&amp;"")="","Not Specified",Raw_Data!F65)</f>
        <v/>
      </c>
      <c r="G74" s="48">
        <f>Raw_Data!G65</f>
        <v/>
      </c>
      <c r="H74" s="48">
        <f>Raw_Data!H65</f>
        <v/>
      </c>
      <c r="I74" s="49">
        <f>IF(Raw_Data!I65="","",Raw_Data!I65)</f>
        <v/>
      </c>
      <c r="J74" s="49">
        <f>IF(Raw_Data!J65="","",Raw_Data!J65)</f>
        <v/>
      </c>
      <c r="K74" s="48">
        <f>IF(TRIM(Raw_Data!K65&amp;"")="","Not Specified",Raw_Data!K65)</f>
        <v/>
      </c>
      <c r="L74" s="56">
        <f>Raw_Data!L65</f>
        <v/>
      </c>
      <c r="M74" s="49">
        <f>IF(OR(I74="",J74=""),"",(I74+J74)/2)</f>
        <v/>
      </c>
      <c r="N74" s="49">
        <f>IF(OR(I74="",J74=""),"",J74-I74)</f>
        <v/>
      </c>
      <c r="O74" s="48">
        <f>TEXT(L74,"mmm-yyyy")</f>
        <v/>
      </c>
      <c r="P74" s="48">
        <f>_xlfn.IFS(ISNUMBER(SEARCH("data analy",B74)),"Data Analyst",ISNUMBER(SEARCH("business analy",B74)),"Business Analyst",OR(ISNUMBER(SEARCH("developer",B74)),ISNUMBER(SEARCH("software engineer",B74)),ISNUMBER(SEARCH("programmer",B74))),"Software Developer",ISNUMBER(SEARCH("business development",B74)),"Business Development",ISNUMBER(SEARCH("sales",B74)),"Sales Executive",ISNUMBER(SEARCH("marketing",B74)),"Marketing Executive",OR(ISNUMBER(SEARCH("hr ",B74)),ISNUMBER(SEARCH("recruit",B74)),ISNUMBER(SEARCH("human resource",B74))),"HR / Recruiter",OR(ISNUMBER(SEARCH("account",B74)),ISNUMBER(SEARCH("finance",B74)),ISNUMBER(SEARCH("tax",B74)),ISNUMBER(SEARCH("audit",B74))),"Accountant / Finance",OR(ISNUMBER(SEARCH("customer service",B74)),ISNUMBER(SEARCH("customer support",B74)),ISNUMBER(SEARCH("customer care",B74)),ISNUMBER(SEARCH("voice process",B74)),ISNUMBER(SEARCH("bpo",B74))),"Customer Support",ISNUMBER(SEARCH("engineer",B74)),"Engineer (Technical)",ISNUMBER(SEARCH("manager",B74)),"Manager",OR(ISNUMBER(SEARCH("teacher",B74)),ISNUMBER(SEARCH("trainer",B74)),ISNUMBER(SEARCH("faculty",B74))),"Teacher / Trainer",OR(ISNUMBER(SEARCH("doctor",B74)),ISNUMBER(SEARCH("nurse",B74)),ISNUMBER(SEARCH("medical",B74)),ISNUMBER(SEARCH("pharma",B74)),ISNUMBER(SEARCH("clinical",B74))),"Healthcare",TRUE,"Other")</f>
        <v/>
      </c>
      <c r="Q74" s="48">
        <f>IF(COUNTIFS($B$11:B74,B74,$C$11:C74,C74,$D$11:D74,D74,$L$11:L74,L74)&gt;1,"Duplicate","Unique")</f>
        <v/>
      </c>
    </row>
    <row r="75">
      <c r="A75" s="48">
        <f>Raw_Data!A66</f>
        <v/>
      </c>
      <c r="B75" s="48">
        <f>PROPER(TRIM(Raw_Data!B66))</f>
        <v/>
      </c>
      <c r="C75" s="48">
        <f>TRIM(Raw_Data!C66)</f>
        <v/>
      </c>
      <c r="D75" s="48">
        <f>IF(PROPER(TRIM(Raw_Data!D66))="Bangalore","Bengaluru",IF(PROPER(TRIM(Raw_Data!D66))="Gurgaon","Gurugram",IF(OR(PROPER(TRIM(Raw_Data!D66))="New Delhi",PROPER(TRIM(Raw_Data!D66))="Delhi"),"Delhi",PROPER(TRIM(Raw_Data!D66)))))</f>
        <v/>
      </c>
      <c r="E75" s="48">
        <f>Raw_Data!E66</f>
        <v/>
      </c>
      <c r="F75" s="48">
        <f>IF(TRIM(Raw_Data!F66&amp;"")="","Not Specified",Raw_Data!F66)</f>
        <v/>
      </c>
      <c r="G75" s="48">
        <f>Raw_Data!G66</f>
        <v/>
      </c>
      <c r="H75" s="48">
        <f>Raw_Data!H66</f>
        <v/>
      </c>
      <c r="I75" s="49">
        <f>IF(Raw_Data!I66="","",Raw_Data!I66)</f>
        <v/>
      </c>
      <c r="J75" s="49">
        <f>IF(Raw_Data!J66="","",Raw_Data!J66)</f>
        <v/>
      </c>
      <c r="K75" s="48">
        <f>IF(TRIM(Raw_Data!K66&amp;"")="","Not Specified",Raw_Data!K66)</f>
        <v/>
      </c>
      <c r="L75" s="56">
        <f>Raw_Data!L66</f>
        <v/>
      </c>
      <c r="M75" s="49">
        <f>IF(OR(I75="",J75=""),"",(I75+J75)/2)</f>
        <v/>
      </c>
      <c r="N75" s="49">
        <f>IF(OR(I75="",J75=""),"",J75-I75)</f>
        <v/>
      </c>
      <c r="O75" s="48">
        <f>TEXT(L75,"mmm-yyyy")</f>
        <v/>
      </c>
      <c r="P75" s="48">
        <f>_xlfn.IFS(ISNUMBER(SEARCH("data analy",B75)),"Data Analyst",ISNUMBER(SEARCH("business analy",B75)),"Business Analyst",OR(ISNUMBER(SEARCH("developer",B75)),ISNUMBER(SEARCH("software engineer",B75)),ISNUMBER(SEARCH("programmer",B75))),"Software Developer",ISNUMBER(SEARCH("business development",B75)),"Business Development",ISNUMBER(SEARCH("sales",B75)),"Sales Executive",ISNUMBER(SEARCH("marketing",B75)),"Marketing Executive",OR(ISNUMBER(SEARCH("hr ",B75)),ISNUMBER(SEARCH("recruit",B75)),ISNUMBER(SEARCH("human resource",B75))),"HR / Recruiter",OR(ISNUMBER(SEARCH("account",B75)),ISNUMBER(SEARCH("finance",B75)),ISNUMBER(SEARCH("tax",B75)),ISNUMBER(SEARCH("audit",B75))),"Accountant / Finance",OR(ISNUMBER(SEARCH("customer service",B75)),ISNUMBER(SEARCH("customer support",B75)),ISNUMBER(SEARCH("customer care",B75)),ISNUMBER(SEARCH("voice process",B75)),ISNUMBER(SEARCH("bpo",B75))),"Customer Support",ISNUMBER(SEARCH("engineer",B75)),"Engineer (Technical)",ISNUMBER(SEARCH("manager",B75)),"Manager",OR(ISNUMBER(SEARCH("teacher",B75)),ISNUMBER(SEARCH("trainer",B75)),ISNUMBER(SEARCH("faculty",B75))),"Teacher / Trainer",OR(ISNUMBER(SEARCH("doctor",B75)),ISNUMBER(SEARCH("nurse",B75)),ISNUMBER(SEARCH("medical",B75)),ISNUMBER(SEARCH("pharma",B75)),ISNUMBER(SEARCH("clinical",B75))),"Healthcare",TRUE,"Other")</f>
        <v/>
      </c>
      <c r="Q75" s="48">
        <f>IF(COUNTIFS($B$11:B75,B75,$C$11:C75,C75,$D$11:D75,D75,$L$11:L75,L75)&gt;1,"Duplicate","Unique")</f>
        <v/>
      </c>
    </row>
    <row r="76">
      <c r="A76" s="48">
        <f>Raw_Data!A67</f>
        <v/>
      </c>
      <c r="B76" s="48">
        <f>PROPER(TRIM(Raw_Data!B67))</f>
        <v/>
      </c>
      <c r="C76" s="48">
        <f>TRIM(Raw_Data!C67)</f>
        <v/>
      </c>
      <c r="D76" s="48">
        <f>IF(PROPER(TRIM(Raw_Data!D67))="Bangalore","Bengaluru",IF(PROPER(TRIM(Raw_Data!D67))="Gurgaon","Gurugram",IF(OR(PROPER(TRIM(Raw_Data!D67))="New Delhi",PROPER(TRIM(Raw_Data!D67))="Delhi"),"Delhi",PROPER(TRIM(Raw_Data!D67)))))</f>
        <v/>
      </c>
      <c r="E76" s="48">
        <f>Raw_Data!E67</f>
        <v/>
      </c>
      <c r="F76" s="48">
        <f>IF(TRIM(Raw_Data!F67&amp;"")="","Not Specified",Raw_Data!F67)</f>
        <v/>
      </c>
      <c r="G76" s="48">
        <f>Raw_Data!G67</f>
        <v/>
      </c>
      <c r="H76" s="48">
        <f>Raw_Data!H67</f>
        <v/>
      </c>
      <c r="I76" s="49">
        <f>IF(Raw_Data!I67="","",Raw_Data!I67)</f>
        <v/>
      </c>
      <c r="J76" s="49">
        <f>IF(Raw_Data!J67="","",Raw_Data!J67)</f>
        <v/>
      </c>
      <c r="K76" s="48">
        <f>IF(TRIM(Raw_Data!K67&amp;"")="","Not Specified",Raw_Data!K67)</f>
        <v/>
      </c>
      <c r="L76" s="56">
        <f>Raw_Data!L67</f>
        <v/>
      </c>
      <c r="M76" s="49">
        <f>IF(OR(I76="",J76=""),"",(I76+J76)/2)</f>
        <v/>
      </c>
      <c r="N76" s="49">
        <f>IF(OR(I76="",J76=""),"",J76-I76)</f>
        <v/>
      </c>
      <c r="O76" s="48">
        <f>TEXT(L76,"mmm-yyyy")</f>
        <v/>
      </c>
      <c r="P76" s="48">
        <f>_xlfn.IFS(ISNUMBER(SEARCH("data analy",B76)),"Data Analyst",ISNUMBER(SEARCH("business analy",B76)),"Business Analyst",OR(ISNUMBER(SEARCH("developer",B76)),ISNUMBER(SEARCH("software engineer",B76)),ISNUMBER(SEARCH("programmer",B76))),"Software Developer",ISNUMBER(SEARCH("business development",B76)),"Business Development",ISNUMBER(SEARCH("sales",B76)),"Sales Executive",ISNUMBER(SEARCH("marketing",B76)),"Marketing Executive",OR(ISNUMBER(SEARCH("hr ",B76)),ISNUMBER(SEARCH("recruit",B76)),ISNUMBER(SEARCH("human resource",B76))),"HR / Recruiter",OR(ISNUMBER(SEARCH("account",B76)),ISNUMBER(SEARCH("finance",B76)),ISNUMBER(SEARCH("tax",B76)),ISNUMBER(SEARCH("audit",B76))),"Accountant / Finance",OR(ISNUMBER(SEARCH("customer service",B76)),ISNUMBER(SEARCH("customer support",B76)),ISNUMBER(SEARCH("customer care",B76)),ISNUMBER(SEARCH("voice process",B76)),ISNUMBER(SEARCH("bpo",B76))),"Customer Support",ISNUMBER(SEARCH("engineer",B76)),"Engineer (Technical)",ISNUMBER(SEARCH("manager",B76)),"Manager",OR(ISNUMBER(SEARCH("teacher",B76)),ISNUMBER(SEARCH("trainer",B76)),ISNUMBER(SEARCH("faculty",B76))),"Teacher / Trainer",OR(ISNUMBER(SEARCH("doctor",B76)),ISNUMBER(SEARCH("nurse",B76)),ISNUMBER(SEARCH("medical",B76)),ISNUMBER(SEARCH("pharma",B76)),ISNUMBER(SEARCH("clinical",B76))),"Healthcare",TRUE,"Other")</f>
        <v/>
      </c>
      <c r="Q76" s="48">
        <f>IF(COUNTIFS($B$11:B76,B76,$C$11:C76,C76,$D$11:D76,D76,$L$11:L76,L76)&gt;1,"Duplicate","Unique")</f>
        <v/>
      </c>
    </row>
    <row r="77">
      <c r="A77" s="48">
        <f>Raw_Data!A68</f>
        <v/>
      </c>
      <c r="B77" s="48">
        <f>PROPER(TRIM(Raw_Data!B68))</f>
        <v/>
      </c>
      <c r="C77" s="48">
        <f>TRIM(Raw_Data!C68)</f>
        <v/>
      </c>
      <c r="D77" s="48">
        <f>IF(PROPER(TRIM(Raw_Data!D68))="Bangalore","Bengaluru",IF(PROPER(TRIM(Raw_Data!D68))="Gurgaon","Gurugram",IF(OR(PROPER(TRIM(Raw_Data!D68))="New Delhi",PROPER(TRIM(Raw_Data!D68))="Delhi"),"Delhi",PROPER(TRIM(Raw_Data!D68)))))</f>
        <v/>
      </c>
      <c r="E77" s="48">
        <f>Raw_Data!E68</f>
        <v/>
      </c>
      <c r="F77" s="48">
        <f>IF(TRIM(Raw_Data!F68&amp;"")="","Not Specified",Raw_Data!F68)</f>
        <v/>
      </c>
      <c r="G77" s="48">
        <f>Raw_Data!G68</f>
        <v/>
      </c>
      <c r="H77" s="48">
        <f>Raw_Data!H68</f>
        <v/>
      </c>
      <c r="I77" s="49">
        <f>IF(Raw_Data!I68="","",Raw_Data!I68)</f>
        <v/>
      </c>
      <c r="J77" s="49">
        <f>IF(Raw_Data!J68="","",Raw_Data!J68)</f>
        <v/>
      </c>
      <c r="K77" s="48">
        <f>IF(TRIM(Raw_Data!K68&amp;"")="","Not Specified",Raw_Data!K68)</f>
        <v/>
      </c>
      <c r="L77" s="56">
        <f>Raw_Data!L68</f>
        <v/>
      </c>
      <c r="M77" s="49">
        <f>IF(OR(I77="",J77=""),"",(I77+J77)/2)</f>
        <v/>
      </c>
      <c r="N77" s="49">
        <f>IF(OR(I77="",J77=""),"",J77-I77)</f>
        <v/>
      </c>
      <c r="O77" s="48">
        <f>TEXT(L77,"mmm-yyyy")</f>
        <v/>
      </c>
      <c r="P77" s="48">
        <f>_xlfn.IFS(ISNUMBER(SEARCH("data analy",B77)),"Data Analyst",ISNUMBER(SEARCH("business analy",B77)),"Business Analyst",OR(ISNUMBER(SEARCH("developer",B77)),ISNUMBER(SEARCH("software engineer",B77)),ISNUMBER(SEARCH("programmer",B77))),"Software Developer",ISNUMBER(SEARCH("business development",B77)),"Business Development",ISNUMBER(SEARCH("sales",B77)),"Sales Executive",ISNUMBER(SEARCH("marketing",B77)),"Marketing Executive",OR(ISNUMBER(SEARCH("hr ",B77)),ISNUMBER(SEARCH("recruit",B77)),ISNUMBER(SEARCH("human resource",B77))),"HR / Recruiter",OR(ISNUMBER(SEARCH("account",B77)),ISNUMBER(SEARCH("finance",B77)),ISNUMBER(SEARCH("tax",B77)),ISNUMBER(SEARCH("audit",B77))),"Accountant / Finance",OR(ISNUMBER(SEARCH("customer service",B77)),ISNUMBER(SEARCH("customer support",B77)),ISNUMBER(SEARCH("customer care",B77)),ISNUMBER(SEARCH("voice process",B77)),ISNUMBER(SEARCH("bpo",B77))),"Customer Support",ISNUMBER(SEARCH("engineer",B77)),"Engineer (Technical)",ISNUMBER(SEARCH("manager",B77)),"Manager",OR(ISNUMBER(SEARCH("teacher",B77)),ISNUMBER(SEARCH("trainer",B77)),ISNUMBER(SEARCH("faculty",B77))),"Teacher / Trainer",OR(ISNUMBER(SEARCH("doctor",B77)),ISNUMBER(SEARCH("nurse",B77)),ISNUMBER(SEARCH("medical",B77)),ISNUMBER(SEARCH("pharma",B77)),ISNUMBER(SEARCH("clinical",B77))),"Healthcare",TRUE,"Other")</f>
        <v/>
      </c>
      <c r="Q77" s="48">
        <f>IF(COUNTIFS($B$11:B77,B77,$C$11:C77,C77,$D$11:D77,D77,$L$11:L77,L77)&gt;1,"Duplicate","Unique")</f>
        <v/>
      </c>
    </row>
    <row r="78">
      <c r="A78" s="48">
        <f>Raw_Data!A69</f>
        <v/>
      </c>
      <c r="B78" s="48">
        <f>PROPER(TRIM(Raw_Data!B69))</f>
        <v/>
      </c>
      <c r="C78" s="48">
        <f>TRIM(Raw_Data!C69)</f>
        <v/>
      </c>
      <c r="D78" s="48">
        <f>IF(PROPER(TRIM(Raw_Data!D69))="Bangalore","Bengaluru",IF(PROPER(TRIM(Raw_Data!D69))="Gurgaon","Gurugram",IF(OR(PROPER(TRIM(Raw_Data!D69))="New Delhi",PROPER(TRIM(Raw_Data!D69))="Delhi"),"Delhi",PROPER(TRIM(Raw_Data!D69)))))</f>
        <v/>
      </c>
      <c r="E78" s="48">
        <f>Raw_Data!E69</f>
        <v/>
      </c>
      <c r="F78" s="48">
        <f>IF(TRIM(Raw_Data!F69&amp;"")="","Not Specified",Raw_Data!F69)</f>
        <v/>
      </c>
      <c r="G78" s="48">
        <f>Raw_Data!G69</f>
        <v/>
      </c>
      <c r="H78" s="48">
        <f>Raw_Data!H69</f>
        <v/>
      </c>
      <c r="I78" s="49">
        <f>IF(Raw_Data!I69="","",Raw_Data!I69)</f>
        <v/>
      </c>
      <c r="J78" s="49">
        <f>IF(Raw_Data!J69="","",Raw_Data!J69)</f>
        <v/>
      </c>
      <c r="K78" s="48">
        <f>IF(TRIM(Raw_Data!K69&amp;"")="","Not Specified",Raw_Data!K69)</f>
        <v/>
      </c>
      <c r="L78" s="56">
        <f>Raw_Data!L69</f>
        <v/>
      </c>
      <c r="M78" s="49">
        <f>IF(OR(I78="",J78=""),"",(I78+J78)/2)</f>
        <v/>
      </c>
      <c r="N78" s="49">
        <f>IF(OR(I78="",J78=""),"",J78-I78)</f>
        <v/>
      </c>
      <c r="O78" s="48">
        <f>TEXT(L78,"mmm-yyyy")</f>
        <v/>
      </c>
      <c r="P78" s="48">
        <f>_xlfn.IFS(ISNUMBER(SEARCH("data analy",B78)),"Data Analyst",ISNUMBER(SEARCH("business analy",B78)),"Business Analyst",OR(ISNUMBER(SEARCH("developer",B78)),ISNUMBER(SEARCH("software engineer",B78)),ISNUMBER(SEARCH("programmer",B78))),"Software Developer",ISNUMBER(SEARCH("business development",B78)),"Business Development",ISNUMBER(SEARCH("sales",B78)),"Sales Executive",ISNUMBER(SEARCH("marketing",B78)),"Marketing Executive",OR(ISNUMBER(SEARCH("hr ",B78)),ISNUMBER(SEARCH("recruit",B78)),ISNUMBER(SEARCH("human resource",B78))),"HR / Recruiter",OR(ISNUMBER(SEARCH("account",B78)),ISNUMBER(SEARCH("finance",B78)),ISNUMBER(SEARCH("tax",B78)),ISNUMBER(SEARCH("audit",B78))),"Accountant / Finance",OR(ISNUMBER(SEARCH("customer service",B78)),ISNUMBER(SEARCH("customer support",B78)),ISNUMBER(SEARCH("customer care",B78)),ISNUMBER(SEARCH("voice process",B78)),ISNUMBER(SEARCH("bpo",B78))),"Customer Support",ISNUMBER(SEARCH("engineer",B78)),"Engineer (Technical)",ISNUMBER(SEARCH("manager",B78)),"Manager",OR(ISNUMBER(SEARCH("teacher",B78)),ISNUMBER(SEARCH("trainer",B78)),ISNUMBER(SEARCH("faculty",B78))),"Teacher / Trainer",OR(ISNUMBER(SEARCH("doctor",B78)),ISNUMBER(SEARCH("nurse",B78)),ISNUMBER(SEARCH("medical",B78)),ISNUMBER(SEARCH("pharma",B78)),ISNUMBER(SEARCH("clinical",B78))),"Healthcare",TRUE,"Other")</f>
        <v/>
      </c>
      <c r="Q78" s="48">
        <f>IF(COUNTIFS($B$11:B78,B78,$C$11:C78,C78,$D$11:D78,D78,$L$11:L78,L78)&gt;1,"Duplicate","Unique")</f>
        <v/>
      </c>
    </row>
    <row r="79">
      <c r="A79" s="48">
        <f>Raw_Data!A70</f>
        <v/>
      </c>
      <c r="B79" s="48">
        <f>PROPER(TRIM(Raw_Data!B70))</f>
        <v/>
      </c>
      <c r="C79" s="48">
        <f>TRIM(Raw_Data!C70)</f>
        <v/>
      </c>
      <c r="D79" s="48">
        <f>IF(PROPER(TRIM(Raw_Data!D70))="Bangalore","Bengaluru",IF(PROPER(TRIM(Raw_Data!D70))="Gurgaon","Gurugram",IF(OR(PROPER(TRIM(Raw_Data!D70))="New Delhi",PROPER(TRIM(Raw_Data!D70))="Delhi"),"Delhi",PROPER(TRIM(Raw_Data!D70)))))</f>
        <v/>
      </c>
      <c r="E79" s="48">
        <f>Raw_Data!E70</f>
        <v/>
      </c>
      <c r="F79" s="48">
        <f>IF(TRIM(Raw_Data!F70&amp;"")="","Not Specified",Raw_Data!F70)</f>
        <v/>
      </c>
      <c r="G79" s="48">
        <f>Raw_Data!G70</f>
        <v/>
      </c>
      <c r="H79" s="48">
        <f>Raw_Data!H70</f>
        <v/>
      </c>
      <c r="I79" s="49">
        <f>IF(Raw_Data!I70="","",Raw_Data!I70)</f>
        <v/>
      </c>
      <c r="J79" s="49">
        <f>IF(Raw_Data!J70="","",Raw_Data!J70)</f>
        <v/>
      </c>
      <c r="K79" s="48">
        <f>IF(TRIM(Raw_Data!K70&amp;"")="","Not Specified",Raw_Data!K70)</f>
        <v/>
      </c>
      <c r="L79" s="56">
        <f>Raw_Data!L70</f>
        <v/>
      </c>
      <c r="M79" s="49">
        <f>IF(OR(I79="",J79=""),"",(I79+J79)/2)</f>
        <v/>
      </c>
      <c r="N79" s="49">
        <f>IF(OR(I79="",J79=""),"",J79-I79)</f>
        <v/>
      </c>
      <c r="O79" s="48">
        <f>TEXT(L79,"mmm-yyyy")</f>
        <v/>
      </c>
      <c r="P79" s="48">
        <f>_xlfn.IFS(ISNUMBER(SEARCH("data analy",B79)),"Data Analyst",ISNUMBER(SEARCH("business analy",B79)),"Business Analyst",OR(ISNUMBER(SEARCH("developer",B79)),ISNUMBER(SEARCH("software engineer",B79)),ISNUMBER(SEARCH("programmer",B79))),"Software Developer",ISNUMBER(SEARCH("business development",B79)),"Business Development",ISNUMBER(SEARCH("sales",B79)),"Sales Executive",ISNUMBER(SEARCH("marketing",B79)),"Marketing Executive",OR(ISNUMBER(SEARCH("hr ",B79)),ISNUMBER(SEARCH("recruit",B79)),ISNUMBER(SEARCH("human resource",B79))),"HR / Recruiter",OR(ISNUMBER(SEARCH("account",B79)),ISNUMBER(SEARCH("finance",B79)),ISNUMBER(SEARCH("tax",B79)),ISNUMBER(SEARCH("audit",B79))),"Accountant / Finance",OR(ISNUMBER(SEARCH("customer service",B79)),ISNUMBER(SEARCH("customer support",B79)),ISNUMBER(SEARCH("customer care",B79)),ISNUMBER(SEARCH("voice process",B79)),ISNUMBER(SEARCH("bpo",B79))),"Customer Support",ISNUMBER(SEARCH("engineer",B79)),"Engineer (Technical)",ISNUMBER(SEARCH("manager",B79)),"Manager",OR(ISNUMBER(SEARCH("teacher",B79)),ISNUMBER(SEARCH("trainer",B79)),ISNUMBER(SEARCH("faculty",B79))),"Teacher / Trainer",OR(ISNUMBER(SEARCH("doctor",B79)),ISNUMBER(SEARCH("nurse",B79)),ISNUMBER(SEARCH("medical",B79)),ISNUMBER(SEARCH("pharma",B79)),ISNUMBER(SEARCH("clinical",B79))),"Healthcare",TRUE,"Other")</f>
        <v/>
      </c>
      <c r="Q79" s="48">
        <f>IF(COUNTIFS($B$11:B79,B79,$C$11:C79,C79,$D$11:D79,D79,$L$11:L79,L79)&gt;1,"Duplicate","Unique")</f>
        <v/>
      </c>
    </row>
    <row r="80">
      <c r="A80" s="48">
        <f>Raw_Data!A71</f>
        <v/>
      </c>
      <c r="B80" s="48">
        <f>PROPER(TRIM(Raw_Data!B71))</f>
        <v/>
      </c>
      <c r="C80" s="48">
        <f>TRIM(Raw_Data!C71)</f>
        <v/>
      </c>
      <c r="D80" s="48">
        <f>IF(PROPER(TRIM(Raw_Data!D71))="Bangalore","Bengaluru",IF(PROPER(TRIM(Raw_Data!D71))="Gurgaon","Gurugram",IF(OR(PROPER(TRIM(Raw_Data!D71))="New Delhi",PROPER(TRIM(Raw_Data!D71))="Delhi"),"Delhi",PROPER(TRIM(Raw_Data!D71)))))</f>
        <v/>
      </c>
      <c r="E80" s="48">
        <f>Raw_Data!E71</f>
        <v/>
      </c>
      <c r="F80" s="48">
        <f>IF(TRIM(Raw_Data!F71&amp;"")="","Not Specified",Raw_Data!F71)</f>
        <v/>
      </c>
      <c r="G80" s="48">
        <f>Raw_Data!G71</f>
        <v/>
      </c>
      <c r="H80" s="48">
        <f>Raw_Data!H71</f>
        <v/>
      </c>
      <c r="I80" s="49">
        <f>IF(Raw_Data!I71="","",Raw_Data!I71)</f>
        <v/>
      </c>
      <c r="J80" s="49">
        <f>IF(Raw_Data!J71="","",Raw_Data!J71)</f>
        <v/>
      </c>
      <c r="K80" s="48">
        <f>IF(TRIM(Raw_Data!K71&amp;"")="","Not Specified",Raw_Data!K71)</f>
        <v/>
      </c>
      <c r="L80" s="56">
        <f>Raw_Data!L71</f>
        <v/>
      </c>
      <c r="M80" s="49">
        <f>IF(OR(I80="",J80=""),"",(I80+J80)/2)</f>
        <v/>
      </c>
      <c r="N80" s="49">
        <f>IF(OR(I80="",J80=""),"",J80-I80)</f>
        <v/>
      </c>
      <c r="O80" s="48">
        <f>TEXT(L80,"mmm-yyyy")</f>
        <v/>
      </c>
      <c r="P80" s="48">
        <f>_xlfn.IFS(ISNUMBER(SEARCH("data analy",B80)),"Data Analyst",ISNUMBER(SEARCH("business analy",B80)),"Business Analyst",OR(ISNUMBER(SEARCH("developer",B80)),ISNUMBER(SEARCH("software engineer",B80)),ISNUMBER(SEARCH("programmer",B80))),"Software Developer",ISNUMBER(SEARCH("business development",B80)),"Business Development",ISNUMBER(SEARCH("sales",B80)),"Sales Executive",ISNUMBER(SEARCH("marketing",B80)),"Marketing Executive",OR(ISNUMBER(SEARCH("hr ",B80)),ISNUMBER(SEARCH("recruit",B80)),ISNUMBER(SEARCH("human resource",B80))),"HR / Recruiter",OR(ISNUMBER(SEARCH("account",B80)),ISNUMBER(SEARCH("finance",B80)),ISNUMBER(SEARCH("tax",B80)),ISNUMBER(SEARCH("audit",B80))),"Accountant / Finance",OR(ISNUMBER(SEARCH("customer service",B80)),ISNUMBER(SEARCH("customer support",B80)),ISNUMBER(SEARCH("customer care",B80)),ISNUMBER(SEARCH("voice process",B80)),ISNUMBER(SEARCH("bpo",B80))),"Customer Support",ISNUMBER(SEARCH("engineer",B80)),"Engineer (Technical)",ISNUMBER(SEARCH("manager",B80)),"Manager",OR(ISNUMBER(SEARCH("teacher",B80)),ISNUMBER(SEARCH("trainer",B80)),ISNUMBER(SEARCH("faculty",B80))),"Teacher / Trainer",OR(ISNUMBER(SEARCH("doctor",B80)),ISNUMBER(SEARCH("nurse",B80)),ISNUMBER(SEARCH("medical",B80)),ISNUMBER(SEARCH("pharma",B80)),ISNUMBER(SEARCH("clinical",B80))),"Healthcare",TRUE,"Other")</f>
        <v/>
      </c>
      <c r="Q80" s="48">
        <f>IF(COUNTIFS($B$11:B80,B80,$C$11:C80,C80,$D$11:D80,D80,$L$11:L80,L80)&gt;1,"Duplicate","Unique")</f>
        <v/>
      </c>
    </row>
    <row r="81">
      <c r="A81" s="48">
        <f>Raw_Data!A72</f>
        <v/>
      </c>
      <c r="B81" s="48">
        <f>PROPER(TRIM(Raw_Data!B72))</f>
        <v/>
      </c>
      <c r="C81" s="48">
        <f>TRIM(Raw_Data!C72)</f>
        <v/>
      </c>
      <c r="D81" s="48">
        <f>IF(PROPER(TRIM(Raw_Data!D72))="Bangalore","Bengaluru",IF(PROPER(TRIM(Raw_Data!D72))="Gurgaon","Gurugram",IF(OR(PROPER(TRIM(Raw_Data!D72))="New Delhi",PROPER(TRIM(Raw_Data!D72))="Delhi"),"Delhi",PROPER(TRIM(Raw_Data!D72)))))</f>
        <v/>
      </c>
      <c r="E81" s="48">
        <f>Raw_Data!E72</f>
        <v/>
      </c>
      <c r="F81" s="48">
        <f>IF(TRIM(Raw_Data!F72&amp;"")="","Not Specified",Raw_Data!F72)</f>
        <v/>
      </c>
      <c r="G81" s="48">
        <f>Raw_Data!G72</f>
        <v/>
      </c>
      <c r="H81" s="48">
        <f>Raw_Data!H72</f>
        <v/>
      </c>
      <c r="I81" s="49">
        <f>IF(Raw_Data!I72="","",Raw_Data!I72)</f>
        <v/>
      </c>
      <c r="J81" s="49">
        <f>IF(Raw_Data!J72="","",Raw_Data!J72)</f>
        <v/>
      </c>
      <c r="K81" s="48">
        <f>IF(TRIM(Raw_Data!K72&amp;"")="","Not Specified",Raw_Data!K72)</f>
        <v/>
      </c>
      <c r="L81" s="56">
        <f>Raw_Data!L72</f>
        <v/>
      </c>
      <c r="M81" s="49">
        <f>IF(OR(I81="",J81=""),"",(I81+J81)/2)</f>
        <v/>
      </c>
      <c r="N81" s="49">
        <f>IF(OR(I81="",J81=""),"",J81-I81)</f>
        <v/>
      </c>
      <c r="O81" s="48">
        <f>TEXT(L81,"mmm-yyyy")</f>
        <v/>
      </c>
      <c r="P81" s="48">
        <f>_xlfn.IFS(ISNUMBER(SEARCH("data analy",B81)),"Data Analyst",ISNUMBER(SEARCH("business analy",B81)),"Business Analyst",OR(ISNUMBER(SEARCH("developer",B81)),ISNUMBER(SEARCH("software engineer",B81)),ISNUMBER(SEARCH("programmer",B81))),"Software Developer",ISNUMBER(SEARCH("business development",B81)),"Business Development",ISNUMBER(SEARCH("sales",B81)),"Sales Executive",ISNUMBER(SEARCH("marketing",B81)),"Marketing Executive",OR(ISNUMBER(SEARCH("hr ",B81)),ISNUMBER(SEARCH("recruit",B81)),ISNUMBER(SEARCH("human resource",B81))),"HR / Recruiter",OR(ISNUMBER(SEARCH("account",B81)),ISNUMBER(SEARCH("finance",B81)),ISNUMBER(SEARCH("tax",B81)),ISNUMBER(SEARCH("audit",B81))),"Accountant / Finance",OR(ISNUMBER(SEARCH("customer service",B81)),ISNUMBER(SEARCH("customer support",B81)),ISNUMBER(SEARCH("customer care",B81)),ISNUMBER(SEARCH("voice process",B81)),ISNUMBER(SEARCH("bpo",B81))),"Customer Support",ISNUMBER(SEARCH("engineer",B81)),"Engineer (Technical)",ISNUMBER(SEARCH("manager",B81)),"Manager",OR(ISNUMBER(SEARCH("teacher",B81)),ISNUMBER(SEARCH("trainer",B81)),ISNUMBER(SEARCH("faculty",B81))),"Teacher / Trainer",OR(ISNUMBER(SEARCH("doctor",B81)),ISNUMBER(SEARCH("nurse",B81)),ISNUMBER(SEARCH("medical",B81)),ISNUMBER(SEARCH("pharma",B81)),ISNUMBER(SEARCH("clinical",B81))),"Healthcare",TRUE,"Other")</f>
        <v/>
      </c>
      <c r="Q81" s="48">
        <f>IF(COUNTIFS($B$11:B81,B81,$C$11:C81,C81,$D$11:D81,D81,$L$11:L81,L81)&gt;1,"Duplicate","Unique")</f>
        <v/>
      </c>
    </row>
    <row r="82">
      <c r="A82" s="48">
        <f>Raw_Data!A73</f>
        <v/>
      </c>
      <c r="B82" s="48">
        <f>PROPER(TRIM(Raw_Data!B73))</f>
        <v/>
      </c>
      <c r="C82" s="48">
        <f>TRIM(Raw_Data!C73)</f>
        <v/>
      </c>
      <c r="D82" s="48">
        <f>IF(PROPER(TRIM(Raw_Data!D73))="Bangalore","Bengaluru",IF(PROPER(TRIM(Raw_Data!D73))="Gurgaon","Gurugram",IF(OR(PROPER(TRIM(Raw_Data!D73))="New Delhi",PROPER(TRIM(Raw_Data!D73))="Delhi"),"Delhi",PROPER(TRIM(Raw_Data!D73)))))</f>
        <v/>
      </c>
      <c r="E82" s="48">
        <f>Raw_Data!E73</f>
        <v/>
      </c>
      <c r="F82" s="48">
        <f>IF(TRIM(Raw_Data!F73&amp;"")="","Not Specified",Raw_Data!F73)</f>
        <v/>
      </c>
      <c r="G82" s="48">
        <f>Raw_Data!G73</f>
        <v/>
      </c>
      <c r="H82" s="48">
        <f>Raw_Data!H73</f>
        <v/>
      </c>
      <c r="I82" s="49">
        <f>IF(Raw_Data!I73="","",Raw_Data!I73)</f>
        <v/>
      </c>
      <c r="J82" s="49">
        <f>IF(Raw_Data!J73="","",Raw_Data!J73)</f>
        <v/>
      </c>
      <c r="K82" s="48">
        <f>IF(TRIM(Raw_Data!K73&amp;"")="","Not Specified",Raw_Data!K73)</f>
        <v/>
      </c>
      <c r="L82" s="56">
        <f>Raw_Data!L73</f>
        <v/>
      </c>
      <c r="M82" s="49">
        <f>IF(OR(I82="",J82=""),"",(I82+J82)/2)</f>
        <v/>
      </c>
      <c r="N82" s="49">
        <f>IF(OR(I82="",J82=""),"",J82-I82)</f>
        <v/>
      </c>
      <c r="O82" s="48">
        <f>TEXT(L82,"mmm-yyyy")</f>
        <v/>
      </c>
      <c r="P82" s="48">
        <f>_xlfn.IFS(ISNUMBER(SEARCH("data analy",B82)),"Data Analyst",ISNUMBER(SEARCH("business analy",B82)),"Business Analyst",OR(ISNUMBER(SEARCH("developer",B82)),ISNUMBER(SEARCH("software engineer",B82)),ISNUMBER(SEARCH("programmer",B82))),"Software Developer",ISNUMBER(SEARCH("business development",B82)),"Business Development",ISNUMBER(SEARCH("sales",B82)),"Sales Executive",ISNUMBER(SEARCH("marketing",B82)),"Marketing Executive",OR(ISNUMBER(SEARCH("hr ",B82)),ISNUMBER(SEARCH("recruit",B82)),ISNUMBER(SEARCH("human resource",B82))),"HR / Recruiter",OR(ISNUMBER(SEARCH("account",B82)),ISNUMBER(SEARCH("finance",B82)),ISNUMBER(SEARCH("tax",B82)),ISNUMBER(SEARCH("audit",B82))),"Accountant / Finance",OR(ISNUMBER(SEARCH("customer service",B82)),ISNUMBER(SEARCH("customer support",B82)),ISNUMBER(SEARCH("customer care",B82)),ISNUMBER(SEARCH("voice process",B82)),ISNUMBER(SEARCH("bpo",B82))),"Customer Support",ISNUMBER(SEARCH("engineer",B82)),"Engineer (Technical)",ISNUMBER(SEARCH("manager",B82)),"Manager",OR(ISNUMBER(SEARCH("teacher",B82)),ISNUMBER(SEARCH("trainer",B82)),ISNUMBER(SEARCH("faculty",B82))),"Teacher / Trainer",OR(ISNUMBER(SEARCH("doctor",B82)),ISNUMBER(SEARCH("nurse",B82)),ISNUMBER(SEARCH("medical",B82)),ISNUMBER(SEARCH("pharma",B82)),ISNUMBER(SEARCH("clinical",B82))),"Healthcare",TRUE,"Other")</f>
        <v/>
      </c>
      <c r="Q82" s="48">
        <f>IF(COUNTIFS($B$11:B82,B82,$C$11:C82,C82,$D$11:D82,D82,$L$11:L82,L82)&gt;1,"Duplicate","Unique")</f>
        <v/>
      </c>
    </row>
    <row r="83">
      <c r="A83" s="48">
        <f>Raw_Data!A74</f>
        <v/>
      </c>
      <c r="B83" s="48">
        <f>PROPER(TRIM(Raw_Data!B74))</f>
        <v/>
      </c>
      <c r="C83" s="48">
        <f>TRIM(Raw_Data!C74)</f>
        <v/>
      </c>
      <c r="D83" s="48">
        <f>IF(PROPER(TRIM(Raw_Data!D74))="Bangalore","Bengaluru",IF(PROPER(TRIM(Raw_Data!D74))="Gurgaon","Gurugram",IF(OR(PROPER(TRIM(Raw_Data!D74))="New Delhi",PROPER(TRIM(Raw_Data!D74))="Delhi"),"Delhi",PROPER(TRIM(Raw_Data!D74)))))</f>
        <v/>
      </c>
      <c r="E83" s="48">
        <f>Raw_Data!E74</f>
        <v/>
      </c>
      <c r="F83" s="48">
        <f>IF(TRIM(Raw_Data!F74&amp;"")="","Not Specified",Raw_Data!F74)</f>
        <v/>
      </c>
      <c r="G83" s="48">
        <f>Raw_Data!G74</f>
        <v/>
      </c>
      <c r="H83" s="48">
        <f>Raw_Data!H74</f>
        <v/>
      </c>
      <c r="I83" s="49">
        <f>IF(Raw_Data!I74="","",Raw_Data!I74)</f>
        <v/>
      </c>
      <c r="J83" s="49">
        <f>IF(Raw_Data!J74="","",Raw_Data!J74)</f>
        <v/>
      </c>
      <c r="K83" s="48">
        <f>IF(TRIM(Raw_Data!K74&amp;"")="","Not Specified",Raw_Data!K74)</f>
        <v/>
      </c>
      <c r="L83" s="56">
        <f>Raw_Data!L74</f>
        <v/>
      </c>
      <c r="M83" s="49">
        <f>IF(OR(I83="",J83=""),"",(I83+J83)/2)</f>
        <v/>
      </c>
      <c r="N83" s="49">
        <f>IF(OR(I83="",J83=""),"",J83-I83)</f>
        <v/>
      </c>
      <c r="O83" s="48">
        <f>TEXT(L83,"mmm-yyyy")</f>
        <v/>
      </c>
      <c r="P83" s="48">
        <f>_xlfn.IFS(ISNUMBER(SEARCH("data analy",B83)),"Data Analyst",ISNUMBER(SEARCH("business analy",B83)),"Business Analyst",OR(ISNUMBER(SEARCH("developer",B83)),ISNUMBER(SEARCH("software engineer",B83)),ISNUMBER(SEARCH("programmer",B83))),"Software Developer",ISNUMBER(SEARCH("business development",B83)),"Business Development",ISNUMBER(SEARCH("sales",B83)),"Sales Executive",ISNUMBER(SEARCH("marketing",B83)),"Marketing Executive",OR(ISNUMBER(SEARCH("hr ",B83)),ISNUMBER(SEARCH("recruit",B83)),ISNUMBER(SEARCH("human resource",B83))),"HR / Recruiter",OR(ISNUMBER(SEARCH("account",B83)),ISNUMBER(SEARCH("finance",B83)),ISNUMBER(SEARCH("tax",B83)),ISNUMBER(SEARCH("audit",B83))),"Accountant / Finance",OR(ISNUMBER(SEARCH("customer service",B83)),ISNUMBER(SEARCH("customer support",B83)),ISNUMBER(SEARCH("customer care",B83)),ISNUMBER(SEARCH("voice process",B83)),ISNUMBER(SEARCH("bpo",B83))),"Customer Support",ISNUMBER(SEARCH("engineer",B83)),"Engineer (Technical)",ISNUMBER(SEARCH("manager",B83)),"Manager",OR(ISNUMBER(SEARCH("teacher",B83)),ISNUMBER(SEARCH("trainer",B83)),ISNUMBER(SEARCH("faculty",B83))),"Teacher / Trainer",OR(ISNUMBER(SEARCH("doctor",B83)),ISNUMBER(SEARCH("nurse",B83)),ISNUMBER(SEARCH("medical",B83)),ISNUMBER(SEARCH("pharma",B83)),ISNUMBER(SEARCH("clinical",B83))),"Healthcare",TRUE,"Other")</f>
        <v/>
      </c>
      <c r="Q83" s="48">
        <f>IF(COUNTIFS($B$11:B83,B83,$C$11:C83,C83,$D$11:D83,D83,$L$11:L83,L83)&gt;1,"Duplicate","Unique")</f>
        <v/>
      </c>
    </row>
    <row r="84">
      <c r="A84" s="48">
        <f>Raw_Data!A75</f>
        <v/>
      </c>
      <c r="B84" s="48">
        <f>PROPER(TRIM(Raw_Data!B75))</f>
        <v/>
      </c>
      <c r="C84" s="48">
        <f>TRIM(Raw_Data!C75)</f>
        <v/>
      </c>
      <c r="D84" s="48">
        <f>IF(PROPER(TRIM(Raw_Data!D75))="Bangalore","Bengaluru",IF(PROPER(TRIM(Raw_Data!D75))="Gurgaon","Gurugram",IF(OR(PROPER(TRIM(Raw_Data!D75))="New Delhi",PROPER(TRIM(Raw_Data!D75))="Delhi"),"Delhi",PROPER(TRIM(Raw_Data!D75)))))</f>
        <v/>
      </c>
      <c r="E84" s="48">
        <f>Raw_Data!E75</f>
        <v/>
      </c>
      <c r="F84" s="48">
        <f>IF(TRIM(Raw_Data!F75&amp;"")="","Not Specified",Raw_Data!F75)</f>
        <v/>
      </c>
      <c r="G84" s="48">
        <f>Raw_Data!G75</f>
        <v/>
      </c>
      <c r="H84" s="48">
        <f>Raw_Data!H75</f>
        <v/>
      </c>
      <c r="I84" s="49">
        <f>IF(Raw_Data!I75="","",Raw_Data!I75)</f>
        <v/>
      </c>
      <c r="J84" s="49">
        <f>IF(Raw_Data!J75="","",Raw_Data!J75)</f>
        <v/>
      </c>
      <c r="K84" s="48">
        <f>IF(TRIM(Raw_Data!K75&amp;"")="","Not Specified",Raw_Data!K75)</f>
        <v/>
      </c>
      <c r="L84" s="56">
        <f>Raw_Data!L75</f>
        <v/>
      </c>
      <c r="M84" s="49">
        <f>IF(OR(I84="",J84=""),"",(I84+J84)/2)</f>
        <v/>
      </c>
      <c r="N84" s="49">
        <f>IF(OR(I84="",J84=""),"",J84-I84)</f>
        <v/>
      </c>
      <c r="O84" s="48">
        <f>TEXT(L84,"mmm-yyyy")</f>
        <v/>
      </c>
      <c r="P84" s="48">
        <f>_xlfn.IFS(ISNUMBER(SEARCH("data analy",B84)),"Data Analyst",ISNUMBER(SEARCH("business analy",B84)),"Business Analyst",OR(ISNUMBER(SEARCH("developer",B84)),ISNUMBER(SEARCH("software engineer",B84)),ISNUMBER(SEARCH("programmer",B84))),"Software Developer",ISNUMBER(SEARCH("business development",B84)),"Business Development",ISNUMBER(SEARCH("sales",B84)),"Sales Executive",ISNUMBER(SEARCH("marketing",B84)),"Marketing Executive",OR(ISNUMBER(SEARCH("hr ",B84)),ISNUMBER(SEARCH("recruit",B84)),ISNUMBER(SEARCH("human resource",B84))),"HR / Recruiter",OR(ISNUMBER(SEARCH("account",B84)),ISNUMBER(SEARCH("finance",B84)),ISNUMBER(SEARCH("tax",B84)),ISNUMBER(SEARCH("audit",B84))),"Accountant / Finance",OR(ISNUMBER(SEARCH("customer service",B84)),ISNUMBER(SEARCH("customer support",B84)),ISNUMBER(SEARCH("customer care",B84)),ISNUMBER(SEARCH("voice process",B84)),ISNUMBER(SEARCH("bpo",B84))),"Customer Support",ISNUMBER(SEARCH("engineer",B84)),"Engineer (Technical)",ISNUMBER(SEARCH("manager",B84)),"Manager",OR(ISNUMBER(SEARCH("teacher",B84)),ISNUMBER(SEARCH("trainer",B84)),ISNUMBER(SEARCH("faculty",B84))),"Teacher / Trainer",OR(ISNUMBER(SEARCH("doctor",B84)),ISNUMBER(SEARCH("nurse",B84)),ISNUMBER(SEARCH("medical",B84)),ISNUMBER(SEARCH("pharma",B84)),ISNUMBER(SEARCH("clinical",B84))),"Healthcare",TRUE,"Other")</f>
        <v/>
      </c>
      <c r="Q84" s="48">
        <f>IF(COUNTIFS($B$11:B84,B84,$C$11:C84,C84,$D$11:D84,D84,$L$11:L84,L84)&gt;1,"Duplicate","Unique")</f>
        <v/>
      </c>
    </row>
    <row r="85">
      <c r="A85" s="48">
        <f>Raw_Data!A76</f>
        <v/>
      </c>
      <c r="B85" s="48">
        <f>PROPER(TRIM(Raw_Data!B76))</f>
        <v/>
      </c>
      <c r="C85" s="48">
        <f>TRIM(Raw_Data!C76)</f>
        <v/>
      </c>
      <c r="D85" s="48">
        <f>IF(PROPER(TRIM(Raw_Data!D76))="Bangalore","Bengaluru",IF(PROPER(TRIM(Raw_Data!D76))="Gurgaon","Gurugram",IF(OR(PROPER(TRIM(Raw_Data!D76))="New Delhi",PROPER(TRIM(Raw_Data!D76))="Delhi"),"Delhi",PROPER(TRIM(Raw_Data!D76)))))</f>
        <v/>
      </c>
      <c r="E85" s="48">
        <f>Raw_Data!E76</f>
        <v/>
      </c>
      <c r="F85" s="48">
        <f>IF(TRIM(Raw_Data!F76&amp;"")="","Not Specified",Raw_Data!F76)</f>
        <v/>
      </c>
      <c r="G85" s="48">
        <f>Raw_Data!G76</f>
        <v/>
      </c>
      <c r="H85" s="48">
        <f>Raw_Data!H76</f>
        <v/>
      </c>
      <c r="I85" s="49">
        <f>IF(Raw_Data!I76="","",Raw_Data!I76)</f>
        <v/>
      </c>
      <c r="J85" s="49">
        <f>IF(Raw_Data!J76="","",Raw_Data!J76)</f>
        <v/>
      </c>
      <c r="K85" s="48">
        <f>IF(TRIM(Raw_Data!K76&amp;"")="","Not Specified",Raw_Data!K76)</f>
        <v/>
      </c>
      <c r="L85" s="56">
        <f>Raw_Data!L76</f>
        <v/>
      </c>
      <c r="M85" s="49">
        <f>IF(OR(I85="",J85=""),"",(I85+J85)/2)</f>
        <v/>
      </c>
      <c r="N85" s="49">
        <f>IF(OR(I85="",J85=""),"",J85-I85)</f>
        <v/>
      </c>
      <c r="O85" s="48">
        <f>TEXT(L85,"mmm-yyyy")</f>
        <v/>
      </c>
      <c r="P85" s="48">
        <f>_xlfn.IFS(ISNUMBER(SEARCH("data analy",B85)),"Data Analyst",ISNUMBER(SEARCH("business analy",B85)),"Business Analyst",OR(ISNUMBER(SEARCH("developer",B85)),ISNUMBER(SEARCH("software engineer",B85)),ISNUMBER(SEARCH("programmer",B85))),"Software Developer",ISNUMBER(SEARCH("business development",B85)),"Business Development",ISNUMBER(SEARCH("sales",B85)),"Sales Executive",ISNUMBER(SEARCH("marketing",B85)),"Marketing Executive",OR(ISNUMBER(SEARCH("hr ",B85)),ISNUMBER(SEARCH("recruit",B85)),ISNUMBER(SEARCH("human resource",B85))),"HR / Recruiter",OR(ISNUMBER(SEARCH("account",B85)),ISNUMBER(SEARCH("finance",B85)),ISNUMBER(SEARCH("tax",B85)),ISNUMBER(SEARCH("audit",B85))),"Accountant / Finance",OR(ISNUMBER(SEARCH("customer service",B85)),ISNUMBER(SEARCH("customer support",B85)),ISNUMBER(SEARCH("customer care",B85)),ISNUMBER(SEARCH("voice process",B85)),ISNUMBER(SEARCH("bpo",B85))),"Customer Support",ISNUMBER(SEARCH("engineer",B85)),"Engineer (Technical)",ISNUMBER(SEARCH("manager",B85)),"Manager",OR(ISNUMBER(SEARCH("teacher",B85)),ISNUMBER(SEARCH("trainer",B85)),ISNUMBER(SEARCH("faculty",B85))),"Teacher / Trainer",OR(ISNUMBER(SEARCH("doctor",B85)),ISNUMBER(SEARCH("nurse",B85)),ISNUMBER(SEARCH("medical",B85)),ISNUMBER(SEARCH("pharma",B85)),ISNUMBER(SEARCH("clinical",B85))),"Healthcare",TRUE,"Other")</f>
        <v/>
      </c>
      <c r="Q85" s="48">
        <f>IF(COUNTIFS($B$11:B85,B85,$C$11:C85,C85,$D$11:D85,D85,$L$11:L85,L85)&gt;1,"Duplicate","Unique")</f>
        <v/>
      </c>
    </row>
    <row r="86">
      <c r="A86" s="48">
        <f>Raw_Data!A77</f>
        <v/>
      </c>
      <c r="B86" s="48">
        <f>PROPER(TRIM(Raw_Data!B77))</f>
        <v/>
      </c>
      <c r="C86" s="48">
        <f>TRIM(Raw_Data!C77)</f>
        <v/>
      </c>
      <c r="D86" s="48">
        <f>IF(PROPER(TRIM(Raw_Data!D77))="Bangalore","Bengaluru",IF(PROPER(TRIM(Raw_Data!D77))="Gurgaon","Gurugram",IF(OR(PROPER(TRIM(Raw_Data!D77))="New Delhi",PROPER(TRIM(Raw_Data!D77))="Delhi"),"Delhi",PROPER(TRIM(Raw_Data!D77)))))</f>
        <v/>
      </c>
      <c r="E86" s="48">
        <f>Raw_Data!E77</f>
        <v/>
      </c>
      <c r="F86" s="48">
        <f>IF(TRIM(Raw_Data!F77&amp;"")="","Not Specified",Raw_Data!F77)</f>
        <v/>
      </c>
      <c r="G86" s="48">
        <f>Raw_Data!G77</f>
        <v/>
      </c>
      <c r="H86" s="48">
        <f>Raw_Data!H77</f>
        <v/>
      </c>
      <c r="I86" s="49">
        <f>IF(Raw_Data!I77="","",Raw_Data!I77)</f>
        <v/>
      </c>
      <c r="J86" s="49">
        <f>IF(Raw_Data!J77="","",Raw_Data!J77)</f>
        <v/>
      </c>
      <c r="K86" s="48">
        <f>IF(TRIM(Raw_Data!K77&amp;"")="","Not Specified",Raw_Data!K77)</f>
        <v/>
      </c>
      <c r="L86" s="56">
        <f>Raw_Data!L77</f>
        <v/>
      </c>
      <c r="M86" s="49">
        <f>IF(OR(I86="",J86=""),"",(I86+J86)/2)</f>
        <v/>
      </c>
      <c r="N86" s="49">
        <f>IF(OR(I86="",J86=""),"",J86-I86)</f>
        <v/>
      </c>
      <c r="O86" s="48">
        <f>TEXT(L86,"mmm-yyyy")</f>
        <v/>
      </c>
      <c r="P86" s="48">
        <f>_xlfn.IFS(ISNUMBER(SEARCH("data analy",B86)),"Data Analyst",ISNUMBER(SEARCH("business analy",B86)),"Business Analyst",OR(ISNUMBER(SEARCH("developer",B86)),ISNUMBER(SEARCH("software engineer",B86)),ISNUMBER(SEARCH("programmer",B86))),"Software Developer",ISNUMBER(SEARCH("business development",B86)),"Business Development",ISNUMBER(SEARCH("sales",B86)),"Sales Executive",ISNUMBER(SEARCH("marketing",B86)),"Marketing Executive",OR(ISNUMBER(SEARCH("hr ",B86)),ISNUMBER(SEARCH("recruit",B86)),ISNUMBER(SEARCH("human resource",B86))),"HR / Recruiter",OR(ISNUMBER(SEARCH("account",B86)),ISNUMBER(SEARCH("finance",B86)),ISNUMBER(SEARCH("tax",B86)),ISNUMBER(SEARCH("audit",B86))),"Accountant / Finance",OR(ISNUMBER(SEARCH("customer service",B86)),ISNUMBER(SEARCH("customer support",B86)),ISNUMBER(SEARCH("customer care",B86)),ISNUMBER(SEARCH("voice process",B86)),ISNUMBER(SEARCH("bpo",B86))),"Customer Support",ISNUMBER(SEARCH("engineer",B86)),"Engineer (Technical)",ISNUMBER(SEARCH("manager",B86)),"Manager",OR(ISNUMBER(SEARCH("teacher",B86)),ISNUMBER(SEARCH("trainer",B86)),ISNUMBER(SEARCH("faculty",B86))),"Teacher / Trainer",OR(ISNUMBER(SEARCH("doctor",B86)),ISNUMBER(SEARCH("nurse",B86)),ISNUMBER(SEARCH("medical",B86)),ISNUMBER(SEARCH("pharma",B86)),ISNUMBER(SEARCH("clinical",B86))),"Healthcare",TRUE,"Other")</f>
        <v/>
      </c>
      <c r="Q86" s="48">
        <f>IF(COUNTIFS($B$11:B86,B86,$C$11:C86,C86,$D$11:D86,D86,$L$11:L86,L86)&gt;1,"Duplicate","Unique")</f>
        <v/>
      </c>
    </row>
    <row r="87">
      <c r="A87" s="48">
        <f>Raw_Data!A78</f>
        <v/>
      </c>
      <c r="B87" s="48">
        <f>PROPER(TRIM(Raw_Data!B78))</f>
        <v/>
      </c>
      <c r="C87" s="48">
        <f>TRIM(Raw_Data!C78)</f>
        <v/>
      </c>
      <c r="D87" s="48">
        <f>IF(PROPER(TRIM(Raw_Data!D78))="Bangalore","Bengaluru",IF(PROPER(TRIM(Raw_Data!D78))="Gurgaon","Gurugram",IF(OR(PROPER(TRIM(Raw_Data!D78))="New Delhi",PROPER(TRIM(Raw_Data!D78))="Delhi"),"Delhi",PROPER(TRIM(Raw_Data!D78)))))</f>
        <v/>
      </c>
      <c r="E87" s="48">
        <f>Raw_Data!E78</f>
        <v/>
      </c>
      <c r="F87" s="48">
        <f>IF(TRIM(Raw_Data!F78&amp;"")="","Not Specified",Raw_Data!F78)</f>
        <v/>
      </c>
      <c r="G87" s="48">
        <f>Raw_Data!G78</f>
        <v/>
      </c>
      <c r="H87" s="48">
        <f>Raw_Data!H78</f>
        <v/>
      </c>
      <c r="I87" s="49">
        <f>IF(Raw_Data!I78="","",Raw_Data!I78)</f>
        <v/>
      </c>
      <c r="J87" s="49">
        <f>IF(Raw_Data!J78="","",Raw_Data!J78)</f>
        <v/>
      </c>
      <c r="K87" s="48">
        <f>IF(TRIM(Raw_Data!K78&amp;"")="","Not Specified",Raw_Data!K78)</f>
        <v/>
      </c>
      <c r="L87" s="56">
        <f>Raw_Data!L78</f>
        <v/>
      </c>
      <c r="M87" s="49">
        <f>IF(OR(I87="",J87=""),"",(I87+J87)/2)</f>
        <v/>
      </c>
      <c r="N87" s="49">
        <f>IF(OR(I87="",J87=""),"",J87-I87)</f>
        <v/>
      </c>
      <c r="O87" s="48">
        <f>TEXT(L87,"mmm-yyyy")</f>
        <v/>
      </c>
      <c r="P87" s="48">
        <f>_xlfn.IFS(ISNUMBER(SEARCH("data analy",B87)),"Data Analyst",ISNUMBER(SEARCH("business analy",B87)),"Business Analyst",OR(ISNUMBER(SEARCH("developer",B87)),ISNUMBER(SEARCH("software engineer",B87)),ISNUMBER(SEARCH("programmer",B87))),"Software Developer",ISNUMBER(SEARCH("business development",B87)),"Business Development",ISNUMBER(SEARCH("sales",B87)),"Sales Executive",ISNUMBER(SEARCH("marketing",B87)),"Marketing Executive",OR(ISNUMBER(SEARCH("hr ",B87)),ISNUMBER(SEARCH("recruit",B87)),ISNUMBER(SEARCH("human resource",B87))),"HR / Recruiter",OR(ISNUMBER(SEARCH("account",B87)),ISNUMBER(SEARCH("finance",B87)),ISNUMBER(SEARCH("tax",B87)),ISNUMBER(SEARCH("audit",B87))),"Accountant / Finance",OR(ISNUMBER(SEARCH("customer service",B87)),ISNUMBER(SEARCH("customer support",B87)),ISNUMBER(SEARCH("customer care",B87)),ISNUMBER(SEARCH("voice process",B87)),ISNUMBER(SEARCH("bpo",B87))),"Customer Support",ISNUMBER(SEARCH("engineer",B87)),"Engineer (Technical)",ISNUMBER(SEARCH("manager",B87)),"Manager",OR(ISNUMBER(SEARCH("teacher",B87)),ISNUMBER(SEARCH("trainer",B87)),ISNUMBER(SEARCH("faculty",B87))),"Teacher / Trainer",OR(ISNUMBER(SEARCH("doctor",B87)),ISNUMBER(SEARCH("nurse",B87)),ISNUMBER(SEARCH("medical",B87)),ISNUMBER(SEARCH("pharma",B87)),ISNUMBER(SEARCH("clinical",B87))),"Healthcare",TRUE,"Other")</f>
        <v/>
      </c>
      <c r="Q87" s="48">
        <f>IF(COUNTIFS($B$11:B87,B87,$C$11:C87,C87,$D$11:D87,D87,$L$11:L87,L87)&gt;1,"Duplicate","Unique")</f>
        <v/>
      </c>
    </row>
    <row r="88">
      <c r="A88" s="48">
        <f>Raw_Data!A79</f>
        <v/>
      </c>
      <c r="B88" s="48">
        <f>PROPER(TRIM(Raw_Data!B79))</f>
        <v/>
      </c>
      <c r="C88" s="48">
        <f>TRIM(Raw_Data!C79)</f>
        <v/>
      </c>
      <c r="D88" s="48">
        <f>IF(PROPER(TRIM(Raw_Data!D79))="Bangalore","Bengaluru",IF(PROPER(TRIM(Raw_Data!D79))="Gurgaon","Gurugram",IF(OR(PROPER(TRIM(Raw_Data!D79))="New Delhi",PROPER(TRIM(Raw_Data!D79))="Delhi"),"Delhi",PROPER(TRIM(Raw_Data!D79)))))</f>
        <v/>
      </c>
      <c r="E88" s="48">
        <f>Raw_Data!E79</f>
        <v/>
      </c>
      <c r="F88" s="48">
        <f>IF(TRIM(Raw_Data!F79&amp;"")="","Not Specified",Raw_Data!F79)</f>
        <v/>
      </c>
      <c r="G88" s="48">
        <f>Raw_Data!G79</f>
        <v/>
      </c>
      <c r="H88" s="48">
        <f>Raw_Data!H79</f>
        <v/>
      </c>
      <c r="I88" s="49">
        <f>IF(Raw_Data!I79="","",Raw_Data!I79)</f>
        <v/>
      </c>
      <c r="J88" s="49">
        <f>IF(Raw_Data!J79="","",Raw_Data!J79)</f>
        <v/>
      </c>
      <c r="K88" s="48">
        <f>IF(TRIM(Raw_Data!K79&amp;"")="","Not Specified",Raw_Data!K79)</f>
        <v/>
      </c>
      <c r="L88" s="56">
        <f>Raw_Data!L79</f>
        <v/>
      </c>
      <c r="M88" s="49">
        <f>IF(OR(I88="",J88=""),"",(I88+J88)/2)</f>
        <v/>
      </c>
      <c r="N88" s="49">
        <f>IF(OR(I88="",J88=""),"",J88-I88)</f>
        <v/>
      </c>
      <c r="O88" s="48">
        <f>TEXT(L88,"mmm-yyyy")</f>
        <v/>
      </c>
      <c r="P88" s="48">
        <f>_xlfn.IFS(ISNUMBER(SEARCH("data analy",B88)),"Data Analyst",ISNUMBER(SEARCH("business analy",B88)),"Business Analyst",OR(ISNUMBER(SEARCH("developer",B88)),ISNUMBER(SEARCH("software engineer",B88)),ISNUMBER(SEARCH("programmer",B88))),"Software Developer",ISNUMBER(SEARCH("business development",B88)),"Business Development",ISNUMBER(SEARCH("sales",B88)),"Sales Executive",ISNUMBER(SEARCH("marketing",B88)),"Marketing Executive",OR(ISNUMBER(SEARCH("hr ",B88)),ISNUMBER(SEARCH("recruit",B88)),ISNUMBER(SEARCH("human resource",B88))),"HR / Recruiter",OR(ISNUMBER(SEARCH("account",B88)),ISNUMBER(SEARCH("finance",B88)),ISNUMBER(SEARCH("tax",B88)),ISNUMBER(SEARCH("audit",B88))),"Accountant / Finance",OR(ISNUMBER(SEARCH("customer service",B88)),ISNUMBER(SEARCH("customer support",B88)),ISNUMBER(SEARCH("customer care",B88)),ISNUMBER(SEARCH("voice process",B88)),ISNUMBER(SEARCH("bpo",B88))),"Customer Support",ISNUMBER(SEARCH("engineer",B88)),"Engineer (Technical)",ISNUMBER(SEARCH("manager",B88)),"Manager",OR(ISNUMBER(SEARCH("teacher",B88)),ISNUMBER(SEARCH("trainer",B88)),ISNUMBER(SEARCH("faculty",B88))),"Teacher / Trainer",OR(ISNUMBER(SEARCH("doctor",B88)),ISNUMBER(SEARCH("nurse",B88)),ISNUMBER(SEARCH("medical",B88)),ISNUMBER(SEARCH("pharma",B88)),ISNUMBER(SEARCH("clinical",B88))),"Healthcare",TRUE,"Other")</f>
        <v/>
      </c>
      <c r="Q88" s="48">
        <f>IF(COUNTIFS($B$11:B88,B88,$C$11:C88,C88,$D$11:D88,D88,$L$11:L88,L88)&gt;1,"Duplicate","Unique")</f>
        <v/>
      </c>
    </row>
    <row r="89">
      <c r="A89" s="48">
        <f>Raw_Data!A80</f>
        <v/>
      </c>
      <c r="B89" s="48">
        <f>PROPER(TRIM(Raw_Data!B80))</f>
        <v/>
      </c>
      <c r="C89" s="48">
        <f>TRIM(Raw_Data!C80)</f>
        <v/>
      </c>
      <c r="D89" s="48">
        <f>IF(PROPER(TRIM(Raw_Data!D80))="Bangalore","Bengaluru",IF(PROPER(TRIM(Raw_Data!D80))="Gurgaon","Gurugram",IF(OR(PROPER(TRIM(Raw_Data!D80))="New Delhi",PROPER(TRIM(Raw_Data!D80))="Delhi"),"Delhi",PROPER(TRIM(Raw_Data!D80)))))</f>
        <v/>
      </c>
      <c r="E89" s="48">
        <f>Raw_Data!E80</f>
        <v/>
      </c>
      <c r="F89" s="48">
        <f>IF(TRIM(Raw_Data!F80&amp;"")="","Not Specified",Raw_Data!F80)</f>
        <v/>
      </c>
      <c r="G89" s="48">
        <f>Raw_Data!G80</f>
        <v/>
      </c>
      <c r="H89" s="48">
        <f>Raw_Data!H80</f>
        <v/>
      </c>
      <c r="I89" s="49">
        <f>IF(Raw_Data!I80="","",Raw_Data!I80)</f>
        <v/>
      </c>
      <c r="J89" s="49">
        <f>IF(Raw_Data!J80="","",Raw_Data!J80)</f>
        <v/>
      </c>
      <c r="K89" s="48">
        <f>IF(TRIM(Raw_Data!K80&amp;"")="","Not Specified",Raw_Data!K80)</f>
        <v/>
      </c>
      <c r="L89" s="56">
        <f>Raw_Data!L80</f>
        <v/>
      </c>
      <c r="M89" s="49">
        <f>IF(OR(I89="",J89=""),"",(I89+J89)/2)</f>
        <v/>
      </c>
      <c r="N89" s="49">
        <f>IF(OR(I89="",J89=""),"",J89-I89)</f>
        <v/>
      </c>
      <c r="O89" s="48">
        <f>TEXT(L89,"mmm-yyyy")</f>
        <v/>
      </c>
      <c r="P89" s="48">
        <f>_xlfn.IFS(ISNUMBER(SEARCH("data analy",B89)),"Data Analyst",ISNUMBER(SEARCH("business analy",B89)),"Business Analyst",OR(ISNUMBER(SEARCH("developer",B89)),ISNUMBER(SEARCH("software engineer",B89)),ISNUMBER(SEARCH("programmer",B89))),"Software Developer",ISNUMBER(SEARCH("business development",B89)),"Business Development",ISNUMBER(SEARCH("sales",B89)),"Sales Executive",ISNUMBER(SEARCH("marketing",B89)),"Marketing Executive",OR(ISNUMBER(SEARCH("hr ",B89)),ISNUMBER(SEARCH("recruit",B89)),ISNUMBER(SEARCH("human resource",B89))),"HR / Recruiter",OR(ISNUMBER(SEARCH("account",B89)),ISNUMBER(SEARCH("finance",B89)),ISNUMBER(SEARCH("tax",B89)),ISNUMBER(SEARCH("audit",B89))),"Accountant / Finance",OR(ISNUMBER(SEARCH("customer service",B89)),ISNUMBER(SEARCH("customer support",B89)),ISNUMBER(SEARCH("customer care",B89)),ISNUMBER(SEARCH("voice process",B89)),ISNUMBER(SEARCH("bpo",B89))),"Customer Support",ISNUMBER(SEARCH("engineer",B89)),"Engineer (Technical)",ISNUMBER(SEARCH("manager",B89)),"Manager",OR(ISNUMBER(SEARCH("teacher",B89)),ISNUMBER(SEARCH("trainer",B89)),ISNUMBER(SEARCH("faculty",B89))),"Teacher / Trainer",OR(ISNUMBER(SEARCH("doctor",B89)),ISNUMBER(SEARCH("nurse",B89)),ISNUMBER(SEARCH("medical",B89)),ISNUMBER(SEARCH("pharma",B89)),ISNUMBER(SEARCH("clinical",B89))),"Healthcare",TRUE,"Other")</f>
        <v/>
      </c>
      <c r="Q89" s="48">
        <f>IF(COUNTIFS($B$11:B89,B89,$C$11:C89,C89,$D$11:D89,D89,$L$11:L89,L89)&gt;1,"Duplicate","Unique")</f>
        <v/>
      </c>
    </row>
    <row r="90">
      <c r="A90" s="48">
        <f>Raw_Data!A81</f>
        <v/>
      </c>
      <c r="B90" s="48">
        <f>PROPER(TRIM(Raw_Data!B81))</f>
        <v/>
      </c>
      <c r="C90" s="48">
        <f>TRIM(Raw_Data!C81)</f>
        <v/>
      </c>
      <c r="D90" s="48">
        <f>IF(PROPER(TRIM(Raw_Data!D81))="Bangalore","Bengaluru",IF(PROPER(TRIM(Raw_Data!D81))="Gurgaon","Gurugram",IF(OR(PROPER(TRIM(Raw_Data!D81))="New Delhi",PROPER(TRIM(Raw_Data!D81))="Delhi"),"Delhi",PROPER(TRIM(Raw_Data!D81)))))</f>
        <v/>
      </c>
      <c r="E90" s="48">
        <f>Raw_Data!E81</f>
        <v/>
      </c>
      <c r="F90" s="48">
        <f>IF(TRIM(Raw_Data!F81&amp;"")="","Not Specified",Raw_Data!F81)</f>
        <v/>
      </c>
      <c r="G90" s="48">
        <f>Raw_Data!G81</f>
        <v/>
      </c>
      <c r="H90" s="48">
        <f>Raw_Data!H81</f>
        <v/>
      </c>
      <c r="I90" s="49">
        <f>IF(Raw_Data!I81="","",Raw_Data!I81)</f>
        <v/>
      </c>
      <c r="J90" s="49">
        <f>IF(Raw_Data!J81="","",Raw_Data!J81)</f>
        <v/>
      </c>
      <c r="K90" s="48">
        <f>IF(TRIM(Raw_Data!K81&amp;"")="","Not Specified",Raw_Data!K81)</f>
        <v/>
      </c>
      <c r="L90" s="56">
        <f>Raw_Data!L81</f>
        <v/>
      </c>
      <c r="M90" s="49">
        <f>IF(OR(I90="",J90=""),"",(I90+J90)/2)</f>
        <v/>
      </c>
      <c r="N90" s="49">
        <f>IF(OR(I90="",J90=""),"",J90-I90)</f>
        <v/>
      </c>
      <c r="O90" s="48">
        <f>TEXT(L90,"mmm-yyyy")</f>
        <v/>
      </c>
      <c r="P90" s="48">
        <f>_xlfn.IFS(ISNUMBER(SEARCH("data analy",B90)),"Data Analyst",ISNUMBER(SEARCH("business analy",B90)),"Business Analyst",OR(ISNUMBER(SEARCH("developer",B90)),ISNUMBER(SEARCH("software engineer",B90)),ISNUMBER(SEARCH("programmer",B90))),"Software Developer",ISNUMBER(SEARCH("business development",B90)),"Business Development",ISNUMBER(SEARCH("sales",B90)),"Sales Executive",ISNUMBER(SEARCH("marketing",B90)),"Marketing Executive",OR(ISNUMBER(SEARCH("hr ",B90)),ISNUMBER(SEARCH("recruit",B90)),ISNUMBER(SEARCH("human resource",B90))),"HR / Recruiter",OR(ISNUMBER(SEARCH("account",B90)),ISNUMBER(SEARCH("finance",B90)),ISNUMBER(SEARCH("tax",B90)),ISNUMBER(SEARCH("audit",B90))),"Accountant / Finance",OR(ISNUMBER(SEARCH("customer service",B90)),ISNUMBER(SEARCH("customer support",B90)),ISNUMBER(SEARCH("customer care",B90)),ISNUMBER(SEARCH("voice process",B90)),ISNUMBER(SEARCH("bpo",B90))),"Customer Support",ISNUMBER(SEARCH("engineer",B90)),"Engineer (Technical)",ISNUMBER(SEARCH("manager",B90)),"Manager",OR(ISNUMBER(SEARCH("teacher",B90)),ISNUMBER(SEARCH("trainer",B90)),ISNUMBER(SEARCH("faculty",B90))),"Teacher / Trainer",OR(ISNUMBER(SEARCH("doctor",B90)),ISNUMBER(SEARCH("nurse",B90)),ISNUMBER(SEARCH("medical",B90)),ISNUMBER(SEARCH("pharma",B90)),ISNUMBER(SEARCH("clinical",B90))),"Healthcare",TRUE,"Other")</f>
        <v/>
      </c>
      <c r="Q90" s="48">
        <f>IF(COUNTIFS($B$11:B90,B90,$C$11:C90,C90,$D$11:D90,D90,$L$11:L90,L90)&gt;1,"Duplicate","Unique")</f>
        <v/>
      </c>
    </row>
    <row r="91">
      <c r="A91" s="48">
        <f>Raw_Data!A82</f>
        <v/>
      </c>
      <c r="B91" s="48">
        <f>PROPER(TRIM(Raw_Data!B82))</f>
        <v/>
      </c>
      <c r="C91" s="48">
        <f>TRIM(Raw_Data!C82)</f>
        <v/>
      </c>
      <c r="D91" s="48">
        <f>IF(PROPER(TRIM(Raw_Data!D82))="Bangalore","Bengaluru",IF(PROPER(TRIM(Raw_Data!D82))="Gurgaon","Gurugram",IF(OR(PROPER(TRIM(Raw_Data!D82))="New Delhi",PROPER(TRIM(Raw_Data!D82))="Delhi"),"Delhi",PROPER(TRIM(Raw_Data!D82)))))</f>
        <v/>
      </c>
      <c r="E91" s="48">
        <f>Raw_Data!E82</f>
        <v/>
      </c>
      <c r="F91" s="48">
        <f>IF(TRIM(Raw_Data!F82&amp;"")="","Not Specified",Raw_Data!F82)</f>
        <v/>
      </c>
      <c r="G91" s="48">
        <f>Raw_Data!G82</f>
        <v/>
      </c>
      <c r="H91" s="48">
        <f>Raw_Data!H82</f>
        <v/>
      </c>
      <c r="I91" s="49">
        <f>IF(Raw_Data!I82="","",Raw_Data!I82)</f>
        <v/>
      </c>
      <c r="J91" s="49">
        <f>IF(Raw_Data!J82="","",Raw_Data!J82)</f>
        <v/>
      </c>
      <c r="K91" s="48">
        <f>IF(TRIM(Raw_Data!K82&amp;"")="","Not Specified",Raw_Data!K82)</f>
        <v/>
      </c>
      <c r="L91" s="56">
        <f>Raw_Data!L82</f>
        <v/>
      </c>
      <c r="M91" s="49">
        <f>IF(OR(I91="",J91=""),"",(I91+J91)/2)</f>
        <v/>
      </c>
      <c r="N91" s="49">
        <f>IF(OR(I91="",J91=""),"",J91-I91)</f>
        <v/>
      </c>
      <c r="O91" s="48">
        <f>TEXT(L91,"mmm-yyyy")</f>
        <v/>
      </c>
      <c r="P91" s="48">
        <f>_xlfn.IFS(ISNUMBER(SEARCH("data analy",B91)),"Data Analyst",ISNUMBER(SEARCH("business analy",B91)),"Business Analyst",OR(ISNUMBER(SEARCH("developer",B91)),ISNUMBER(SEARCH("software engineer",B91)),ISNUMBER(SEARCH("programmer",B91))),"Software Developer",ISNUMBER(SEARCH("business development",B91)),"Business Development",ISNUMBER(SEARCH("sales",B91)),"Sales Executive",ISNUMBER(SEARCH("marketing",B91)),"Marketing Executive",OR(ISNUMBER(SEARCH("hr ",B91)),ISNUMBER(SEARCH("recruit",B91)),ISNUMBER(SEARCH("human resource",B91))),"HR / Recruiter",OR(ISNUMBER(SEARCH("account",B91)),ISNUMBER(SEARCH("finance",B91)),ISNUMBER(SEARCH("tax",B91)),ISNUMBER(SEARCH("audit",B91))),"Accountant / Finance",OR(ISNUMBER(SEARCH("customer service",B91)),ISNUMBER(SEARCH("customer support",B91)),ISNUMBER(SEARCH("customer care",B91)),ISNUMBER(SEARCH("voice process",B91)),ISNUMBER(SEARCH("bpo",B91))),"Customer Support",ISNUMBER(SEARCH("engineer",B91)),"Engineer (Technical)",ISNUMBER(SEARCH("manager",B91)),"Manager",OR(ISNUMBER(SEARCH("teacher",B91)),ISNUMBER(SEARCH("trainer",B91)),ISNUMBER(SEARCH("faculty",B91))),"Teacher / Trainer",OR(ISNUMBER(SEARCH("doctor",B91)),ISNUMBER(SEARCH("nurse",B91)),ISNUMBER(SEARCH("medical",B91)),ISNUMBER(SEARCH("pharma",B91)),ISNUMBER(SEARCH("clinical",B91))),"Healthcare",TRUE,"Other")</f>
        <v/>
      </c>
      <c r="Q91" s="48">
        <f>IF(COUNTIFS($B$11:B91,B91,$C$11:C91,C91,$D$11:D91,D91,$L$11:L91,L91)&gt;1,"Duplicate","Unique")</f>
        <v/>
      </c>
    </row>
    <row r="92">
      <c r="A92" s="48">
        <f>Raw_Data!A83</f>
        <v/>
      </c>
      <c r="B92" s="48">
        <f>PROPER(TRIM(Raw_Data!B83))</f>
        <v/>
      </c>
      <c r="C92" s="48">
        <f>TRIM(Raw_Data!C83)</f>
        <v/>
      </c>
      <c r="D92" s="48">
        <f>IF(PROPER(TRIM(Raw_Data!D83))="Bangalore","Bengaluru",IF(PROPER(TRIM(Raw_Data!D83))="Gurgaon","Gurugram",IF(OR(PROPER(TRIM(Raw_Data!D83))="New Delhi",PROPER(TRIM(Raw_Data!D83))="Delhi"),"Delhi",PROPER(TRIM(Raw_Data!D83)))))</f>
        <v/>
      </c>
      <c r="E92" s="48">
        <f>Raw_Data!E83</f>
        <v/>
      </c>
      <c r="F92" s="48">
        <f>IF(TRIM(Raw_Data!F83&amp;"")="","Not Specified",Raw_Data!F83)</f>
        <v/>
      </c>
      <c r="G92" s="48">
        <f>Raw_Data!G83</f>
        <v/>
      </c>
      <c r="H92" s="48">
        <f>Raw_Data!H83</f>
        <v/>
      </c>
      <c r="I92" s="49">
        <f>IF(Raw_Data!I83="","",Raw_Data!I83)</f>
        <v/>
      </c>
      <c r="J92" s="49">
        <f>IF(Raw_Data!J83="","",Raw_Data!J83)</f>
        <v/>
      </c>
      <c r="K92" s="48">
        <f>IF(TRIM(Raw_Data!K83&amp;"")="","Not Specified",Raw_Data!K83)</f>
        <v/>
      </c>
      <c r="L92" s="56">
        <f>Raw_Data!L83</f>
        <v/>
      </c>
      <c r="M92" s="49">
        <f>IF(OR(I92="",J92=""),"",(I92+J92)/2)</f>
        <v/>
      </c>
      <c r="N92" s="49">
        <f>IF(OR(I92="",J92=""),"",J92-I92)</f>
        <v/>
      </c>
      <c r="O92" s="48">
        <f>TEXT(L92,"mmm-yyyy")</f>
        <v/>
      </c>
      <c r="P92" s="48">
        <f>_xlfn.IFS(ISNUMBER(SEARCH("data analy",B92)),"Data Analyst",ISNUMBER(SEARCH("business analy",B92)),"Business Analyst",OR(ISNUMBER(SEARCH("developer",B92)),ISNUMBER(SEARCH("software engineer",B92)),ISNUMBER(SEARCH("programmer",B92))),"Software Developer",ISNUMBER(SEARCH("business development",B92)),"Business Development",ISNUMBER(SEARCH("sales",B92)),"Sales Executive",ISNUMBER(SEARCH("marketing",B92)),"Marketing Executive",OR(ISNUMBER(SEARCH("hr ",B92)),ISNUMBER(SEARCH("recruit",B92)),ISNUMBER(SEARCH("human resource",B92))),"HR / Recruiter",OR(ISNUMBER(SEARCH("account",B92)),ISNUMBER(SEARCH("finance",B92)),ISNUMBER(SEARCH("tax",B92)),ISNUMBER(SEARCH("audit",B92))),"Accountant / Finance",OR(ISNUMBER(SEARCH("customer service",B92)),ISNUMBER(SEARCH("customer support",B92)),ISNUMBER(SEARCH("customer care",B92)),ISNUMBER(SEARCH("voice process",B92)),ISNUMBER(SEARCH("bpo",B92))),"Customer Support",ISNUMBER(SEARCH("engineer",B92)),"Engineer (Technical)",ISNUMBER(SEARCH("manager",B92)),"Manager",OR(ISNUMBER(SEARCH("teacher",B92)),ISNUMBER(SEARCH("trainer",B92)),ISNUMBER(SEARCH("faculty",B92))),"Teacher / Trainer",OR(ISNUMBER(SEARCH("doctor",B92)),ISNUMBER(SEARCH("nurse",B92)),ISNUMBER(SEARCH("medical",B92)),ISNUMBER(SEARCH("pharma",B92)),ISNUMBER(SEARCH("clinical",B92))),"Healthcare",TRUE,"Other")</f>
        <v/>
      </c>
      <c r="Q92" s="48">
        <f>IF(COUNTIFS($B$11:B92,B92,$C$11:C92,C92,$D$11:D92,D92,$L$11:L92,L92)&gt;1,"Duplicate","Unique")</f>
        <v/>
      </c>
    </row>
    <row r="93">
      <c r="A93" s="48">
        <f>Raw_Data!A84</f>
        <v/>
      </c>
      <c r="B93" s="48">
        <f>PROPER(TRIM(Raw_Data!B84))</f>
        <v/>
      </c>
      <c r="C93" s="48">
        <f>TRIM(Raw_Data!C84)</f>
        <v/>
      </c>
      <c r="D93" s="48">
        <f>IF(PROPER(TRIM(Raw_Data!D84))="Bangalore","Bengaluru",IF(PROPER(TRIM(Raw_Data!D84))="Gurgaon","Gurugram",IF(OR(PROPER(TRIM(Raw_Data!D84))="New Delhi",PROPER(TRIM(Raw_Data!D84))="Delhi"),"Delhi",PROPER(TRIM(Raw_Data!D84)))))</f>
        <v/>
      </c>
      <c r="E93" s="48">
        <f>Raw_Data!E84</f>
        <v/>
      </c>
      <c r="F93" s="48">
        <f>IF(TRIM(Raw_Data!F84&amp;"")="","Not Specified",Raw_Data!F84)</f>
        <v/>
      </c>
      <c r="G93" s="48">
        <f>Raw_Data!G84</f>
        <v/>
      </c>
      <c r="H93" s="48">
        <f>Raw_Data!H84</f>
        <v/>
      </c>
      <c r="I93" s="49">
        <f>IF(Raw_Data!I84="","",Raw_Data!I84)</f>
        <v/>
      </c>
      <c r="J93" s="49">
        <f>IF(Raw_Data!J84="","",Raw_Data!J84)</f>
        <v/>
      </c>
      <c r="K93" s="48">
        <f>IF(TRIM(Raw_Data!K84&amp;"")="","Not Specified",Raw_Data!K84)</f>
        <v/>
      </c>
      <c r="L93" s="56">
        <f>Raw_Data!L84</f>
        <v/>
      </c>
      <c r="M93" s="49">
        <f>IF(OR(I93="",J93=""),"",(I93+J93)/2)</f>
        <v/>
      </c>
      <c r="N93" s="49">
        <f>IF(OR(I93="",J93=""),"",J93-I93)</f>
        <v/>
      </c>
      <c r="O93" s="48">
        <f>TEXT(L93,"mmm-yyyy")</f>
        <v/>
      </c>
      <c r="P93" s="48">
        <f>_xlfn.IFS(ISNUMBER(SEARCH("data analy",B93)),"Data Analyst",ISNUMBER(SEARCH("business analy",B93)),"Business Analyst",OR(ISNUMBER(SEARCH("developer",B93)),ISNUMBER(SEARCH("software engineer",B93)),ISNUMBER(SEARCH("programmer",B93))),"Software Developer",ISNUMBER(SEARCH("business development",B93)),"Business Development",ISNUMBER(SEARCH("sales",B93)),"Sales Executive",ISNUMBER(SEARCH("marketing",B93)),"Marketing Executive",OR(ISNUMBER(SEARCH("hr ",B93)),ISNUMBER(SEARCH("recruit",B93)),ISNUMBER(SEARCH("human resource",B93))),"HR / Recruiter",OR(ISNUMBER(SEARCH("account",B93)),ISNUMBER(SEARCH("finance",B93)),ISNUMBER(SEARCH("tax",B93)),ISNUMBER(SEARCH("audit",B93))),"Accountant / Finance",OR(ISNUMBER(SEARCH("customer service",B93)),ISNUMBER(SEARCH("customer support",B93)),ISNUMBER(SEARCH("customer care",B93)),ISNUMBER(SEARCH("voice process",B93)),ISNUMBER(SEARCH("bpo",B93))),"Customer Support",ISNUMBER(SEARCH("engineer",B93)),"Engineer (Technical)",ISNUMBER(SEARCH("manager",B93)),"Manager",OR(ISNUMBER(SEARCH("teacher",B93)),ISNUMBER(SEARCH("trainer",B93)),ISNUMBER(SEARCH("faculty",B93))),"Teacher / Trainer",OR(ISNUMBER(SEARCH("doctor",B93)),ISNUMBER(SEARCH("nurse",B93)),ISNUMBER(SEARCH("medical",B93)),ISNUMBER(SEARCH("pharma",B93)),ISNUMBER(SEARCH("clinical",B93))),"Healthcare",TRUE,"Other")</f>
        <v/>
      </c>
      <c r="Q93" s="48">
        <f>IF(COUNTIFS($B$11:B93,B93,$C$11:C93,C93,$D$11:D93,D93,$L$11:L93,L93)&gt;1,"Duplicate","Unique")</f>
        <v/>
      </c>
    </row>
    <row r="94">
      <c r="A94" s="48">
        <f>Raw_Data!A85</f>
        <v/>
      </c>
      <c r="B94" s="48">
        <f>PROPER(TRIM(Raw_Data!B85))</f>
        <v/>
      </c>
      <c r="C94" s="48">
        <f>TRIM(Raw_Data!C85)</f>
        <v/>
      </c>
      <c r="D94" s="48">
        <f>IF(PROPER(TRIM(Raw_Data!D85))="Bangalore","Bengaluru",IF(PROPER(TRIM(Raw_Data!D85))="Gurgaon","Gurugram",IF(OR(PROPER(TRIM(Raw_Data!D85))="New Delhi",PROPER(TRIM(Raw_Data!D85))="Delhi"),"Delhi",PROPER(TRIM(Raw_Data!D85)))))</f>
        <v/>
      </c>
      <c r="E94" s="48">
        <f>Raw_Data!E85</f>
        <v/>
      </c>
      <c r="F94" s="48">
        <f>IF(TRIM(Raw_Data!F85&amp;"")="","Not Specified",Raw_Data!F85)</f>
        <v/>
      </c>
      <c r="G94" s="48">
        <f>Raw_Data!G85</f>
        <v/>
      </c>
      <c r="H94" s="48">
        <f>Raw_Data!H85</f>
        <v/>
      </c>
      <c r="I94" s="49">
        <f>IF(Raw_Data!I85="","",Raw_Data!I85)</f>
        <v/>
      </c>
      <c r="J94" s="49">
        <f>IF(Raw_Data!J85="","",Raw_Data!J85)</f>
        <v/>
      </c>
      <c r="K94" s="48">
        <f>IF(TRIM(Raw_Data!K85&amp;"")="","Not Specified",Raw_Data!K85)</f>
        <v/>
      </c>
      <c r="L94" s="56">
        <f>Raw_Data!L85</f>
        <v/>
      </c>
      <c r="M94" s="49">
        <f>IF(OR(I94="",J94=""),"",(I94+J94)/2)</f>
        <v/>
      </c>
      <c r="N94" s="49">
        <f>IF(OR(I94="",J94=""),"",J94-I94)</f>
        <v/>
      </c>
      <c r="O94" s="48">
        <f>TEXT(L94,"mmm-yyyy")</f>
        <v/>
      </c>
      <c r="P94" s="48">
        <f>_xlfn.IFS(ISNUMBER(SEARCH("data analy",B94)),"Data Analyst",ISNUMBER(SEARCH("business analy",B94)),"Business Analyst",OR(ISNUMBER(SEARCH("developer",B94)),ISNUMBER(SEARCH("software engineer",B94)),ISNUMBER(SEARCH("programmer",B94))),"Software Developer",ISNUMBER(SEARCH("business development",B94)),"Business Development",ISNUMBER(SEARCH("sales",B94)),"Sales Executive",ISNUMBER(SEARCH("marketing",B94)),"Marketing Executive",OR(ISNUMBER(SEARCH("hr ",B94)),ISNUMBER(SEARCH("recruit",B94)),ISNUMBER(SEARCH("human resource",B94))),"HR / Recruiter",OR(ISNUMBER(SEARCH("account",B94)),ISNUMBER(SEARCH("finance",B94)),ISNUMBER(SEARCH("tax",B94)),ISNUMBER(SEARCH("audit",B94))),"Accountant / Finance",OR(ISNUMBER(SEARCH("customer service",B94)),ISNUMBER(SEARCH("customer support",B94)),ISNUMBER(SEARCH("customer care",B94)),ISNUMBER(SEARCH("voice process",B94)),ISNUMBER(SEARCH("bpo",B94))),"Customer Support",ISNUMBER(SEARCH("engineer",B94)),"Engineer (Technical)",ISNUMBER(SEARCH("manager",B94)),"Manager",OR(ISNUMBER(SEARCH("teacher",B94)),ISNUMBER(SEARCH("trainer",B94)),ISNUMBER(SEARCH("faculty",B94))),"Teacher / Trainer",OR(ISNUMBER(SEARCH("doctor",B94)),ISNUMBER(SEARCH("nurse",B94)),ISNUMBER(SEARCH("medical",B94)),ISNUMBER(SEARCH("pharma",B94)),ISNUMBER(SEARCH("clinical",B94))),"Healthcare",TRUE,"Other")</f>
        <v/>
      </c>
      <c r="Q94" s="48">
        <f>IF(COUNTIFS($B$11:B94,B94,$C$11:C94,C94,$D$11:D94,D94,$L$11:L94,L94)&gt;1,"Duplicate","Unique")</f>
        <v/>
      </c>
    </row>
    <row r="95">
      <c r="A95" s="48">
        <f>Raw_Data!A86</f>
        <v/>
      </c>
      <c r="B95" s="48">
        <f>PROPER(TRIM(Raw_Data!B86))</f>
        <v/>
      </c>
      <c r="C95" s="48">
        <f>TRIM(Raw_Data!C86)</f>
        <v/>
      </c>
      <c r="D95" s="48">
        <f>IF(PROPER(TRIM(Raw_Data!D86))="Bangalore","Bengaluru",IF(PROPER(TRIM(Raw_Data!D86))="Gurgaon","Gurugram",IF(OR(PROPER(TRIM(Raw_Data!D86))="New Delhi",PROPER(TRIM(Raw_Data!D86))="Delhi"),"Delhi",PROPER(TRIM(Raw_Data!D86)))))</f>
        <v/>
      </c>
      <c r="E95" s="48">
        <f>Raw_Data!E86</f>
        <v/>
      </c>
      <c r="F95" s="48">
        <f>IF(TRIM(Raw_Data!F86&amp;"")="","Not Specified",Raw_Data!F86)</f>
        <v/>
      </c>
      <c r="G95" s="48">
        <f>Raw_Data!G86</f>
        <v/>
      </c>
      <c r="H95" s="48">
        <f>Raw_Data!H86</f>
        <v/>
      </c>
      <c r="I95" s="49">
        <f>IF(Raw_Data!I86="","",Raw_Data!I86)</f>
        <v/>
      </c>
      <c r="J95" s="49">
        <f>IF(Raw_Data!J86="","",Raw_Data!J86)</f>
        <v/>
      </c>
      <c r="K95" s="48">
        <f>IF(TRIM(Raw_Data!K86&amp;"")="","Not Specified",Raw_Data!K86)</f>
        <v/>
      </c>
      <c r="L95" s="56">
        <f>Raw_Data!L86</f>
        <v/>
      </c>
      <c r="M95" s="49">
        <f>IF(OR(I95="",J95=""),"",(I95+J95)/2)</f>
        <v/>
      </c>
      <c r="N95" s="49">
        <f>IF(OR(I95="",J95=""),"",J95-I95)</f>
        <v/>
      </c>
      <c r="O95" s="48">
        <f>TEXT(L95,"mmm-yyyy")</f>
        <v/>
      </c>
      <c r="P95" s="48">
        <f>_xlfn.IFS(ISNUMBER(SEARCH("data analy",B95)),"Data Analyst",ISNUMBER(SEARCH("business analy",B95)),"Business Analyst",OR(ISNUMBER(SEARCH("developer",B95)),ISNUMBER(SEARCH("software engineer",B95)),ISNUMBER(SEARCH("programmer",B95))),"Software Developer",ISNUMBER(SEARCH("business development",B95)),"Business Development",ISNUMBER(SEARCH("sales",B95)),"Sales Executive",ISNUMBER(SEARCH("marketing",B95)),"Marketing Executive",OR(ISNUMBER(SEARCH("hr ",B95)),ISNUMBER(SEARCH("recruit",B95)),ISNUMBER(SEARCH("human resource",B95))),"HR / Recruiter",OR(ISNUMBER(SEARCH("account",B95)),ISNUMBER(SEARCH("finance",B95)),ISNUMBER(SEARCH("tax",B95)),ISNUMBER(SEARCH("audit",B95))),"Accountant / Finance",OR(ISNUMBER(SEARCH("customer service",B95)),ISNUMBER(SEARCH("customer support",B95)),ISNUMBER(SEARCH("customer care",B95)),ISNUMBER(SEARCH("voice process",B95)),ISNUMBER(SEARCH("bpo",B95))),"Customer Support",ISNUMBER(SEARCH("engineer",B95)),"Engineer (Technical)",ISNUMBER(SEARCH("manager",B95)),"Manager",OR(ISNUMBER(SEARCH("teacher",B95)),ISNUMBER(SEARCH("trainer",B95)),ISNUMBER(SEARCH("faculty",B95))),"Teacher / Trainer",OR(ISNUMBER(SEARCH("doctor",B95)),ISNUMBER(SEARCH("nurse",B95)),ISNUMBER(SEARCH("medical",B95)),ISNUMBER(SEARCH("pharma",B95)),ISNUMBER(SEARCH("clinical",B95))),"Healthcare",TRUE,"Other")</f>
        <v/>
      </c>
      <c r="Q95" s="48">
        <f>IF(COUNTIFS($B$11:B95,B95,$C$11:C95,C95,$D$11:D95,D95,$L$11:L95,L95)&gt;1,"Duplicate","Unique")</f>
        <v/>
      </c>
    </row>
    <row r="96">
      <c r="A96" s="48">
        <f>Raw_Data!A87</f>
        <v/>
      </c>
      <c r="B96" s="48">
        <f>PROPER(TRIM(Raw_Data!B87))</f>
        <v/>
      </c>
      <c r="C96" s="48">
        <f>TRIM(Raw_Data!C87)</f>
        <v/>
      </c>
      <c r="D96" s="48">
        <f>IF(PROPER(TRIM(Raw_Data!D87))="Bangalore","Bengaluru",IF(PROPER(TRIM(Raw_Data!D87))="Gurgaon","Gurugram",IF(OR(PROPER(TRIM(Raw_Data!D87))="New Delhi",PROPER(TRIM(Raw_Data!D87))="Delhi"),"Delhi",PROPER(TRIM(Raw_Data!D87)))))</f>
        <v/>
      </c>
      <c r="E96" s="48">
        <f>Raw_Data!E87</f>
        <v/>
      </c>
      <c r="F96" s="48">
        <f>IF(TRIM(Raw_Data!F87&amp;"")="","Not Specified",Raw_Data!F87)</f>
        <v/>
      </c>
      <c r="G96" s="48">
        <f>Raw_Data!G87</f>
        <v/>
      </c>
      <c r="H96" s="48">
        <f>Raw_Data!H87</f>
        <v/>
      </c>
      <c r="I96" s="49">
        <f>IF(Raw_Data!I87="","",Raw_Data!I87)</f>
        <v/>
      </c>
      <c r="J96" s="49">
        <f>IF(Raw_Data!J87="","",Raw_Data!J87)</f>
        <v/>
      </c>
      <c r="K96" s="48">
        <f>IF(TRIM(Raw_Data!K87&amp;"")="","Not Specified",Raw_Data!K87)</f>
        <v/>
      </c>
      <c r="L96" s="56">
        <f>Raw_Data!L87</f>
        <v/>
      </c>
      <c r="M96" s="49">
        <f>IF(OR(I96="",J96=""),"",(I96+J96)/2)</f>
        <v/>
      </c>
      <c r="N96" s="49">
        <f>IF(OR(I96="",J96=""),"",J96-I96)</f>
        <v/>
      </c>
      <c r="O96" s="48">
        <f>TEXT(L96,"mmm-yyyy")</f>
        <v/>
      </c>
      <c r="P96" s="48">
        <f>_xlfn.IFS(ISNUMBER(SEARCH("data analy",B96)),"Data Analyst",ISNUMBER(SEARCH("business analy",B96)),"Business Analyst",OR(ISNUMBER(SEARCH("developer",B96)),ISNUMBER(SEARCH("software engineer",B96)),ISNUMBER(SEARCH("programmer",B96))),"Software Developer",ISNUMBER(SEARCH("business development",B96)),"Business Development",ISNUMBER(SEARCH("sales",B96)),"Sales Executive",ISNUMBER(SEARCH("marketing",B96)),"Marketing Executive",OR(ISNUMBER(SEARCH("hr ",B96)),ISNUMBER(SEARCH("recruit",B96)),ISNUMBER(SEARCH("human resource",B96))),"HR / Recruiter",OR(ISNUMBER(SEARCH("account",B96)),ISNUMBER(SEARCH("finance",B96)),ISNUMBER(SEARCH("tax",B96)),ISNUMBER(SEARCH("audit",B96))),"Accountant / Finance",OR(ISNUMBER(SEARCH("customer service",B96)),ISNUMBER(SEARCH("customer support",B96)),ISNUMBER(SEARCH("customer care",B96)),ISNUMBER(SEARCH("voice process",B96)),ISNUMBER(SEARCH("bpo",B96))),"Customer Support",ISNUMBER(SEARCH("engineer",B96)),"Engineer (Technical)",ISNUMBER(SEARCH("manager",B96)),"Manager",OR(ISNUMBER(SEARCH("teacher",B96)),ISNUMBER(SEARCH("trainer",B96)),ISNUMBER(SEARCH("faculty",B96))),"Teacher / Trainer",OR(ISNUMBER(SEARCH("doctor",B96)),ISNUMBER(SEARCH("nurse",B96)),ISNUMBER(SEARCH("medical",B96)),ISNUMBER(SEARCH("pharma",B96)),ISNUMBER(SEARCH("clinical",B96))),"Healthcare",TRUE,"Other")</f>
        <v/>
      </c>
      <c r="Q96" s="48">
        <f>IF(COUNTIFS($B$11:B96,B96,$C$11:C96,C96,$D$11:D96,D96,$L$11:L96,L96)&gt;1,"Duplicate","Unique")</f>
        <v/>
      </c>
    </row>
    <row r="97">
      <c r="A97" s="48">
        <f>Raw_Data!A88</f>
        <v/>
      </c>
      <c r="B97" s="48">
        <f>PROPER(TRIM(Raw_Data!B88))</f>
        <v/>
      </c>
      <c r="C97" s="48">
        <f>TRIM(Raw_Data!C88)</f>
        <v/>
      </c>
      <c r="D97" s="48">
        <f>IF(PROPER(TRIM(Raw_Data!D88))="Bangalore","Bengaluru",IF(PROPER(TRIM(Raw_Data!D88))="Gurgaon","Gurugram",IF(OR(PROPER(TRIM(Raw_Data!D88))="New Delhi",PROPER(TRIM(Raw_Data!D88))="Delhi"),"Delhi",PROPER(TRIM(Raw_Data!D88)))))</f>
        <v/>
      </c>
      <c r="E97" s="48">
        <f>Raw_Data!E88</f>
        <v/>
      </c>
      <c r="F97" s="48">
        <f>IF(TRIM(Raw_Data!F88&amp;"")="","Not Specified",Raw_Data!F88)</f>
        <v/>
      </c>
      <c r="G97" s="48">
        <f>Raw_Data!G88</f>
        <v/>
      </c>
      <c r="H97" s="48">
        <f>Raw_Data!H88</f>
        <v/>
      </c>
      <c r="I97" s="49">
        <f>IF(Raw_Data!I88="","",Raw_Data!I88)</f>
        <v/>
      </c>
      <c r="J97" s="49">
        <f>IF(Raw_Data!J88="","",Raw_Data!J88)</f>
        <v/>
      </c>
      <c r="K97" s="48">
        <f>IF(TRIM(Raw_Data!K88&amp;"")="","Not Specified",Raw_Data!K88)</f>
        <v/>
      </c>
      <c r="L97" s="56">
        <f>Raw_Data!L88</f>
        <v/>
      </c>
      <c r="M97" s="49">
        <f>IF(OR(I97="",J97=""),"",(I97+J97)/2)</f>
        <v/>
      </c>
      <c r="N97" s="49">
        <f>IF(OR(I97="",J97=""),"",J97-I97)</f>
        <v/>
      </c>
      <c r="O97" s="48">
        <f>TEXT(L97,"mmm-yyyy")</f>
        <v/>
      </c>
      <c r="P97" s="48">
        <f>_xlfn.IFS(ISNUMBER(SEARCH("data analy",B97)),"Data Analyst",ISNUMBER(SEARCH("business analy",B97)),"Business Analyst",OR(ISNUMBER(SEARCH("developer",B97)),ISNUMBER(SEARCH("software engineer",B97)),ISNUMBER(SEARCH("programmer",B97))),"Software Developer",ISNUMBER(SEARCH("business development",B97)),"Business Development",ISNUMBER(SEARCH("sales",B97)),"Sales Executive",ISNUMBER(SEARCH("marketing",B97)),"Marketing Executive",OR(ISNUMBER(SEARCH("hr ",B97)),ISNUMBER(SEARCH("recruit",B97)),ISNUMBER(SEARCH("human resource",B97))),"HR / Recruiter",OR(ISNUMBER(SEARCH("account",B97)),ISNUMBER(SEARCH("finance",B97)),ISNUMBER(SEARCH("tax",B97)),ISNUMBER(SEARCH("audit",B97))),"Accountant / Finance",OR(ISNUMBER(SEARCH("customer service",B97)),ISNUMBER(SEARCH("customer support",B97)),ISNUMBER(SEARCH("customer care",B97)),ISNUMBER(SEARCH("voice process",B97)),ISNUMBER(SEARCH("bpo",B97))),"Customer Support",ISNUMBER(SEARCH("engineer",B97)),"Engineer (Technical)",ISNUMBER(SEARCH("manager",B97)),"Manager",OR(ISNUMBER(SEARCH("teacher",B97)),ISNUMBER(SEARCH("trainer",B97)),ISNUMBER(SEARCH("faculty",B97))),"Teacher / Trainer",OR(ISNUMBER(SEARCH("doctor",B97)),ISNUMBER(SEARCH("nurse",B97)),ISNUMBER(SEARCH("medical",B97)),ISNUMBER(SEARCH("pharma",B97)),ISNUMBER(SEARCH("clinical",B97))),"Healthcare",TRUE,"Other")</f>
        <v/>
      </c>
      <c r="Q97" s="48">
        <f>IF(COUNTIFS($B$11:B97,B97,$C$11:C97,C97,$D$11:D97,D97,$L$11:L97,L97)&gt;1,"Duplicate","Unique")</f>
        <v/>
      </c>
    </row>
    <row r="98">
      <c r="A98" s="48">
        <f>Raw_Data!A89</f>
        <v/>
      </c>
      <c r="B98" s="48">
        <f>PROPER(TRIM(Raw_Data!B89))</f>
        <v/>
      </c>
      <c r="C98" s="48">
        <f>TRIM(Raw_Data!C89)</f>
        <v/>
      </c>
      <c r="D98" s="48">
        <f>IF(PROPER(TRIM(Raw_Data!D89))="Bangalore","Bengaluru",IF(PROPER(TRIM(Raw_Data!D89))="Gurgaon","Gurugram",IF(OR(PROPER(TRIM(Raw_Data!D89))="New Delhi",PROPER(TRIM(Raw_Data!D89))="Delhi"),"Delhi",PROPER(TRIM(Raw_Data!D89)))))</f>
        <v/>
      </c>
      <c r="E98" s="48">
        <f>Raw_Data!E89</f>
        <v/>
      </c>
      <c r="F98" s="48">
        <f>IF(TRIM(Raw_Data!F89&amp;"")="","Not Specified",Raw_Data!F89)</f>
        <v/>
      </c>
      <c r="G98" s="48">
        <f>Raw_Data!G89</f>
        <v/>
      </c>
      <c r="H98" s="48">
        <f>Raw_Data!H89</f>
        <v/>
      </c>
      <c r="I98" s="49">
        <f>IF(Raw_Data!I89="","",Raw_Data!I89)</f>
        <v/>
      </c>
      <c r="J98" s="49">
        <f>IF(Raw_Data!J89="","",Raw_Data!J89)</f>
        <v/>
      </c>
      <c r="K98" s="48">
        <f>IF(TRIM(Raw_Data!K89&amp;"")="","Not Specified",Raw_Data!K89)</f>
        <v/>
      </c>
      <c r="L98" s="56">
        <f>Raw_Data!L89</f>
        <v/>
      </c>
      <c r="M98" s="49">
        <f>IF(OR(I98="",J98=""),"",(I98+J98)/2)</f>
        <v/>
      </c>
      <c r="N98" s="49">
        <f>IF(OR(I98="",J98=""),"",J98-I98)</f>
        <v/>
      </c>
      <c r="O98" s="48">
        <f>TEXT(L98,"mmm-yyyy")</f>
        <v/>
      </c>
      <c r="P98" s="48">
        <f>_xlfn.IFS(ISNUMBER(SEARCH("data analy",B98)),"Data Analyst",ISNUMBER(SEARCH("business analy",B98)),"Business Analyst",OR(ISNUMBER(SEARCH("developer",B98)),ISNUMBER(SEARCH("software engineer",B98)),ISNUMBER(SEARCH("programmer",B98))),"Software Developer",ISNUMBER(SEARCH("business development",B98)),"Business Development",ISNUMBER(SEARCH("sales",B98)),"Sales Executive",ISNUMBER(SEARCH("marketing",B98)),"Marketing Executive",OR(ISNUMBER(SEARCH("hr ",B98)),ISNUMBER(SEARCH("recruit",B98)),ISNUMBER(SEARCH("human resource",B98))),"HR / Recruiter",OR(ISNUMBER(SEARCH("account",B98)),ISNUMBER(SEARCH("finance",B98)),ISNUMBER(SEARCH("tax",B98)),ISNUMBER(SEARCH("audit",B98))),"Accountant / Finance",OR(ISNUMBER(SEARCH("customer service",B98)),ISNUMBER(SEARCH("customer support",B98)),ISNUMBER(SEARCH("customer care",B98)),ISNUMBER(SEARCH("voice process",B98)),ISNUMBER(SEARCH("bpo",B98))),"Customer Support",ISNUMBER(SEARCH("engineer",B98)),"Engineer (Technical)",ISNUMBER(SEARCH("manager",B98)),"Manager",OR(ISNUMBER(SEARCH("teacher",B98)),ISNUMBER(SEARCH("trainer",B98)),ISNUMBER(SEARCH("faculty",B98))),"Teacher / Trainer",OR(ISNUMBER(SEARCH("doctor",B98)),ISNUMBER(SEARCH("nurse",B98)),ISNUMBER(SEARCH("medical",B98)),ISNUMBER(SEARCH("pharma",B98)),ISNUMBER(SEARCH("clinical",B98))),"Healthcare",TRUE,"Other")</f>
        <v/>
      </c>
      <c r="Q98" s="48">
        <f>IF(COUNTIFS($B$11:B98,B98,$C$11:C98,C98,$D$11:D98,D98,$L$11:L98,L98)&gt;1,"Duplicate","Unique")</f>
        <v/>
      </c>
    </row>
    <row r="99">
      <c r="A99" s="48">
        <f>Raw_Data!A90</f>
        <v/>
      </c>
      <c r="B99" s="48">
        <f>PROPER(TRIM(Raw_Data!B90))</f>
        <v/>
      </c>
      <c r="C99" s="48">
        <f>TRIM(Raw_Data!C90)</f>
        <v/>
      </c>
      <c r="D99" s="48">
        <f>IF(PROPER(TRIM(Raw_Data!D90))="Bangalore","Bengaluru",IF(PROPER(TRIM(Raw_Data!D90))="Gurgaon","Gurugram",IF(OR(PROPER(TRIM(Raw_Data!D90))="New Delhi",PROPER(TRIM(Raw_Data!D90))="Delhi"),"Delhi",PROPER(TRIM(Raw_Data!D90)))))</f>
        <v/>
      </c>
      <c r="E99" s="48">
        <f>Raw_Data!E90</f>
        <v/>
      </c>
      <c r="F99" s="48">
        <f>IF(TRIM(Raw_Data!F90&amp;"")="","Not Specified",Raw_Data!F90)</f>
        <v/>
      </c>
      <c r="G99" s="48">
        <f>Raw_Data!G90</f>
        <v/>
      </c>
      <c r="H99" s="48">
        <f>Raw_Data!H90</f>
        <v/>
      </c>
      <c r="I99" s="49">
        <f>IF(Raw_Data!I90="","",Raw_Data!I90)</f>
        <v/>
      </c>
      <c r="J99" s="49">
        <f>IF(Raw_Data!J90="","",Raw_Data!J90)</f>
        <v/>
      </c>
      <c r="K99" s="48">
        <f>IF(TRIM(Raw_Data!K90&amp;"")="","Not Specified",Raw_Data!K90)</f>
        <v/>
      </c>
      <c r="L99" s="56">
        <f>Raw_Data!L90</f>
        <v/>
      </c>
      <c r="M99" s="49">
        <f>IF(OR(I99="",J99=""),"",(I99+J99)/2)</f>
        <v/>
      </c>
      <c r="N99" s="49">
        <f>IF(OR(I99="",J99=""),"",J99-I99)</f>
        <v/>
      </c>
      <c r="O99" s="48">
        <f>TEXT(L99,"mmm-yyyy")</f>
        <v/>
      </c>
      <c r="P99" s="48">
        <f>_xlfn.IFS(ISNUMBER(SEARCH("data analy",B99)),"Data Analyst",ISNUMBER(SEARCH("business analy",B99)),"Business Analyst",OR(ISNUMBER(SEARCH("developer",B99)),ISNUMBER(SEARCH("software engineer",B99)),ISNUMBER(SEARCH("programmer",B99))),"Software Developer",ISNUMBER(SEARCH("business development",B99)),"Business Development",ISNUMBER(SEARCH("sales",B99)),"Sales Executive",ISNUMBER(SEARCH("marketing",B99)),"Marketing Executive",OR(ISNUMBER(SEARCH("hr ",B99)),ISNUMBER(SEARCH("recruit",B99)),ISNUMBER(SEARCH("human resource",B99))),"HR / Recruiter",OR(ISNUMBER(SEARCH("account",B99)),ISNUMBER(SEARCH("finance",B99)),ISNUMBER(SEARCH("tax",B99)),ISNUMBER(SEARCH("audit",B99))),"Accountant / Finance",OR(ISNUMBER(SEARCH("customer service",B99)),ISNUMBER(SEARCH("customer support",B99)),ISNUMBER(SEARCH("customer care",B99)),ISNUMBER(SEARCH("voice process",B99)),ISNUMBER(SEARCH("bpo",B99))),"Customer Support",ISNUMBER(SEARCH("engineer",B99)),"Engineer (Technical)",ISNUMBER(SEARCH("manager",B99)),"Manager",OR(ISNUMBER(SEARCH("teacher",B99)),ISNUMBER(SEARCH("trainer",B99)),ISNUMBER(SEARCH("faculty",B99))),"Teacher / Trainer",OR(ISNUMBER(SEARCH("doctor",B99)),ISNUMBER(SEARCH("nurse",B99)),ISNUMBER(SEARCH("medical",B99)),ISNUMBER(SEARCH("pharma",B99)),ISNUMBER(SEARCH("clinical",B99))),"Healthcare",TRUE,"Other")</f>
        <v/>
      </c>
      <c r="Q99" s="48">
        <f>IF(COUNTIFS($B$11:B99,B99,$C$11:C99,C99,$D$11:D99,D99,$L$11:L99,L99)&gt;1,"Duplicate","Unique")</f>
        <v/>
      </c>
    </row>
    <row r="100">
      <c r="A100" s="48">
        <f>Raw_Data!A91</f>
        <v/>
      </c>
      <c r="B100" s="48">
        <f>PROPER(TRIM(Raw_Data!B91))</f>
        <v/>
      </c>
      <c r="C100" s="48">
        <f>TRIM(Raw_Data!C91)</f>
        <v/>
      </c>
      <c r="D100" s="48">
        <f>IF(PROPER(TRIM(Raw_Data!D91))="Bangalore","Bengaluru",IF(PROPER(TRIM(Raw_Data!D91))="Gurgaon","Gurugram",IF(OR(PROPER(TRIM(Raw_Data!D91))="New Delhi",PROPER(TRIM(Raw_Data!D91))="Delhi"),"Delhi",PROPER(TRIM(Raw_Data!D91)))))</f>
        <v/>
      </c>
      <c r="E100" s="48">
        <f>Raw_Data!E91</f>
        <v/>
      </c>
      <c r="F100" s="48">
        <f>IF(TRIM(Raw_Data!F91&amp;"")="","Not Specified",Raw_Data!F91)</f>
        <v/>
      </c>
      <c r="G100" s="48">
        <f>Raw_Data!G91</f>
        <v/>
      </c>
      <c r="H100" s="48">
        <f>Raw_Data!H91</f>
        <v/>
      </c>
      <c r="I100" s="49">
        <f>IF(Raw_Data!I91="","",Raw_Data!I91)</f>
        <v/>
      </c>
      <c r="J100" s="49">
        <f>IF(Raw_Data!J91="","",Raw_Data!J91)</f>
        <v/>
      </c>
      <c r="K100" s="48">
        <f>IF(TRIM(Raw_Data!K91&amp;"")="","Not Specified",Raw_Data!K91)</f>
        <v/>
      </c>
      <c r="L100" s="56">
        <f>Raw_Data!L91</f>
        <v/>
      </c>
      <c r="M100" s="49">
        <f>IF(OR(I100="",J100=""),"",(I100+J100)/2)</f>
        <v/>
      </c>
      <c r="N100" s="49">
        <f>IF(OR(I100="",J100=""),"",J100-I100)</f>
        <v/>
      </c>
      <c r="O100" s="48">
        <f>TEXT(L100,"mmm-yyyy")</f>
        <v/>
      </c>
      <c r="P100" s="48">
        <f>_xlfn.IFS(ISNUMBER(SEARCH("data analy",B100)),"Data Analyst",ISNUMBER(SEARCH("business analy",B100)),"Business Analyst",OR(ISNUMBER(SEARCH("developer",B100)),ISNUMBER(SEARCH("software engineer",B100)),ISNUMBER(SEARCH("programmer",B100))),"Software Developer",ISNUMBER(SEARCH("business development",B100)),"Business Development",ISNUMBER(SEARCH("sales",B100)),"Sales Executive",ISNUMBER(SEARCH("marketing",B100)),"Marketing Executive",OR(ISNUMBER(SEARCH("hr ",B100)),ISNUMBER(SEARCH("recruit",B100)),ISNUMBER(SEARCH("human resource",B100))),"HR / Recruiter",OR(ISNUMBER(SEARCH("account",B100)),ISNUMBER(SEARCH("finance",B100)),ISNUMBER(SEARCH("tax",B100)),ISNUMBER(SEARCH("audit",B100))),"Accountant / Finance",OR(ISNUMBER(SEARCH("customer service",B100)),ISNUMBER(SEARCH("customer support",B100)),ISNUMBER(SEARCH("customer care",B100)),ISNUMBER(SEARCH("voice process",B100)),ISNUMBER(SEARCH("bpo",B100))),"Customer Support",ISNUMBER(SEARCH("engineer",B100)),"Engineer (Technical)",ISNUMBER(SEARCH("manager",B100)),"Manager",OR(ISNUMBER(SEARCH("teacher",B100)),ISNUMBER(SEARCH("trainer",B100)),ISNUMBER(SEARCH("faculty",B100))),"Teacher / Trainer",OR(ISNUMBER(SEARCH("doctor",B100)),ISNUMBER(SEARCH("nurse",B100)),ISNUMBER(SEARCH("medical",B100)),ISNUMBER(SEARCH("pharma",B100)),ISNUMBER(SEARCH("clinical",B100))),"Healthcare",TRUE,"Other")</f>
        <v/>
      </c>
      <c r="Q100" s="48">
        <f>IF(COUNTIFS($B$11:B100,B100,$C$11:C100,C100,$D$11:D100,D100,$L$11:L100,L100)&gt;1,"Duplicate","Unique")</f>
        <v/>
      </c>
    </row>
    <row r="101">
      <c r="A101" s="48">
        <f>Raw_Data!A92</f>
        <v/>
      </c>
      <c r="B101" s="48">
        <f>PROPER(TRIM(Raw_Data!B92))</f>
        <v/>
      </c>
      <c r="C101" s="48">
        <f>TRIM(Raw_Data!C92)</f>
        <v/>
      </c>
      <c r="D101" s="48">
        <f>IF(PROPER(TRIM(Raw_Data!D92))="Bangalore","Bengaluru",IF(PROPER(TRIM(Raw_Data!D92))="Gurgaon","Gurugram",IF(OR(PROPER(TRIM(Raw_Data!D92))="New Delhi",PROPER(TRIM(Raw_Data!D92))="Delhi"),"Delhi",PROPER(TRIM(Raw_Data!D92)))))</f>
        <v/>
      </c>
      <c r="E101" s="48">
        <f>Raw_Data!E92</f>
        <v/>
      </c>
      <c r="F101" s="48">
        <f>IF(TRIM(Raw_Data!F92&amp;"")="","Not Specified",Raw_Data!F92)</f>
        <v/>
      </c>
      <c r="G101" s="48">
        <f>Raw_Data!G92</f>
        <v/>
      </c>
      <c r="H101" s="48">
        <f>Raw_Data!H92</f>
        <v/>
      </c>
      <c r="I101" s="49">
        <f>IF(Raw_Data!I92="","",Raw_Data!I92)</f>
        <v/>
      </c>
      <c r="J101" s="49">
        <f>IF(Raw_Data!J92="","",Raw_Data!J92)</f>
        <v/>
      </c>
      <c r="K101" s="48">
        <f>IF(TRIM(Raw_Data!K92&amp;"")="","Not Specified",Raw_Data!K92)</f>
        <v/>
      </c>
      <c r="L101" s="56">
        <f>Raw_Data!L92</f>
        <v/>
      </c>
      <c r="M101" s="49">
        <f>IF(OR(I101="",J101=""),"",(I101+J101)/2)</f>
        <v/>
      </c>
      <c r="N101" s="49">
        <f>IF(OR(I101="",J101=""),"",J101-I101)</f>
        <v/>
      </c>
      <c r="O101" s="48">
        <f>TEXT(L101,"mmm-yyyy")</f>
        <v/>
      </c>
      <c r="P101" s="48">
        <f>_xlfn.IFS(ISNUMBER(SEARCH("data analy",B101)),"Data Analyst",ISNUMBER(SEARCH("business analy",B101)),"Business Analyst",OR(ISNUMBER(SEARCH("developer",B101)),ISNUMBER(SEARCH("software engineer",B101)),ISNUMBER(SEARCH("programmer",B101))),"Software Developer",ISNUMBER(SEARCH("business development",B101)),"Business Development",ISNUMBER(SEARCH("sales",B101)),"Sales Executive",ISNUMBER(SEARCH("marketing",B101)),"Marketing Executive",OR(ISNUMBER(SEARCH("hr ",B101)),ISNUMBER(SEARCH("recruit",B101)),ISNUMBER(SEARCH("human resource",B101))),"HR / Recruiter",OR(ISNUMBER(SEARCH("account",B101)),ISNUMBER(SEARCH("finance",B101)),ISNUMBER(SEARCH("tax",B101)),ISNUMBER(SEARCH("audit",B101))),"Accountant / Finance",OR(ISNUMBER(SEARCH("customer service",B101)),ISNUMBER(SEARCH("customer support",B101)),ISNUMBER(SEARCH("customer care",B101)),ISNUMBER(SEARCH("voice process",B101)),ISNUMBER(SEARCH("bpo",B101))),"Customer Support",ISNUMBER(SEARCH("engineer",B101)),"Engineer (Technical)",ISNUMBER(SEARCH("manager",B101)),"Manager",OR(ISNUMBER(SEARCH("teacher",B101)),ISNUMBER(SEARCH("trainer",B101)),ISNUMBER(SEARCH("faculty",B101))),"Teacher / Trainer",OR(ISNUMBER(SEARCH("doctor",B101)),ISNUMBER(SEARCH("nurse",B101)),ISNUMBER(SEARCH("medical",B101)),ISNUMBER(SEARCH("pharma",B101)),ISNUMBER(SEARCH("clinical",B101))),"Healthcare",TRUE,"Other")</f>
        <v/>
      </c>
      <c r="Q101" s="48">
        <f>IF(COUNTIFS($B$11:B101,B101,$C$11:C101,C101,$D$11:D101,D101,$L$11:L101,L101)&gt;1,"Duplicate","Unique")</f>
        <v/>
      </c>
    </row>
    <row r="102">
      <c r="A102" s="48">
        <f>Raw_Data!A93</f>
        <v/>
      </c>
      <c r="B102" s="48">
        <f>PROPER(TRIM(Raw_Data!B93))</f>
        <v/>
      </c>
      <c r="C102" s="48">
        <f>TRIM(Raw_Data!C93)</f>
        <v/>
      </c>
      <c r="D102" s="48">
        <f>IF(PROPER(TRIM(Raw_Data!D93))="Bangalore","Bengaluru",IF(PROPER(TRIM(Raw_Data!D93))="Gurgaon","Gurugram",IF(OR(PROPER(TRIM(Raw_Data!D93))="New Delhi",PROPER(TRIM(Raw_Data!D93))="Delhi"),"Delhi",PROPER(TRIM(Raw_Data!D93)))))</f>
        <v/>
      </c>
      <c r="E102" s="48">
        <f>Raw_Data!E93</f>
        <v/>
      </c>
      <c r="F102" s="48">
        <f>IF(TRIM(Raw_Data!F93&amp;"")="","Not Specified",Raw_Data!F93)</f>
        <v/>
      </c>
      <c r="G102" s="48">
        <f>Raw_Data!G93</f>
        <v/>
      </c>
      <c r="H102" s="48">
        <f>Raw_Data!H93</f>
        <v/>
      </c>
      <c r="I102" s="49">
        <f>IF(Raw_Data!I93="","",Raw_Data!I93)</f>
        <v/>
      </c>
      <c r="J102" s="49">
        <f>IF(Raw_Data!J93="","",Raw_Data!J93)</f>
        <v/>
      </c>
      <c r="K102" s="48">
        <f>IF(TRIM(Raw_Data!K93&amp;"")="","Not Specified",Raw_Data!K93)</f>
        <v/>
      </c>
      <c r="L102" s="56">
        <f>Raw_Data!L93</f>
        <v/>
      </c>
      <c r="M102" s="49">
        <f>IF(OR(I102="",J102=""),"",(I102+J102)/2)</f>
        <v/>
      </c>
      <c r="N102" s="49">
        <f>IF(OR(I102="",J102=""),"",J102-I102)</f>
        <v/>
      </c>
      <c r="O102" s="48">
        <f>TEXT(L102,"mmm-yyyy")</f>
        <v/>
      </c>
      <c r="P102" s="48">
        <f>_xlfn.IFS(ISNUMBER(SEARCH("data analy",B102)),"Data Analyst",ISNUMBER(SEARCH("business analy",B102)),"Business Analyst",OR(ISNUMBER(SEARCH("developer",B102)),ISNUMBER(SEARCH("software engineer",B102)),ISNUMBER(SEARCH("programmer",B102))),"Software Developer",ISNUMBER(SEARCH("business development",B102)),"Business Development",ISNUMBER(SEARCH("sales",B102)),"Sales Executive",ISNUMBER(SEARCH("marketing",B102)),"Marketing Executive",OR(ISNUMBER(SEARCH("hr ",B102)),ISNUMBER(SEARCH("recruit",B102)),ISNUMBER(SEARCH("human resource",B102))),"HR / Recruiter",OR(ISNUMBER(SEARCH("account",B102)),ISNUMBER(SEARCH("finance",B102)),ISNUMBER(SEARCH("tax",B102)),ISNUMBER(SEARCH("audit",B102))),"Accountant / Finance",OR(ISNUMBER(SEARCH("customer service",B102)),ISNUMBER(SEARCH("customer support",B102)),ISNUMBER(SEARCH("customer care",B102)),ISNUMBER(SEARCH("voice process",B102)),ISNUMBER(SEARCH("bpo",B102))),"Customer Support",ISNUMBER(SEARCH("engineer",B102)),"Engineer (Technical)",ISNUMBER(SEARCH("manager",B102)),"Manager",OR(ISNUMBER(SEARCH("teacher",B102)),ISNUMBER(SEARCH("trainer",B102)),ISNUMBER(SEARCH("faculty",B102))),"Teacher / Trainer",OR(ISNUMBER(SEARCH("doctor",B102)),ISNUMBER(SEARCH("nurse",B102)),ISNUMBER(SEARCH("medical",B102)),ISNUMBER(SEARCH("pharma",B102)),ISNUMBER(SEARCH("clinical",B102))),"Healthcare",TRUE,"Other")</f>
        <v/>
      </c>
      <c r="Q102" s="48">
        <f>IF(COUNTIFS($B$11:B102,B102,$C$11:C102,C102,$D$11:D102,D102,$L$11:L102,L102)&gt;1,"Duplicate","Unique")</f>
        <v/>
      </c>
    </row>
    <row r="103">
      <c r="A103" s="48">
        <f>Raw_Data!A94</f>
        <v/>
      </c>
      <c r="B103" s="48">
        <f>PROPER(TRIM(Raw_Data!B94))</f>
        <v/>
      </c>
      <c r="C103" s="48">
        <f>TRIM(Raw_Data!C94)</f>
        <v/>
      </c>
      <c r="D103" s="48">
        <f>IF(PROPER(TRIM(Raw_Data!D94))="Bangalore","Bengaluru",IF(PROPER(TRIM(Raw_Data!D94))="Gurgaon","Gurugram",IF(OR(PROPER(TRIM(Raw_Data!D94))="New Delhi",PROPER(TRIM(Raw_Data!D94))="Delhi"),"Delhi",PROPER(TRIM(Raw_Data!D94)))))</f>
        <v/>
      </c>
      <c r="E103" s="48">
        <f>Raw_Data!E94</f>
        <v/>
      </c>
      <c r="F103" s="48">
        <f>IF(TRIM(Raw_Data!F94&amp;"")="","Not Specified",Raw_Data!F94)</f>
        <v/>
      </c>
      <c r="G103" s="48">
        <f>Raw_Data!G94</f>
        <v/>
      </c>
      <c r="H103" s="48">
        <f>Raw_Data!H94</f>
        <v/>
      </c>
      <c r="I103" s="49">
        <f>IF(Raw_Data!I94="","",Raw_Data!I94)</f>
        <v/>
      </c>
      <c r="J103" s="49">
        <f>IF(Raw_Data!J94="","",Raw_Data!J94)</f>
        <v/>
      </c>
      <c r="K103" s="48">
        <f>IF(TRIM(Raw_Data!K94&amp;"")="","Not Specified",Raw_Data!K94)</f>
        <v/>
      </c>
      <c r="L103" s="56">
        <f>Raw_Data!L94</f>
        <v/>
      </c>
      <c r="M103" s="49">
        <f>IF(OR(I103="",J103=""),"",(I103+J103)/2)</f>
        <v/>
      </c>
      <c r="N103" s="49">
        <f>IF(OR(I103="",J103=""),"",J103-I103)</f>
        <v/>
      </c>
      <c r="O103" s="48">
        <f>TEXT(L103,"mmm-yyyy")</f>
        <v/>
      </c>
      <c r="P103" s="48">
        <f>_xlfn.IFS(ISNUMBER(SEARCH("data analy",B103)),"Data Analyst",ISNUMBER(SEARCH("business analy",B103)),"Business Analyst",OR(ISNUMBER(SEARCH("developer",B103)),ISNUMBER(SEARCH("software engineer",B103)),ISNUMBER(SEARCH("programmer",B103))),"Software Developer",ISNUMBER(SEARCH("business development",B103)),"Business Development",ISNUMBER(SEARCH("sales",B103)),"Sales Executive",ISNUMBER(SEARCH("marketing",B103)),"Marketing Executive",OR(ISNUMBER(SEARCH("hr ",B103)),ISNUMBER(SEARCH("recruit",B103)),ISNUMBER(SEARCH("human resource",B103))),"HR / Recruiter",OR(ISNUMBER(SEARCH("account",B103)),ISNUMBER(SEARCH("finance",B103)),ISNUMBER(SEARCH("tax",B103)),ISNUMBER(SEARCH("audit",B103))),"Accountant / Finance",OR(ISNUMBER(SEARCH("customer service",B103)),ISNUMBER(SEARCH("customer support",B103)),ISNUMBER(SEARCH("customer care",B103)),ISNUMBER(SEARCH("voice process",B103)),ISNUMBER(SEARCH("bpo",B103))),"Customer Support",ISNUMBER(SEARCH("engineer",B103)),"Engineer (Technical)",ISNUMBER(SEARCH("manager",B103)),"Manager",OR(ISNUMBER(SEARCH("teacher",B103)),ISNUMBER(SEARCH("trainer",B103)),ISNUMBER(SEARCH("faculty",B103))),"Teacher / Trainer",OR(ISNUMBER(SEARCH("doctor",B103)),ISNUMBER(SEARCH("nurse",B103)),ISNUMBER(SEARCH("medical",B103)),ISNUMBER(SEARCH("pharma",B103)),ISNUMBER(SEARCH("clinical",B103))),"Healthcare",TRUE,"Other")</f>
        <v/>
      </c>
      <c r="Q103" s="48">
        <f>IF(COUNTIFS($B$11:B103,B103,$C$11:C103,C103,$D$11:D103,D103,$L$11:L103,L103)&gt;1,"Duplicate","Unique")</f>
        <v/>
      </c>
    </row>
    <row r="104">
      <c r="A104" s="48">
        <f>Raw_Data!A95</f>
        <v/>
      </c>
      <c r="B104" s="48">
        <f>PROPER(TRIM(Raw_Data!B95))</f>
        <v/>
      </c>
      <c r="C104" s="48">
        <f>TRIM(Raw_Data!C95)</f>
        <v/>
      </c>
      <c r="D104" s="48">
        <f>IF(PROPER(TRIM(Raw_Data!D95))="Bangalore","Bengaluru",IF(PROPER(TRIM(Raw_Data!D95))="Gurgaon","Gurugram",IF(OR(PROPER(TRIM(Raw_Data!D95))="New Delhi",PROPER(TRIM(Raw_Data!D95))="Delhi"),"Delhi",PROPER(TRIM(Raw_Data!D95)))))</f>
        <v/>
      </c>
      <c r="E104" s="48">
        <f>Raw_Data!E95</f>
        <v/>
      </c>
      <c r="F104" s="48">
        <f>IF(TRIM(Raw_Data!F95&amp;"")="","Not Specified",Raw_Data!F95)</f>
        <v/>
      </c>
      <c r="G104" s="48">
        <f>Raw_Data!G95</f>
        <v/>
      </c>
      <c r="H104" s="48">
        <f>Raw_Data!H95</f>
        <v/>
      </c>
      <c r="I104" s="49">
        <f>IF(Raw_Data!I95="","",Raw_Data!I95)</f>
        <v/>
      </c>
      <c r="J104" s="49">
        <f>IF(Raw_Data!J95="","",Raw_Data!J95)</f>
        <v/>
      </c>
      <c r="K104" s="48">
        <f>IF(TRIM(Raw_Data!K95&amp;"")="","Not Specified",Raw_Data!K95)</f>
        <v/>
      </c>
      <c r="L104" s="56">
        <f>Raw_Data!L95</f>
        <v/>
      </c>
      <c r="M104" s="49">
        <f>IF(OR(I104="",J104=""),"",(I104+J104)/2)</f>
        <v/>
      </c>
      <c r="N104" s="49">
        <f>IF(OR(I104="",J104=""),"",J104-I104)</f>
        <v/>
      </c>
      <c r="O104" s="48">
        <f>TEXT(L104,"mmm-yyyy")</f>
        <v/>
      </c>
      <c r="P104" s="48">
        <f>_xlfn.IFS(ISNUMBER(SEARCH("data analy",B104)),"Data Analyst",ISNUMBER(SEARCH("business analy",B104)),"Business Analyst",OR(ISNUMBER(SEARCH("developer",B104)),ISNUMBER(SEARCH("software engineer",B104)),ISNUMBER(SEARCH("programmer",B104))),"Software Developer",ISNUMBER(SEARCH("business development",B104)),"Business Development",ISNUMBER(SEARCH("sales",B104)),"Sales Executive",ISNUMBER(SEARCH("marketing",B104)),"Marketing Executive",OR(ISNUMBER(SEARCH("hr ",B104)),ISNUMBER(SEARCH("recruit",B104)),ISNUMBER(SEARCH("human resource",B104))),"HR / Recruiter",OR(ISNUMBER(SEARCH("account",B104)),ISNUMBER(SEARCH("finance",B104)),ISNUMBER(SEARCH("tax",B104)),ISNUMBER(SEARCH("audit",B104))),"Accountant / Finance",OR(ISNUMBER(SEARCH("customer service",B104)),ISNUMBER(SEARCH("customer support",B104)),ISNUMBER(SEARCH("customer care",B104)),ISNUMBER(SEARCH("voice process",B104)),ISNUMBER(SEARCH("bpo",B104))),"Customer Support",ISNUMBER(SEARCH("engineer",B104)),"Engineer (Technical)",ISNUMBER(SEARCH("manager",B104)),"Manager",OR(ISNUMBER(SEARCH("teacher",B104)),ISNUMBER(SEARCH("trainer",B104)),ISNUMBER(SEARCH("faculty",B104))),"Teacher / Trainer",OR(ISNUMBER(SEARCH("doctor",B104)),ISNUMBER(SEARCH("nurse",B104)),ISNUMBER(SEARCH("medical",B104)),ISNUMBER(SEARCH("pharma",B104)),ISNUMBER(SEARCH("clinical",B104))),"Healthcare",TRUE,"Other")</f>
        <v/>
      </c>
      <c r="Q104" s="48">
        <f>IF(COUNTIFS($B$11:B104,B104,$C$11:C104,C104,$D$11:D104,D104,$L$11:L104,L104)&gt;1,"Duplicate","Unique")</f>
        <v/>
      </c>
    </row>
    <row r="105">
      <c r="A105" s="48">
        <f>Raw_Data!A96</f>
        <v/>
      </c>
      <c r="B105" s="48">
        <f>PROPER(TRIM(Raw_Data!B96))</f>
        <v/>
      </c>
      <c r="C105" s="48">
        <f>TRIM(Raw_Data!C96)</f>
        <v/>
      </c>
      <c r="D105" s="48">
        <f>IF(PROPER(TRIM(Raw_Data!D96))="Bangalore","Bengaluru",IF(PROPER(TRIM(Raw_Data!D96))="Gurgaon","Gurugram",IF(OR(PROPER(TRIM(Raw_Data!D96))="New Delhi",PROPER(TRIM(Raw_Data!D96))="Delhi"),"Delhi",PROPER(TRIM(Raw_Data!D96)))))</f>
        <v/>
      </c>
      <c r="E105" s="48">
        <f>Raw_Data!E96</f>
        <v/>
      </c>
      <c r="F105" s="48">
        <f>IF(TRIM(Raw_Data!F96&amp;"")="","Not Specified",Raw_Data!F96)</f>
        <v/>
      </c>
      <c r="G105" s="48">
        <f>Raw_Data!G96</f>
        <v/>
      </c>
      <c r="H105" s="48">
        <f>Raw_Data!H96</f>
        <v/>
      </c>
      <c r="I105" s="49">
        <f>IF(Raw_Data!I96="","",Raw_Data!I96)</f>
        <v/>
      </c>
      <c r="J105" s="49">
        <f>IF(Raw_Data!J96="","",Raw_Data!J96)</f>
        <v/>
      </c>
      <c r="K105" s="48">
        <f>IF(TRIM(Raw_Data!K96&amp;"")="","Not Specified",Raw_Data!K96)</f>
        <v/>
      </c>
      <c r="L105" s="56">
        <f>Raw_Data!L96</f>
        <v/>
      </c>
      <c r="M105" s="49">
        <f>IF(OR(I105="",J105=""),"",(I105+J105)/2)</f>
        <v/>
      </c>
      <c r="N105" s="49">
        <f>IF(OR(I105="",J105=""),"",J105-I105)</f>
        <v/>
      </c>
      <c r="O105" s="48">
        <f>TEXT(L105,"mmm-yyyy")</f>
        <v/>
      </c>
      <c r="P105" s="48">
        <f>_xlfn.IFS(ISNUMBER(SEARCH("data analy",B105)),"Data Analyst",ISNUMBER(SEARCH("business analy",B105)),"Business Analyst",OR(ISNUMBER(SEARCH("developer",B105)),ISNUMBER(SEARCH("software engineer",B105)),ISNUMBER(SEARCH("programmer",B105))),"Software Developer",ISNUMBER(SEARCH("business development",B105)),"Business Development",ISNUMBER(SEARCH("sales",B105)),"Sales Executive",ISNUMBER(SEARCH("marketing",B105)),"Marketing Executive",OR(ISNUMBER(SEARCH("hr ",B105)),ISNUMBER(SEARCH("recruit",B105)),ISNUMBER(SEARCH("human resource",B105))),"HR / Recruiter",OR(ISNUMBER(SEARCH("account",B105)),ISNUMBER(SEARCH("finance",B105)),ISNUMBER(SEARCH("tax",B105)),ISNUMBER(SEARCH("audit",B105))),"Accountant / Finance",OR(ISNUMBER(SEARCH("customer service",B105)),ISNUMBER(SEARCH("customer support",B105)),ISNUMBER(SEARCH("customer care",B105)),ISNUMBER(SEARCH("voice process",B105)),ISNUMBER(SEARCH("bpo",B105))),"Customer Support",ISNUMBER(SEARCH("engineer",B105)),"Engineer (Technical)",ISNUMBER(SEARCH("manager",B105)),"Manager",OR(ISNUMBER(SEARCH("teacher",B105)),ISNUMBER(SEARCH("trainer",B105)),ISNUMBER(SEARCH("faculty",B105))),"Teacher / Trainer",OR(ISNUMBER(SEARCH("doctor",B105)),ISNUMBER(SEARCH("nurse",B105)),ISNUMBER(SEARCH("medical",B105)),ISNUMBER(SEARCH("pharma",B105)),ISNUMBER(SEARCH("clinical",B105))),"Healthcare",TRUE,"Other")</f>
        <v/>
      </c>
      <c r="Q105" s="48">
        <f>IF(COUNTIFS($B$11:B105,B105,$C$11:C105,C105,$D$11:D105,D105,$L$11:L105,L105)&gt;1,"Duplicate","Unique")</f>
        <v/>
      </c>
    </row>
    <row r="106">
      <c r="A106" s="48">
        <f>Raw_Data!A97</f>
        <v/>
      </c>
      <c r="B106" s="48">
        <f>PROPER(TRIM(Raw_Data!B97))</f>
        <v/>
      </c>
      <c r="C106" s="48">
        <f>TRIM(Raw_Data!C97)</f>
        <v/>
      </c>
      <c r="D106" s="48">
        <f>IF(PROPER(TRIM(Raw_Data!D97))="Bangalore","Bengaluru",IF(PROPER(TRIM(Raw_Data!D97))="Gurgaon","Gurugram",IF(OR(PROPER(TRIM(Raw_Data!D97))="New Delhi",PROPER(TRIM(Raw_Data!D97))="Delhi"),"Delhi",PROPER(TRIM(Raw_Data!D97)))))</f>
        <v/>
      </c>
      <c r="E106" s="48">
        <f>Raw_Data!E97</f>
        <v/>
      </c>
      <c r="F106" s="48">
        <f>IF(TRIM(Raw_Data!F97&amp;"")="","Not Specified",Raw_Data!F97)</f>
        <v/>
      </c>
      <c r="G106" s="48">
        <f>Raw_Data!G97</f>
        <v/>
      </c>
      <c r="H106" s="48">
        <f>Raw_Data!H97</f>
        <v/>
      </c>
      <c r="I106" s="49">
        <f>IF(Raw_Data!I97="","",Raw_Data!I97)</f>
        <v/>
      </c>
      <c r="J106" s="49">
        <f>IF(Raw_Data!J97="","",Raw_Data!J97)</f>
        <v/>
      </c>
      <c r="K106" s="48">
        <f>IF(TRIM(Raw_Data!K97&amp;"")="","Not Specified",Raw_Data!K97)</f>
        <v/>
      </c>
      <c r="L106" s="56">
        <f>Raw_Data!L97</f>
        <v/>
      </c>
      <c r="M106" s="49">
        <f>IF(OR(I106="",J106=""),"",(I106+J106)/2)</f>
        <v/>
      </c>
      <c r="N106" s="49">
        <f>IF(OR(I106="",J106=""),"",J106-I106)</f>
        <v/>
      </c>
      <c r="O106" s="48">
        <f>TEXT(L106,"mmm-yyyy")</f>
        <v/>
      </c>
      <c r="P106" s="48">
        <f>_xlfn.IFS(ISNUMBER(SEARCH("data analy",B106)),"Data Analyst",ISNUMBER(SEARCH("business analy",B106)),"Business Analyst",OR(ISNUMBER(SEARCH("developer",B106)),ISNUMBER(SEARCH("software engineer",B106)),ISNUMBER(SEARCH("programmer",B106))),"Software Developer",ISNUMBER(SEARCH("business development",B106)),"Business Development",ISNUMBER(SEARCH("sales",B106)),"Sales Executive",ISNUMBER(SEARCH("marketing",B106)),"Marketing Executive",OR(ISNUMBER(SEARCH("hr ",B106)),ISNUMBER(SEARCH("recruit",B106)),ISNUMBER(SEARCH("human resource",B106))),"HR / Recruiter",OR(ISNUMBER(SEARCH("account",B106)),ISNUMBER(SEARCH("finance",B106)),ISNUMBER(SEARCH("tax",B106)),ISNUMBER(SEARCH("audit",B106))),"Accountant / Finance",OR(ISNUMBER(SEARCH("customer service",B106)),ISNUMBER(SEARCH("customer support",B106)),ISNUMBER(SEARCH("customer care",B106)),ISNUMBER(SEARCH("voice process",B106)),ISNUMBER(SEARCH("bpo",B106))),"Customer Support",ISNUMBER(SEARCH("engineer",B106)),"Engineer (Technical)",ISNUMBER(SEARCH("manager",B106)),"Manager",OR(ISNUMBER(SEARCH("teacher",B106)),ISNUMBER(SEARCH("trainer",B106)),ISNUMBER(SEARCH("faculty",B106))),"Teacher / Trainer",OR(ISNUMBER(SEARCH("doctor",B106)),ISNUMBER(SEARCH("nurse",B106)),ISNUMBER(SEARCH("medical",B106)),ISNUMBER(SEARCH("pharma",B106)),ISNUMBER(SEARCH("clinical",B106))),"Healthcare",TRUE,"Other")</f>
        <v/>
      </c>
      <c r="Q106" s="48">
        <f>IF(COUNTIFS($B$11:B106,B106,$C$11:C106,C106,$D$11:D106,D106,$L$11:L106,L106)&gt;1,"Duplicate","Unique")</f>
        <v/>
      </c>
    </row>
    <row r="107">
      <c r="A107" s="48">
        <f>Raw_Data!A98</f>
        <v/>
      </c>
      <c r="B107" s="48">
        <f>PROPER(TRIM(Raw_Data!B98))</f>
        <v/>
      </c>
      <c r="C107" s="48">
        <f>TRIM(Raw_Data!C98)</f>
        <v/>
      </c>
      <c r="D107" s="48">
        <f>IF(PROPER(TRIM(Raw_Data!D98))="Bangalore","Bengaluru",IF(PROPER(TRIM(Raw_Data!D98))="Gurgaon","Gurugram",IF(OR(PROPER(TRIM(Raw_Data!D98))="New Delhi",PROPER(TRIM(Raw_Data!D98))="Delhi"),"Delhi",PROPER(TRIM(Raw_Data!D98)))))</f>
        <v/>
      </c>
      <c r="E107" s="48">
        <f>Raw_Data!E98</f>
        <v/>
      </c>
      <c r="F107" s="48">
        <f>IF(TRIM(Raw_Data!F98&amp;"")="","Not Specified",Raw_Data!F98)</f>
        <v/>
      </c>
      <c r="G107" s="48">
        <f>Raw_Data!G98</f>
        <v/>
      </c>
      <c r="H107" s="48">
        <f>Raw_Data!H98</f>
        <v/>
      </c>
      <c r="I107" s="49">
        <f>IF(Raw_Data!I98="","",Raw_Data!I98)</f>
        <v/>
      </c>
      <c r="J107" s="49">
        <f>IF(Raw_Data!J98="","",Raw_Data!J98)</f>
        <v/>
      </c>
      <c r="K107" s="48">
        <f>IF(TRIM(Raw_Data!K98&amp;"")="","Not Specified",Raw_Data!K98)</f>
        <v/>
      </c>
      <c r="L107" s="56">
        <f>Raw_Data!L98</f>
        <v/>
      </c>
      <c r="M107" s="49">
        <f>IF(OR(I107="",J107=""),"",(I107+J107)/2)</f>
        <v/>
      </c>
      <c r="N107" s="49">
        <f>IF(OR(I107="",J107=""),"",J107-I107)</f>
        <v/>
      </c>
      <c r="O107" s="48">
        <f>TEXT(L107,"mmm-yyyy")</f>
        <v/>
      </c>
      <c r="P107" s="48">
        <f>_xlfn.IFS(ISNUMBER(SEARCH("data analy",B107)),"Data Analyst",ISNUMBER(SEARCH("business analy",B107)),"Business Analyst",OR(ISNUMBER(SEARCH("developer",B107)),ISNUMBER(SEARCH("software engineer",B107)),ISNUMBER(SEARCH("programmer",B107))),"Software Developer",ISNUMBER(SEARCH("business development",B107)),"Business Development",ISNUMBER(SEARCH("sales",B107)),"Sales Executive",ISNUMBER(SEARCH("marketing",B107)),"Marketing Executive",OR(ISNUMBER(SEARCH("hr ",B107)),ISNUMBER(SEARCH("recruit",B107)),ISNUMBER(SEARCH("human resource",B107))),"HR / Recruiter",OR(ISNUMBER(SEARCH("account",B107)),ISNUMBER(SEARCH("finance",B107)),ISNUMBER(SEARCH("tax",B107)),ISNUMBER(SEARCH("audit",B107))),"Accountant / Finance",OR(ISNUMBER(SEARCH("customer service",B107)),ISNUMBER(SEARCH("customer support",B107)),ISNUMBER(SEARCH("customer care",B107)),ISNUMBER(SEARCH("voice process",B107)),ISNUMBER(SEARCH("bpo",B107))),"Customer Support",ISNUMBER(SEARCH("engineer",B107)),"Engineer (Technical)",ISNUMBER(SEARCH("manager",B107)),"Manager",OR(ISNUMBER(SEARCH("teacher",B107)),ISNUMBER(SEARCH("trainer",B107)),ISNUMBER(SEARCH("faculty",B107))),"Teacher / Trainer",OR(ISNUMBER(SEARCH("doctor",B107)),ISNUMBER(SEARCH("nurse",B107)),ISNUMBER(SEARCH("medical",B107)),ISNUMBER(SEARCH("pharma",B107)),ISNUMBER(SEARCH("clinical",B107))),"Healthcare",TRUE,"Other")</f>
        <v/>
      </c>
      <c r="Q107" s="48">
        <f>IF(COUNTIFS($B$11:B107,B107,$C$11:C107,C107,$D$11:D107,D107,$L$11:L107,L107)&gt;1,"Duplicate","Unique")</f>
        <v/>
      </c>
    </row>
    <row r="108">
      <c r="A108" s="48">
        <f>Raw_Data!A99</f>
        <v/>
      </c>
      <c r="B108" s="48">
        <f>PROPER(TRIM(Raw_Data!B99))</f>
        <v/>
      </c>
      <c r="C108" s="48">
        <f>TRIM(Raw_Data!C99)</f>
        <v/>
      </c>
      <c r="D108" s="48">
        <f>IF(PROPER(TRIM(Raw_Data!D99))="Bangalore","Bengaluru",IF(PROPER(TRIM(Raw_Data!D99))="Gurgaon","Gurugram",IF(OR(PROPER(TRIM(Raw_Data!D99))="New Delhi",PROPER(TRIM(Raw_Data!D99))="Delhi"),"Delhi",PROPER(TRIM(Raw_Data!D99)))))</f>
        <v/>
      </c>
      <c r="E108" s="48">
        <f>Raw_Data!E99</f>
        <v/>
      </c>
      <c r="F108" s="48">
        <f>IF(TRIM(Raw_Data!F99&amp;"")="","Not Specified",Raw_Data!F99)</f>
        <v/>
      </c>
      <c r="G108" s="48">
        <f>Raw_Data!G99</f>
        <v/>
      </c>
      <c r="H108" s="48">
        <f>Raw_Data!H99</f>
        <v/>
      </c>
      <c r="I108" s="49">
        <f>IF(Raw_Data!I99="","",Raw_Data!I99)</f>
        <v/>
      </c>
      <c r="J108" s="49">
        <f>IF(Raw_Data!J99="","",Raw_Data!J99)</f>
        <v/>
      </c>
      <c r="K108" s="48">
        <f>IF(TRIM(Raw_Data!K99&amp;"")="","Not Specified",Raw_Data!K99)</f>
        <v/>
      </c>
      <c r="L108" s="56">
        <f>Raw_Data!L99</f>
        <v/>
      </c>
      <c r="M108" s="49">
        <f>IF(OR(I108="",J108=""),"",(I108+J108)/2)</f>
        <v/>
      </c>
      <c r="N108" s="49">
        <f>IF(OR(I108="",J108=""),"",J108-I108)</f>
        <v/>
      </c>
      <c r="O108" s="48">
        <f>TEXT(L108,"mmm-yyyy")</f>
        <v/>
      </c>
      <c r="P108" s="48">
        <f>_xlfn.IFS(ISNUMBER(SEARCH("data analy",B108)),"Data Analyst",ISNUMBER(SEARCH("business analy",B108)),"Business Analyst",OR(ISNUMBER(SEARCH("developer",B108)),ISNUMBER(SEARCH("software engineer",B108)),ISNUMBER(SEARCH("programmer",B108))),"Software Developer",ISNUMBER(SEARCH("business development",B108)),"Business Development",ISNUMBER(SEARCH("sales",B108)),"Sales Executive",ISNUMBER(SEARCH("marketing",B108)),"Marketing Executive",OR(ISNUMBER(SEARCH("hr ",B108)),ISNUMBER(SEARCH("recruit",B108)),ISNUMBER(SEARCH("human resource",B108))),"HR / Recruiter",OR(ISNUMBER(SEARCH("account",B108)),ISNUMBER(SEARCH("finance",B108)),ISNUMBER(SEARCH("tax",B108)),ISNUMBER(SEARCH("audit",B108))),"Accountant / Finance",OR(ISNUMBER(SEARCH("customer service",B108)),ISNUMBER(SEARCH("customer support",B108)),ISNUMBER(SEARCH("customer care",B108)),ISNUMBER(SEARCH("voice process",B108)),ISNUMBER(SEARCH("bpo",B108))),"Customer Support",ISNUMBER(SEARCH("engineer",B108)),"Engineer (Technical)",ISNUMBER(SEARCH("manager",B108)),"Manager",OR(ISNUMBER(SEARCH("teacher",B108)),ISNUMBER(SEARCH("trainer",B108)),ISNUMBER(SEARCH("faculty",B108))),"Teacher / Trainer",OR(ISNUMBER(SEARCH("doctor",B108)),ISNUMBER(SEARCH("nurse",B108)),ISNUMBER(SEARCH("medical",B108)),ISNUMBER(SEARCH("pharma",B108)),ISNUMBER(SEARCH("clinical",B108))),"Healthcare",TRUE,"Other")</f>
        <v/>
      </c>
      <c r="Q108" s="48">
        <f>IF(COUNTIFS($B$11:B108,B108,$C$11:C108,C108,$D$11:D108,D108,$L$11:L108,L108)&gt;1,"Duplicate","Unique")</f>
        <v/>
      </c>
    </row>
    <row r="109">
      <c r="A109" s="48">
        <f>Raw_Data!A100</f>
        <v/>
      </c>
      <c r="B109" s="48">
        <f>PROPER(TRIM(Raw_Data!B100))</f>
        <v/>
      </c>
      <c r="C109" s="48">
        <f>TRIM(Raw_Data!C100)</f>
        <v/>
      </c>
      <c r="D109" s="48">
        <f>IF(PROPER(TRIM(Raw_Data!D100))="Bangalore","Bengaluru",IF(PROPER(TRIM(Raw_Data!D100))="Gurgaon","Gurugram",IF(OR(PROPER(TRIM(Raw_Data!D100))="New Delhi",PROPER(TRIM(Raw_Data!D100))="Delhi"),"Delhi",PROPER(TRIM(Raw_Data!D100)))))</f>
        <v/>
      </c>
      <c r="E109" s="48">
        <f>Raw_Data!E100</f>
        <v/>
      </c>
      <c r="F109" s="48">
        <f>IF(TRIM(Raw_Data!F100&amp;"")="","Not Specified",Raw_Data!F100)</f>
        <v/>
      </c>
      <c r="G109" s="48">
        <f>Raw_Data!G100</f>
        <v/>
      </c>
      <c r="H109" s="48">
        <f>Raw_Data!H100</f>
        <v/>
      </c>
      <c r="I109" s="49">
        <f>IF(Raw_Data!I100="","",Raw_Data!I100)</f>
        <v/>
      </c>
      <c r="J109" s="49">
        <f>IF(Raw_Data!J100="","",Raw_Data!J100)</f>
        <v/>
      </c>
      <c r="K109" s="48">
        <f>IF(TRIM(Raw_Data!K100&amp;"")="","Not Specified",Raw_Data!K100)</f>
        <v/>
      </c>
      <c r="L109" s="56">
        <f>Raw_Data!L100</f>
        <v/>
      </c>
      <c r="M109" s="49">
        <f>IF(OR(I109="",J109=""),"",(I109+J109)/2)</f>
        <v/>
      </c>
      <c r="N109" s="49">
        <f>IF(OR(I109="",J109=""),"",J109-I109)</f>
        <v/>
      </c>
      <c r="O109" s="48">
        <f>TEXT(L109,"mmm-yyyy")</f>
        <v/>
      </c>
      <c r="P109" s="48">
        <f>_xlfn.IFS(ISNUMBER(SEARCH("data analy",B109)),"Data Analyst",ISNUMBER(SEARCH("business analy",B109)),"Business Analyst",OR(ISNUMBER(SEARCH("developer",B109)),ISNUMBER(SEARCH("software engineer",B109)),ISNUMBER(SEARCH("programmer",B109))),"Software Developer",ISNUMBER(SEARCH("business development",B109)),"Business Development",ISNUMBER(SEARCH("sales",B109)),"Sales Executive",ISNUMBER(SEARCH("marketing",B109)),"Marketing Executive",OR(ISNUMBER(SEARCH("hr ",B109)),ISNUMBER(SEARCH("recruit",B109)),ISNUMBER(SEARCH("human resource",B109))),"HR / Recruiter",OR(ISNUMBER(SEARCH("account",B109)),ISNUMBER(SEARCH("finance",B109)),ISNUMBER(SEARCH("tax",B109)),ISNUMBER(SEARCH("audit",B109))),"Accountant / Finance",OR(ISNUMBER(SEARCH("customer service",B109)),ISNUMBER(SEARCH("customer support",B109)),ISNUMBER(SEARCH("customer care",B109)),ISNUMBER(SEARCH("voice process",B109)),ISNUMBER(SEARCH("bpo",B109))),"Customer Support",ISNUMBER(SEARCH("engineer",B109)),"Engineer (Technical)",ISNUMBER(SEARCH("manager",B109)),"Manager",OR(ISNUMBER(SEARCH("teacher",B109)),ISNUMBER(SEARCH("trainer",B109)),ISNUMBER(SEARCH("faculty",B109))),"Teacher / Trainer",OR(ISNUMBER(SEARCH("doctor",B109)),ISNUMBER(SEARCH("nurse",B109)),ISNUMBER(SEARCH("medical",B109)),ISNUMBER(SEARCH("pharma",B109)),ISNUMBER(SEARCH("clinical",B109))),"Healthcare",TRUE,"Other")</f>
        <v/>
      </c>
      <c r="Q109" s="48">
        <f>IF(COUNTIFS($B$11:B109,B109,$C$11:C109,C109,$D$11:D109,D109,$L$11:L109,L109)&gt;1,"Duplicate","Unique")</f>
        <v/>
      </c>
    </row>
    <row r="110">
      <c r="A110" s="48">
        <f>Raw_Data!A101</f>
        <v/>
      </c>
      <c r="B110" s="48">
        <f>PROPER(TRIM(Raw_Data!B101))</f>
        <v/>
      </c>
      <c r="C110" s="48">
        <f>TRIM(Raw_Data!C101)</f>
        <v/>
      </c>
      <c r="D110" s="48">
        <f>IF(PROPER(TRIM(Raw_Data!D101))="Bangalore","Bengaluru",IF(PROPER(TRIM(Raw_Data!D101))="Gurgaon","Gurugram",IF(OR(PROPER(TRIM(Raw_Data!D101))="New Delhi",PROPER(TRIM(Raw_Data!D101))="Delhi"),"Delhi",PROPER(TRIM(Raw_Data!D101)))))</f>
        <v/>
      </c>
      <c r="E110" s="48">
        <f>Raw_Data!E101</f>
        <v/>
      </c>
      <c r="F110" s="48">
        <f>IF(TRIM(Raw_Data!F101&amp;"")="","Not Specified",Raw_Data!F101)</f>
        <v/>
      </c>
      <c r="G110" s="48">
        <f>Raw_Data!G101</f>
        <v/>
      </c>
      <c r="H110" s="48">
        <f>Raw_Data!H101</f>
        <v/>
      </c>
      <c r="I110" s="49">
        <f>IF(Raw_Data!I101="","",Raw_Data!I101)</f>
        <v/>
      </c>
      <c r="J110" s="49">
        <f>IF(Raw_Data!J101="","",Raw_Data!J101)</f>
        <v/>
      </c>
      <c r="K110" s="48">
        <f>IF(TRIM(Raw_Data!K101&amp;"")="","Not Specified",Raw_Data!K101)</f>
        <v/>
      </c>
      <c r="L110" s="56">
        <f>Raw_Data!L101</f>
        <v/>
      </c>
      <c r="M110" s="49">
        <f>IF(OR(I110="",J110=""),"",(I110+J110)/2)</f>
        <v/>
      </c>
      <c r="N110" s="49">
        <f>IF(OR(I110="",J110=""),"",J110-I110)</f>
        <v/>
      </c>
      <c r="O110" s="48">
        <f>TEXT(L110,"mmm-yyyy")</f>
        <v/>
      </c>
      <c r="P110" s="48">
        <f>_xlfn.IFS(ISNUMBER(SEARCH("data analy",B110)),"Data Analyst",ISNUMBER(SEARCH("business analy",B110)),"Business Analyst",OR(ISNUMBER(SEARCH("developer",B110)),ISNUMBER(SEARCH("software engineer",B110)),ISNUMBER(SEARCH("programmer",B110))),"Software Developer",ISNUMBER(SEARCH("business development",B110)),"Business Development",ISNUMBER(SEARCH("sales",B110)),"Sales Executive",ISNUMBER(SEARCH("marketing",B110)),"Marketing Executive",OR(ISNUMBER(SEARCH("hr ",B110)),ISNUMBER(SEARCH("recruit",B110)),ISNUMBER(SEARCH("human resource",B110))),"HR / Recruiter",OR(ISNUMBER(SEARCH("account",B110)),ISNUMBER(SEARCH("finance",B110)),ISNUMBER(SEARCH("tax",B110)),ISNUMBER(SEARCH("audit",B110))),"Accountant / Finance",OR(ISNUMBER(SEARCH("customer service",B110)),ISNUMBER(SEARCH("customer support",B110)),ISNUMBER(SEARCH("customer care",B110)),ISNUMBER(SEARCH("voice process",B110)),ISNUMBER(SEARCH("bpo",B110))),"Customer Support",ISNUMBER(SEARCH("engineer",B110)),"Engineer (Technical)",ISNUMBER(SEARCH("manager",B110)),"Manager",OR(ISNUMBER(SEARCH("teacher",B110)),ISNUMBER(SEARCH("trainer",B110)),ISNUMBER(SEARCH("faculty",B110))),"Teacher / Trainer",OR(ISNUMBER(SEARCH("doctor",B110)),ISNUMBER(SEARCH("nurse",B110)),ISNUMBER(SEARCH("medical",B110)),ISNUMBER(SEARCH("pharma",B110)),ISNUMBER(SEARCH("clinical",B110))),"Healthcare",TRUE,"Other")</f>
        <v/>
      </c>
      <c r="Q110" s="48">
        <f>IF(COUNTIFS($B$11:B110,B110,$C$11:C110,C110,$D$11:D110,D110,$L$11:L110,L110)&gt;1,"Duplicate","Unique")</f>
        <v/>
      </c>
    </row>
    <row r="111">
      <c r="A111" s="48">
        <f>Raw_Data!A102</f>
        <v/>
      </c>
      <c r="B111" s="48">
        <f>PROPER(TRIM(Raw_Data!B102))</f>
        <v/>
      </c>
      <c r="C111" s="48">
        <f>TRIM(Raw_Data!C102)</f>
        <v/>
      </c>
      <c r="D111" s="48">
        <f>IF(PROPER(TRIM(Raw_Data!D102))="Bangalore","Bengaluru",IF(PROPER(TRIM(Raw_Data!D102))="Gurgaon","Gurugram",IF(OR(PROPER(TRIM(Raw_Data!D102))="New Delhi",PROPER(TRIM(Raw_Data!D102))="Delhi"),"Delhi",PROPER(TRIM(Raw_Data!D102)))))</f>
        <v/>
      </c>
      <c r="E111" s="48">
        <f>Raw_Data!E102</f>
        <v/>
      </c>
      <c r="F111" s="48">
        <f>IF(TRIM(Raw_Data!F102&amp;"")="","Not Specified",Raw_Data!F102)</f>
        <v/>
      </c>
      <c r="G111" s="48">
        <f>Raw_Data!G102</f>
        <v/>
      </c>
      <c r="H111" s="48">
        <f>Raw_Data!H102</f>
        <v/>
      </c>
      <c r="I111" s="49">
        <f>IF(Raw_Data!I102="","",Raw_Data!I102)</f>
        <v/>
      </c>
      <c r="J111" s="49">
        <f>IF(Raw_Data!J102="","",Raw_Data!J102)</f>
        <v/>
      </c>
      <c r="K111" s="48">
        <f>IF(TRIM(Raw_Data!K102&amp;"")="","Not Specified",Raw_Data!K102)</f>
        <v/>
      </c>
      <c r="L111" s="56">
        <f>Raw_Data!L102</f>
        <v/>
      </c>
      <c r="M111" s="49">
        <f>IF(OR(I111="",J111=""),"",(I111+J111)/2)</f>
        <v/>
      </c>
      <c r="N111" s="49">
        <f>IF(OR(I111="",J111=""),"",J111-I111)</f>
        <v/>
      </c>
      <c r="O111" s="48">
        <f>TEXT(L111,"mmm-yyyy")</f>
        <v/>
      </c>
      <c r="P111" s="48">
        <f>_xlfn.IFS(ISNUMBER(SEARCH("data analy",B111)),"Data Analyst",ISNUMBER(SEARCH("business analy",B111)),"Business Analyst",OR(ISNUMBER(SEARCH("developer",B111)),ISNUMBER(SEARCH("software engineer",B111)),ISNUMBER(SEARCH("programmer",B111))),"Software Developer",ISNUMBER(SEARCH("business development",B111)),"Business Development",ISNUMBER(SEARCH("sales",B111)),"Sales Executive",ISNUMBER(SEARCH("marketing",B111)),"Marketing Executive",OR(ISNUMBER(SEARCH("hr ",B111)),ISNUMBER(SEARCH("recruit",B111)),ISNUMBER(SEARCH("human resource",B111))),"HR / Recruiter",OR(ISNUMBER(SEARCH("account",B111)),ISNUMBER(SEARCH("finance",B111)),ISNUMBER(SEARCH("tax",B111)),ISNUMBER(SEARCH("audit",B111))),"Accountant / Finance",OR(ISNUMBER(SEARCH("customer service",B111)),ISNUMBER(SEARCH("customer support",B111)),ISNUMBER(SEARCH("customer care",B111)),ISNUMBER(SEARCH("voice process",B111)),ISNUMBER(SEARCH("bpo",B111))),"Customer Support",ISNUMBER(SEARCH("engineer",B111)),"Engineer (Technical)",ISNUMBER(SEARCH("manager",B111)),"Manager",OR(ISNUMBER(SEARCH("teacher",B111)),ISNUMBER(SEARCH("trainer",B111)),ISNUMBER(SEARCH("faculty",B111))),"Teacher / Trainer",OR(ISNUMBER(SEARCH("doctor",B111)),ISNUMBER(SEARCH("nurse",B111)),ISNUMBER(SEARCH("medical",B111)),ISNUMBER(SEARCH("pharma",B111)),ISNUMBER(SEARCH("clinical",B111))),"Healthcare",TRUE,"Other")</f>
        <v/>
      </c>
      <c r="Q111" s="48">
        <f>IF(COUNTIFS($B$11:B111,B111,$C$11:C111,C111,$D$11:D111,D111,$L$11:L111,L111)&gt;1,"Duplicate","Unique")</f>
        <v/>
      </c>
    </row>
    <row r="112">
      <c r="A112" s="48">
        <f>Raw_Data!A103</f>
        <v/>
      </c>
      <c r="B112" s="48">
        <f>PROPER(TRIM(Raw_Data!B103))</f>
        <v/>
      </c>
      <c r="C112" s="48">
        <f>TRIM(Raw_Data!C103)</f>
        <v/>
      </c>
      <c r="D112" s="48">
        <f>IF(PROPER(TRIM(Raw_Data!D103))="Bangalore","Bengaluru",IF(PROPER(TRIM(Raw_Data!D103))="Gurgaon","Gurugram",IF(OR(PROPER(TRIM(Raw_Data!D103))="New Delhi",PROPER(TRIM(Raw_Data!D103))="Delhi"),"Delhi",PROPER(TRIM(Raw_Data!D103)))))</f>
        <v/>
      </c>
      <c r="E112" s="48">
        <f>Raw_Data!E103</f>
        <v/>
      </c>
      <c r="F112" s="48">
        <f>IF(TRIM(Raw_Data!F103&amp;"")="","Not Specified",Raw_Data!F103)</f>
        <v/>
      </c>
      <c r="G112" s="48">
        <f>Raw_Data!G103</f>
        <v/>
      </c>
      <c r="H112" s="48">
        <f>Raw_Data!H103</f>
        <v/>
      </c>
      <c r="I112" s="49">
        <f>IF(Raw_Data!I103="","",Raw_Data!I103)</f>
        <v/>
      </c>
      <c r="J112" s="49">
        <f>IF(Raw_Data!J103="","",Raw_Data!J103)</f>
        <v/>
      </c>
      <c r="K112" s="48">
        <f>IF(TRIM(Raw_Data!K103&amp;"")="","Not Specified",Raw_Data!K103)</f>
        <v/>
      </c>
      <c r="L112" s="56">
        <f>Raw_Data!L103</f>
        <v/>
      </c>
      <c r="M112" s="49">
        <f>IF(OR(I112="",J112=""),"",(I112+J112)/2)</f>
        <v/>
      </c>
      <c r="N112" s="49">
        <f>IF(OR(I112="",J112=""),"",J112-I112)</f>
        <v/>
      </c>
      <c r="O112" s="48">
        <f>TEXT(L112,"mmm-yyyy")</f>
        <v/>
      </c>
      <c r="P112" s="48">
        <f>_xlfn.IFS(ISNUMBER(SEARCH("data analy",B112)),"Data Analyst",ISNUMBER(SEARCH("business analy",B112)),"Business Analyst",OR(ISNUMBER(SEARCH("developer",B112)),ISNUMBER(SEARCH("software engineer",B112)),ISNUMBER(SEARCH("programmer",B112))),"Software Developer",ISNUMBER(SEARCH("business development",B112)),"Business Development",ISNUMBER(SEARCH("sales",B112)),"Sales Executive",ISNUMBER(SEARCH("marketing",B112)),"Marketing Executive",OR(ISNUMBER(SEARCH("hr ",B112)),ISNUMBER(SEARCH("recruit",B112)),ISNUMBER(SEARCH("human resource",B112))),"HR / Recruiter",OR(ISNUMBER(SEARCH("account",B112)),ISNUMBER(SEARCH("finance",B112)),ISNUMBER(SEARCH("tax",B112)),ISNUMBER(SEARCH("audit",B112))),"Accountant / Finance",OR(ISNUMBER(SEARCH("customer service",B112)),ISNUMBER(SEARCH("customer support",B112)),ISNUMBER(SEARCH("customer care",B112)),ISNUMBER(SEARCH("voice process",B112)),ISNUMBER(SEARCH("bpo",B112))),"Customer Support",ISNUMBER(SEARCH("engineer",B112)),"Engineer (Technical)",ISNUMBER(SEARCH("manager",B112)),"Manager",OR(ISNUMBER(SEARCH("teacher",B112)),ISNUMBER(SEARCH("trainer",B112)),ISNUMBER(SEARCH("faculty",B112))),"Teacher / Trainer",OR(ISNUMBER(SEARCH("doctor",B112)),ISNUMBER(SEARCH("nurse",B112)),ISNUMBER(SEARCH("medical",B112)),ISNUMBER(SEARCH("pharma",B112)),ISNUMBER(SEARCH("clinical",B112))),"Healthcare",TRUE,"Other")</f>
        <v/>
      </c>
      <c r="Q112" s="48">
        <f>IF(COUNTIFS($B$11:B112,B112,$C$11:C112,C112,$D$11:D112,D112,$L$11:L112,L112)&gt;1,"Duplicate","Unique")</f>
        <v/>
      </c>
    </row>
    <row r="113">
      <c r="A113" s="48">
        <f>Raw_Data!A104</f>
        <v/>
      </c>
      <c r="B113" s="48">
        <f>PROPER(TRIM(Raw_Data!B104))</f>
        <v/>
      </c>
      <c r="C113" s="48">
        <f>TRIM(Raw_Data!C104)</f>
        <v/>
      </c>
      <c r="D113" s="48">
        <f>IF(PROPER(TRIM(Raw_Data!D104))="Bangalore","Bengaluru",IF(PROPER(TRIM(Raw_Data!D104))="Gurgaon","Gurugram",IF(OR(PROPER(TRIM(Raw_Data!D104))="New Delhi",PROPER(TRIM(Raw_Data!D104))="Delhi"),"Delhi",PROPER(TRIM(Raw_Data!D104)))))</f>
        <v/>
      </c>
      <c r="E113" s="48">
        <f>Raw_Data!E104</f>
        <v/>
      </c>
      <c r="F113" s="48">
        <f>IF(TRIM(Raw_Data!F104&amp;"")="","Not Specified",Raw_Data!F104)</f>
        <v/>
      </c>
      <c r="G113" s="48">
        <f>Raw_Data!G104</f>
        <v/>
      </c>
      <c r="H113" s="48">
        <f>Raw_Data!H104</f>
        <v/>
      </c>
      <c r="I113" s="49">
        <f>IF(Raw_Data!I104="","",Raw_Data!I104)</f>
        <v/>
      </c>
      <c r="J113" s="49">
        <f>IF(Raw_Data!J104="","",Raw_Data!J104)</f>
        <v/>
      </c>
      <c r="K113" s="48">
        <f>IF(TRIM(Raw_Data!K104&amp;"")="","Not Specified",Raw_Data!K104)</f>
        <v/>
      </c>
      <c r="L113" s="56">
        <f>Raw_Data!L104</f>
        <v/>
      </c>
      <c r="M113" s="49">
        <f>IF(OR(I113="",J113=""),"",(I113+J113)/2)</f>
        <v/>
      </c>
      <c r="N113" s="49">
        <f>IF(OR(I113="",J113=""),"",J113-I113)</f>
        <v/>
      </c>
      <c r="O113" s="48">
        <f>TEXT(L113,"mmm-yyyy")</f>
        <v/>
      </c>
      <c r="P113" s="48">
        <f>_xlfn.IFS(ISNUMBER(SEARCH("data analy",B113)),"Data Analyst",ISNUMBER(SEARCH("business analy",B113)),"Business Analyst",OR(ISNUMBER(SEARCH("developer",B113)),ISNUMBER(SEARCH("software engineer",B113)),ISNUMBER(SEARCH("programmer",B113))),"Software Developer",ISNUMBER(SEARCH("business development",B113)),"Business Development",ISNUMBER(SEARCH("sales",B113)),"Sales Executive",ISNUMBER(SEARCH("marketing",B113)),"Marketing Executive",OR(ISNUMBER(SEARCH("hr ",B113)),ISNUMBER(SEARCH("recruit",B113)),ISNUMBER(SEARCH("human resource",B113))),"HR / Recruiter",OR(ISNUMBER(SEARCH("account",B113)),ISNUMBER(SEARCH("finance",B113)),ISNUMBER(SEARCH("tax",B113)),ISNUMBER(SEARCH("audit",B113))),"Accountant / Finance",OR(ISNUMBER(SEARCH("customer service",B113)),ISNUMBER(SEARCH("customer support",B113)),ISNUMBER(SEARCH("customer care",B113)),ISNUMBER(SEARCH("voice process",B113)),ISNUMBER(SEARCH("bpo",B113))),"Customer Support",ISNUMBER(SEARCH("engineer",B113)),"Engineer (Technical)",ISNUMBER(SEARCH("manager",B113)),"Manager",OR(ISNUMBER(SEARCH("teacher",B113)),ISNUMBER(SEARCH("trainer",B113)),ISNUMBER(SEARCH("faculty",B113))),"Teacher / Trainer",OR(ISNUMBER(SEARCH("doctor",B113)),ISNUMBER(SEARCH("nurse",B113)),ISNUMBER(SEARCH("medical",B113)),ISNUMBER(SEARCH("pharma",B113)),ISNUMBER(SEARCH("clinical",B113))),"Healthcare",TRUE,"Other")</f>
        <v/>
      </c>
      <c r="Q113" s="48">
        <f>IF(COUNTIFS($B$11:B113,B113,$C$11:C113,C113,$D$11:D113,D113,$L$11:L113,L113)&gt;1,"Duplicate","Unique")</f>
        <v/>
      </c>
    </row>
    <row r="114">
      <c r="A114" s="48">
        <f>Raw_Data!A105</f>
        <v/>
      </c>
      <c r="B114" s="48">
        <f>PROPER(TRIM(Raw_Data!B105))</f>
        <v/>
      </c>
      <c r="C114" s="48">
        <f>TRIM(Raw_Data!C105)</f>
        <v/>
      </c>
      <c r="D114" s="48">
        <f>IF(PROPER(TRIM(Raw_Data!D105))="Bangalore","Bengaluru",IF(PROPER(TRIM(Raw_Data!D105))="Gurgaon","Gurugram",IF(OR(PROPER(TRIM(Raw_Data!D105))="New Delhi",PROPER(TRIM(Raw_Data!D105))="Delhi"),"Delhi",PROPER(TRIM(Raw_Data!D105)))))</f>
        <v/>
      </c>
      <c r="E114" s="48">
        <f>Raw_Data!E105</f>
        <v/>
      </c>
      <c r="F114" s="48">
        <f>IF(TRIM(Raw_Data!F105&amp;"")="","Not Specified",Raw_Data!F105)</f>
        <v/>
      </c>
      <c r="G114" s="48">
        <f>Raw_Data!G105</f>
        <v/>
      </c>
      <c r="H114" s="48">
        <f>Raw_Data!H105</f>
        <v/>
      </c>
      <c r="I114" s="49">
        <f>IF(Raw_Data!I105="","",Raw_Data!I105)</f>
        <v/>
      </c>
      <c r="J114" s="49">
        <f>IF(Raw_Data!J105="","",Raw_Data!J105)</f>
        <v/>
      </c>
      <c r="K114" s="48">
        <f>IF(TRIM(Raw_Data!K105&amp;"")="","Not Specified",Raw_Data!K105)</f>
        <v/>
      </c>
      <c r="L114" s="56">
        <f>Raw_Data!L105</f>
        <v/>
      </c>
      <c r="M114" s="49">
        <f>IF(OR(I114="",J114=""),"",(I114+J114)/2)</f>
        <v/>
      </c>
      <c r="N114" s="49">
        <f>IF(OR(I114="",J114=""),"",J114-I114)</f>
        <v/>
      </c>
      <c r="O114" s="48">
        <f>TEXT(L114,"mmm-yyyy")</f>
        <v/>
      </c>
      <c r="P114" s="48">
        <f>_xlfn.IFS(ISNUMBER(SEARCH("data analy",B114)),"Data Analyst",ISNUMBER(SEARCH("business analy",B114)),"Business Analyst",OR(ISNUMBER(SEARCH("developer",B114)),ISNUMBER(SEARCH("software engineer",B114)),ISNUMBER(SEARCH("programmer",B114))),"Software Developer",ISNUMBER(SEARCH("business development",B114)),"Business Development",ISNUMBER(SEARCH("sales",B114)),"Sales Executive",ISNUMBER(SEARCH("marketing",B114)),"Marketing Executive",OR(ISNUMBER(SEARCH("hr ",B114)),ISNUMBER(SEARCH("recruit",B114)),ISNUMBER(SEARCH("human resource",B114))),"HR / Recruiter",OR(ISNUMBER(SEARCH("account",B114)),ISNUMBER(SEARCH("finance",B114)),ISNUMBER(SEARCH("tax",B114)),ISNUMBER(SEARCH("audit",B114))),"Accountant / Finance",OR(ISNUMBER(SEARCH("customer service",B114)),ISNUMBER(SEARCH("customer support",B114)),ISNUMBER(SEARCH("customer care",B114)),ISNUMBER(SEARCH("voice process",B114)),ISNUMBER(SEARCH("bpo",B114))),"Customer Support",ISNUMBER(SEARCH("engineer",B114)),"Engineer (Technical)",ISNUMBER(SEARCH("manager",B114)),"Manager",OR(ISNUMBER(SEARCH("teacher",B114)),ISNUMBER(SEARCH("trainer",B114)),ISNUMBER(SEARCH("faculty",B114))),"Teacher / Trainer",OR(ISNUMBER(SEARCH("doctor",B114)),ISNUMBER(SEARCH("nurse",B114)),ISNUMBER(SEARCH("medical",B114)),ISNUMBER(SEARCH("pharma",B114)),ISNUMBER(SEARCH("clinical",B114))),"Healthcare",TRUE,"Other")</f>
        <v/>
      </c>
      <c r="Q114" s="48">
        <f>IF(COUNTIFS($B$11:B114,B114,$C$11:C114,C114,$D$11:D114,D114,$L$11:L114,L114)&gt;1,"Duplicate","Unique")</f>
        <v/>
      </c>
    </row>
    <row r="115">
      <c r="A115" s="48">
        <f>Raw_Data!A106</f>
        <v/>
      </c>
      <c r="B115" s="48">
        <f>PROPER(TRIM(Raw_Data!B106))</f>
        <v/>
      </c>
      <c r="C115" s="48">
        <f>TRIM(Raw_Data!C106)</f>
        <v/>
      </c>
      <c r="D115" s="48">
        <f>IF(PROPER(TRIM(Raw_Data!D106))="Bangalore","Bengaluru",IF(PROPER(TRIM(Raw_Data!D106))="Gurgaon","Gurugram",IF(OR(PROPER(TRIM(Raw_Data!D106))="New Delhi",PROPER(TRIM(Raw_Data!D106))="Delhi"),"Delhi",PROPER(TRIM(Raw_Data!D106)))))</f>
        <v/>
      </c>
      <c r="E115" s="48">
        <f>Raw_Data!E106</f>
        <v/>
      </c>
      <c r="F115" s="48">
        <f>IF(TRIM(Raw_Data!F106&amp;"")="","Not Specified",Raw_Data!F106)</f>
        <v/>
      </c>
      <c r="G115" s="48">
        <f>Raw_Data!G106</f>
        <v/>
      </c>
      <c r="H115" s="48">
        <f>Raw_Data!H106</f>
        <v/>
      </c>
      <c r="I115" s="49">
        <f>IF(Raw_Data!I106="","",Raw_Data!I106)</f>
        <v/>
      </c>
      <c r="J115" s="49">
        <f>IF(Raw_Data!J106="","",Raw_Data!J106)</f>
        <v/>
      </c>
      <c r="K115" s="48">
        <f>IF(TRIM(Raw_Data!K106&amp;"")="","Not Specified",Raw_Data!K106)</f>
        <v/>
      </c>
      <c r="L115" s="56">
        <f>Raw_Data!L106</f>
        <v/>
      </c>
      <c r="M115" s="49">
        <f>IF(OR(I115="",J115=""),"",(I115+J115)/2)</f>
        <v/>
      </c>
      <c r="N115" s="49">
        <f>IF(OR(I115="",J115=""),"",J115-I115)</f>
        <v/>
      </c>
      <c r="O115" s="48">
        <f>TEXT(L115,"mmm-yyyy")</f>
        <v/>
      </c>
      <c r="P115" s="48">
        <f>_xlfn.IFS(ISNUMBER(SEARCH("data analy",B115)),"Data Analyst",ISNUMBER(SEARCH("business analy",B115)),"Business Analyst",OR(ISNUMBER(SEARCH("developer",B115)),ISNUMBER(SEARCH("software engineer",B115)),ISNUMBER(SEARCH("programmer",B115))),"Software Developer",ISNUMBER(SEARCH("business development",B115)),"Business Development",ISNUMBER(SEARCH("sales",B115)),"Sales Executive",ISNUMBER(SEARCH("marketing",B115)),"Marketing Executive",OR(ISNUMBER(SEARCH("hr ",B115)),ISNUMBER(SEARCH("recruit",B115)),ISNUMBER(SEARCH("human resource",B115))),"HR / Recruiter",OR(ISNUMBER(SEARCH("account",B115)),ISNUMBER(SEARCH("finance",B115)),ISNUMBER(SEARCH("tax",B115)),ISNUMBER(SEARCH("audit",B115))),"Accountant / Finance",OR(ISNUMBER(SEARCH("customer service",B115)),ISNUMBER(SEARCH("customer support",B115)),ISNUMBER(SEARCH("customer care",B115)),ISNUMBER(SEARCH("voice process",B115)),ISNUMBER(SEARCH("bpo",B115))),"Customer Support",ISNUMBER(SEARCH("engineer",B115)),"Engineer (Technical)",ISNUMBER(SEARCH("manager",B115)),"Manager",OR(ISNUMBER(SEARCH("teacher",B115)),ISNUMBER(SEARCH("trainer",B115)),ISNUMBER(SEARCH("faculty",B115))),"Teacher / Trainer",OR(ISNUMBER(SEARCH("doctor",B115)),ISNUMBER(SEARCH("nurse",B115)),ISNUMBER(SEARCH("medical",B115)),ISNUMBER(SEARCH("pharma",B115)),ISNUMBER(SEARCH("clinical",B115))),"Healthcare",TRUE,"Other")</f>
        <v/>
      </c>
      <c r="Q115" s="48">
        <f>IF(COUNTIFS($B$11:B115,B115,$C$11:C115,C115,$D$11:D115,D115,$L$11:L115,L115)&gt;1,"Duplicate","Unique")</f>
        <v/>
      </c>
    </row>
    <row r="116">
      <c r="A116" s="48">
        <f>Raw_Data!A107</f>
        <v/>
      </c>
      <c r="B116" s="48">
        <f>PROPER(TRIM(Raw_Data!B107))</f>
        <v/>
      </c>
      <c r="C116" s="48">
        <f>TRIM(Raw_Data!C107)</f>
        <v/>
      </c>
      <c r="D116" s="48">
        <f>IF(PROPER(TRIM(Raw_Data!D107))="Bangalore","Bengaluru",IF(PROPER(TRIM(Raw_Data!D107))="Gurgaon","Gurugram",IF(OR(PROPER(TRIM(Raw_Data!D107))="New Delhi",PROPER(TRIM(Raw_Data!D107))="Delhi"),"Delhi",PROPER(TRIM(Raw_Data!D107)))))</f>
        <v/>
      </c>
      <c r="E116" s="48">
        <f>Raw_Data!E107</f>
        <v/>
      </c>
      <c r="F116" s="48">
        <f>IF(TRIM(Raw_Data!F107&amp;"")="","Not Specified",Raw_Data!F107)</f>
        <v/>
      </c>
      <c r="G116" s="48">
        <f>Raw_Data!G107</f>
        <v/>
      </c>
      <c r="H116" s="48">
        <f>Raw_Data!H107</f>
        <v/>
      </c>
      <c r="I116" s="49">
        <f>IF(Raw_Data!I107="","",Raw_Data!I107)</f>
        <v/>
      </c>
      <c r="J116" s="49">
        <f>IF(Raw_Data!J107="","",Raw_Data!J107)</f>
        <v/>
      </c>
      <c r="K116" s="48">
        <f>IF(TRIM(Raw_Data!K107&amp;"")="","Not Specified",Raw_Data!K107)</f>
        <v/>
      </c>
      <c r="L116" s="56">
        <f>Raw_Data!L107</f>
        <v/>
      </c>
      <c r="M116" s="49">
        <f>IF(OR(I116="",J116=""),"",(I116+J116)/2)</f>
        <v/>
      </c>
      <c r="N116" s="49">
        <f>IF(OR(I116="",J116=""),"",J116-I116)</f>
        <v/>
      </c>
      <c r="O116" s="48">
        <f>TEXT(L116,"mmm-yyyy")</f>
        <v/>
      </c>
      <c r="P116" s="48">
        <f>_xlfn.IFS(ISNUMBER(SEARCH("data analy",B116)),"Data Analyst",ISNUMBER(SEARCH("business analy",B116)),"Business Analyst",OR(ISNUMBER(SEARCH("developer",B116)),ISNUMBER(SEARCH("software engineer",B116)),ISNUMBER(SEARCH("programmer",B116))),"Software Developer",ISNUMBER(SEARCH("business development",B116)),"Business Development",ISNUMBER(SEARCH("sales",B116)),"Sales Executive",ISNUMBER(SEARCH("marketing",B116)),"Marketing Executive",OR(ISNUMBER(SEARCH("hr ",B116)),ISNUMBER(SEARCH("recruit",B116)),ISNUMBER(SEARCH("human resource",B116))),"HR / Recruiter",OR(ISNUMBER(SEARCH("account",B116)),ISNUMBER(SEARCH("finance",B116)),ISNUMBER(SEARCH("tax",B116)),ISNUMBER(SEARCH("audit",B116))),"Accountant / Finance",OR(ISNUMBER(SEARCH("customer service",B116)),ISNUMBER(SEARCH("customer support",B116)),ISNUMBER(SEARCH("customer care",B116)),ISNUMBER(SEARCH("voice process",B116)),ISNUMBER(SEARCH("bpo",B116))),"Customer Support",ISNUMBER(SEARCH("engineer",B116)),"Engineer (Technical)",ISNUMBER(SEARCH("manager",B116)),"Manager",OR(ISNUMBER(SEARCH("teacher",B116)),ISNUMBER(SEARCH("trainer",B116)),ISNUMBER(SEARCH("faculty",B116))),"Teacher / Trainer",OR(ISNUMBER(SEARCH("doctor",B116)),ISNUMBER(SEARCH("nurse",B116)),ISNUMBER(SEARCH("medical",B116)),ISNUMBER(SEARCH("pharma",B116)),ISNUMBER(SEARCH("clinical",B116))),"Healthcare",TRUE,"Other")</f>
        <v/>
      </c>
      <c r="Q116" s="48">
        <f>IF(COUNTIFS($B$11:B116,B116,$C$11:C116,C116,$D$11:D116,D116,$L$11:L116,L116)&gt;1,"Duplicate","Unique")</f>
        <v/>
      </c>
    </row>
    <row r="117">
      <c r="A117" s="48">
        <f>Raw_Data!A108</f>
        <v/>
      </c>
      <c r="B117" s="48">
        <f>PROPER(TRIM(Raw_Data!B108))</f>
        <v/>
      </c>
      <c r="C117" s="48">
        <f>TRIM(Raw_Data!C108)</f>
        <v/>
      </c>
      <c r="D117" s="48">
        <f>IF(PROPER(TRIM(Raw_Data!D108))="Bangalore","Bengaluru",IF(PROPER(TRIM(Raw_Data!D108))="Gurgaon","Gurugram",IF(OR(PROPER(TRIM(Raw_Data!D108))="New Delhi",PROPER(TRIM(Raw_Data!D108))="Delhi"),"Delhi",PROPER(TRIM(Raw_Data!D108)))))</f>
        <v/>
      </c>
      <c r="E117" s="48">
        <f>Raw_Data!E108</f>
        <v/>
      </c>
      <c r="F117" s="48">
        <f>IF(TRIM(Raw_Data!F108&amp;"")="","Not Specified",Raw_Data!F108)</f>
        <v/>
      </c>
      <c r="G117" s="48">
        <f>Raw_Data!G108</f>
        <v/>
      </c>
      <c r="H117" s="48">
        <f>Raw_Data!H108</f>
        <v/>
      </c>
      <c r="I117" s="49">
        <f>IF(Raw_Data!I108="","",Raw_Data!I108)</f>
        <v/>
      </c>
      <c r="J117" s="49">
        <f>IF(Raw_Data!J108="","",Raw_Data!J108)</f>
        <v/>
      </c>
      <c r="K117" s="48">
        <f>IF(TRIM(Raw_Data!K108&amp;"")="","Not Specified",Raw_Data!K108)</f>
        <v/>
      </c>
      <c r="L117" s="56">
        <f>Raw_Data!L108</f>
        <v/>
      </c>
      <c r="M117" s="49">
        <f>IF(OR(I117="",J117=""),"",(I117+J117)/2)</f>
        <v/>
      </c>
      <c r="N117" s="49">
        <f>IF(OR(I117="",J117=""),"",J117-I117)</f>
        <v/>
      </c>
      <c r="O117" s="48">
        <f>TEXT(L117,"mmm-yyyy")</f>
        <v/>
      </c>
      <c r="P117" s="48">
        <f>_xlfn.IFS(ISNUMBER(SEARCH("data analy",B117)),"Data Analyst",ISNUMBER(SEARCH("business analy",B117)),"Business Analyst",OR(ISNUMBER(SEARCH("developer",B117)),ISNUMBER(SEARCH("software engineer",B117)),ISNUMBER(SEARCH("programmer",B117))),"Software Developer",ISNUMBER(SEARCH("business development",B117)),"Business Development",ISNUMBER(SEARCH("sales",B117)),"Sales Executive",ISNUMBER(SEARCH("marketing",B117)),"Marketing Executive",OR(ISNUMBER(SEARCH("hr ",B117)),ISNUMBER(SEARCH("recruit",B117)),ISNUMBER(SEARCH("human resource",B117))),"HR / Recruiter",OR(ISNUMBER(SEARCH("account",B117)),ISNUMBER(SEARCH("finance",B117)),ISNUMBER(SEARCH("tax",B117)),ISNUMBER(SEARCH("audit",B117))),"Accountant / Finance",OR(ISNUMBER(SEARCH("customer service",B117)),ISNUMBER(SEARCH("customer support",B117)),ISNUMBER(SEARCH("customer care",B117)),ISNUMBER(SEARCH("voice process",B117)),ISNUMBER(SEARCH("bpo",B117))),"Customer Support",ISNUMBER(SEARCH("engineer",B117)),"Engineer (Technical)",ISNUMBER(SEARCH("manager",B117)),"Manager",OR(ISNUMBER(SEARCH("teacher",B117)),ISNUMBER(SEARCH("trainer",B117)),ISNUMBER(SEARCH("faculty",B117))),"Teacher / Trainer",OR(ISNUMBER(SEARCH("doctor",B117)),ISNUMBER(SEARCH("nurse",B117)),ISNUMBER(SEARCH("medical",B117)),ISNUMBER(SEARCH("pharma",B117)),ISNUMBER(SEARCH("clinical",B117))),"Healthcare",TRUE,"Other")</f>
        <v/>
      </c>
      <c r="Q117" s="48">
        <f>IF(COUNTIFS($B$11:B117,B117,$C$11:C117,C117,$D$11:D117,D117,$L$11:L117,L117)&gt;1,"Duplicate","Unique")</f>
        <v/>
      </c>
    </row>
    <row r="118">
      <c r="A118" s="48">
        <f>Raw_Data!A109</f>
        <v/>
      </c>
      <c r="B118" s="48">
        <f>PROPER(TRIM(Raw_Data!B109))</f>
        <v/>
      </c>
      <c r="C118" s="48">
        <f>TRIM(Raw_Data!C109)</f>
        <v/>
      </c>
      <c r="D118" s="48">
        <f>IF(PROPER(TRIM(Raw_Data!D109))="Bangalore","Bengaluru",IF(PROPER(TRIM(Raw_Data!D109))="Gurgaon","Gurugram",IF(OR(PROPER(TRIM(Raw_Data!D109))="New Delhi",PROPER(TRIM(Raw_Data!D109))="Delhi"),"Delhi",PROPER(TRIM(Raw_Data!D109)))))</f>
        <v/>
      </c>
      <c r="E118" s="48">
        <f>Raw_Data!E109</f>
        <v/>
      </c>
      <c r="F118" s="48">
        <f>IF(TRIM(Raw_Data!F109&amp;"")="","Not Specified",Raw_Data!F109)</f>
        <v/>
      </c>
      <c r="G118" s="48">
        <f>Raw_Data!G109</f>
        <v/>
      </c>
      <c r="H118" s="48">
        <f>Raw_Data!H109</f>
        <v/>
      </c>
      <c r="I118" s="49">
        <f>IF(Raw_Data!I109="","",Raw_Data!I109)</f>
        <v/>
      </c>
      <c r="J118" s="49">
        <f>IF(Raw_Data!J109="","",Raw_Data!J109)</f>
        <v/>
      </c>
      <c r="K118" s="48">
        <f>IF(TRIM(Raw_Data!K109&amp;"")="","Not Specified",Raw_Data!K109)</f>
        <v/>
      </c>
      <c r="L118" s="56">
        <f>Raw_Data!L109</f>
        <v/>
      </c>
      <c r="M118" s="49">
        <f>IF(OR(I118="",J118=""),"",(I118+J118)/2)</f>
        <v/>
      </c>
      <c r="N118" s="49">
        <f>IF(OR(I118="",J118=""),"",J118-I118)</f>
        <v/>
      </c>
      <c r="O118" s="48">
        <f>TEXT(L118,"mmm-yyyy")</f>
        <v/>
      </c>
      <c r="P118" s="48">
        <f>_xlfn.IFS(ISNUMBER(SEARCH("data analy",B118)),"Data Analyst",ISNUMBER(SEARCH("business analy",B118)),"Business Analyst",OR(ISNUMBER(SEARCH("developer",B118)),ISNUMBER(SEARCH("software engineer",B118)),ISNUMBER(SEARCH("programmer",B118))),"Software Developer",ISNUMBER(SEARCH("business development",B118)),"Business Development",ISNUMBER(SEARCH("sales",B118)),"Sales Executive",ISNUMBER(SEARCH("marketing",B118)),"Marketing Executive",OR(ISNUMBER(SEARCH("hr ",B118)),ISNUMBER(SEARCH("recruit",B118)),ISNUMBER(SEARCH("human resource",B118))),"HR / Recruiter",OR(ISNUMBER(SEARCH("account",B118)),ISNUMBER(SEARCH("finance",B118)),ISNUMBER(SEARCH("tax",B118)),ISNUMBER(SEARCH("audit",B118))),"Accountant / Finance",OR(ISNUMBER(SEARCH("customer service",B118)),ISNUMBER(SEARCH("customer support",B118)),ISNUMBER(SEARCH("customer care",B118)),ISNUMBER(SEARCH("voice process",B118)),ISNUMBER(SEARCH("bpo",B118))),"Customer Support",ISNUMBER(SEARCH("engineer",B118)),"Engineer (Technical)",ISNUMBER(SEARCH("manager",B118)),"Manager",OR(ISNUMBER(SEARCH("teacher",B118)),ISNUMBER(SEARCH("trainer",B118)),ISNUMBER(SEARCH("faculty",B118))),"Teacher / Trainer",OR(ISNUMBER(SEARCH("doctor",B118)),ISNUMBER(SEARCH("nurse",B118)),ISNUMBER(SEARCH("medical",B118)),ISNUMBER(SEARCH("pharma",B118)),ISNUMBER(SEARCH("clinical",B118))),"Healthcare",TRUE,"Other")</f>
        <v/>
      </c>
      <c r="Q118" s="48">
        <f>IF(COUNTIFS($B$11:B118,B118,$C$11:C118,C118,$D$11:D118,D118,$L$11:L118,L118)&gt;1,"Duplicate","Unique")</f>
        <v/>
      </c>
    </row>
    <row r="119">
      <c r="A119" s="48">
        <f>Raw_Data!A110</f>
        <v/>
      </c>
      <c r="B119" s="48">
        <f>PROPER(TRIM(Raw_Data!B110))</f>
        <v/>
      </c>
      <c r="C119" s="48">
        <f>TRIM(Raw_Data!C110)</f>
        <v/>
      </c>
      <c r="D119" s="48">
        <f>IF(PROPER(TRIM(Raw_Data!D110))="Bangalore","Bengaluru",IF(PROPER(TRIM(Raw_Data!D110))="Gurgaon","Gurugram",IF(OR(PROPER(TRIM(Raw_Data!D110))="New Delhi",PROPER(TRIM(Raw_Data!D110))="Delhi"),"Delhi",PROPER(TRIM(Raw_Data!D110)))))</f>
        <v/>
      </c>
      <c r="E119" s="48">
        <f>Raw_Data!E110</f>
        <v/>
      </c>
      <c r="F119" s="48">
        <f>IF(TRIM(Raw_Data!F110&amp;"")="","Not Specified",Raw_Data!F110)</f>
        <v/>
      </c>
      <c r="G119" s="48">
        <f>Raw_Data!G110</f>
        <v/>
      </c>
      <c r="H119" s="48">
        <f>Raw_Data!H110</f>
        <v/>
      </c>
      <c r="I119" s="49">
        <f>IF(Raw_Data!I110="","",Raw_Data!I110)</f>
        <v/>
      </c>
      <c r="J119" s="49">
        <f>IF(Raw_Data!J110="","",Raw_Data!J110)</f>
        <v/>
      </c>
      <c r="K119" s="48">
        <f>IF(TRIM(Raw_Data!K110&amp;"")="","Not Specified",Raw_Data!K110)</f>
        <v/>
      </c>
      <c r="L119" s="56">
        <f>Raw_Data!L110</f>
        <v/>
      </c>
      <c r="M119" s="49">
        <f>IF(OR(I119="",J119=""),"",(I119+J119)/2)</f>
        <v/>
      </c>
      <c r="N119" s="49">
        <f>IF(OR(I119="",J119=""),"",J119-I119)</f>
        <v/>
      </c>
      <c r="O119" s="48">
        <f>TEXT(L119,"mmm-yyyy")</f>
        <v/>
      </c>
      <c r="P119" s="48">
        <f>_xlfn.IFS(ISNUMBER(SEARCH("data analy",B119)),"Data Analyst",ISNUMBER(SEARCH("business analy",B119)),"Business Analyst",OR(ISNUMBER(SEARCH("developer",B119)),ISNUMBER(SEARCH("software engineer",B119)),ISNUMBER(SEARCH("programmer",B119))),"Software Developer",ISNUMBER(SEARCH("business development",B119)),"Business Development",ISNUMBER(SEARCH("sales",B119)),"Sales Executive",ISNUMBER(SEARCH("marketing",B119)),"Marketing Executive",OR(ISNUMBER(SEARCH("hr ",B119)),ISNUMBER(SEARCH("recruit",B119)),ISNUMBER(SEARCH("human resource",B119))),"HR / Recruiter",OR(ISNUMBER(SEARCH("account",B119)),ISNUMBER(SEARCH("finance",B119)),ISNUMBER(SEARCH("tax",B119)),ISNUMBER(SEARCH("audit",B119))),"Accountant / Finance",OR(ISNUMBER(SEARCH("customer service",B119)),ISNUMBER(SEARCH("customer support",B119)),ISNUMBER(SEARCH("customer care",B119)),ISNUMBER(SEARCH("voice process",B119)),ISNUMBER(SEARCH("bpo",B119))),"Customer Support",ISNUMBER(SEARCH("engineer",B119)),"Engineer (Technical)",ISNUMBER(SEARCH("manager",B119)),"Manager",OR(ISNUMBER(SEARCH("teacher",B119)),ISNUMBER(SEARCH("trainer",B119)),ISNUMBER(SEARCH("faculty",B119))),"Teacher / Trainer",OR(ISNUMBER(SEARCH("doctor",B119)),ISNUMBER(SEARCH("nurse",B119)),ISNUMBER(SEARCH("medical",B119)),ISNUMBER(SEARCH("pharma",B119)),ISNUMBER(SEARCH("clinical",B119))),"Healthcare",TRUE,"Other")</f>
        <v/>
      </c>
      <c r="Q119" s="48">
        <f>IF(COUNTIFS($B$11:B119,B119,$C$11:C119,C119,$D$11:D119,D119,$L$11:L119,L119)&gt;1,"Duplicate","Unique")</f>
        <v/>
      </c>
    </row>
    <row r="120">
      <c r="A120" s="48">
        <f>Raw_Data!A111</f>
        <v/>
      </c>
      <c r="B120" s="48">
        <f>PROPER(TRIM(Raw_Data!B111))</f>
        <v/>
      </c>
      <c r="C120" s="48">
        <f>TRIM(Raw_Data!C111)</f>
        <v/>
      </c>
      <c r="D120" s="48">
        <f>IF(PROPER(TRIM(Raw_Data!D111))="Bangalore","Bengaluru",IF(PROPER(TRIM(Raw_Data!D111))="Gurgaon","Gurugram",IF(OR(PROPER(TRIM(Raw_Data!D111))="New Delhi",PROPER(TRIM(Raw_Data!D111))="Delhi"),"Delhi",PROPER(TRIM(Raw_Data!D111)))))</f>
        <v/>
      </c>
      <c r="E120" s="48">
        <f>Raw_Data!E111</f>
        <v/>
      </c>
      <c r="F120" s="48">
        <f>IF(TRIM(Raw_Data!F111&amp;"")="","Not Specified",Raw_Data!F111)</f>
        <v/>
      </c>
      <c r="G120" s="48">
        <f>Raw_Data!G111</f>
        <v/>
      </c>
      <c r="H120" s="48">
        <f>Raw_Data!H111</f>
        <v/>
      </c>
      <c r="I120" s="49">
        <f>IF(Raw_Data!I111="","",Raw_Data!I111)</f>
        <v/>
      </c>
      <c r="J120" s="49">
        <f>IF(Raw_Data!J111="","",Raw_Data!J111)</f>
        <v/>
      </c>
      <c r="K120" s="48">
        <f>IF(TRIM(Raw_Data!K111&amp;"")="","Not Specified",Raw_Data!K111)</f>
        <v/>
      </c>
      <c r="L120" s="56">
        <f>Raw_Data!L111</f>
        <v/>
      </c>
      <c r="M120" s="49">
        <f>IF(OR(I120="",J120=""),"",(I120+J120)/2)</f>
        <v/>
      </c>
      <c r="N120" s="49">
        <f>IF(OR(I120="",J120=""),"",J120-I120)</f>
        <v/>
      </c>
      <c r="O120" s="48">
        <f>TEXT(L120,"mmm-yyyy")</f>
        <v/>
      </c>
      <c r="P120" s="48">
        <f>_xlfn.IFS(ISNUMBER(SEARCH("data analy",B120)),"Data Analyst",ISNUMBER(SEARCH("business analy",B120)),"Business Analyst",OR(ISNUMBER(SEARCH("developer",B120)),ISNUMBER(SEARCH("software engineer",B120)),ISNUMBER(SEARCH("programmer",B120))),"Software Developer",ISNUMBER(SEARCH("business development",B120)),"Business Development",ISNUMBER(SEARCH("sales",B120)),"Sales Executive",ISNUMBER(SEARCH("marketing",B120)),"Marketing Executive",OR(ISNUMBER(SEARCH("hr ",B120)),ISNUMBER(SEARCH("recruit",B120)),ISNUMBER(SEARCH("human resource",B120))),"HR / Recruiter",OR(ISNUMBER(SEARCH("account",B120)),ISNUMBER(SEARCH("finance",B120)),ISNUMBER(SEARCH("tax",B120)),ISNUMBER(SEARCH("audit",B120))),"Accountant / Finance",OR(ISNUMBER(SEARCH("customer service",B120)),ISNUMBER(SEARCH("customer support",B120)),ISNUMBER(SEARCH("customer care",B120)),ISNUMBER(SEARCH("voice process",B120)),ISNUMBER(SEARCH("bpo",B120))),"Customer Support",ISNUMBER(SEARCH("engineer",B120)),"Engineer (Technical)",ISNUMBER(SEARCH("manager",B120)),"Manager",OR(ISNUMBER(SEARCH("teacher",B120)),ISNUMBER(SEARCH("trainer",B120)),ISNUMBER(SEARCH("faculty",B120))),"Teacher / Trainer",OR(ISNUMBER(SEARCH("doctor",B120)),ISNUMBER(SEARCH("nurse",B120)),ISNUMBER(SEARCH("medical",B120)),ISNUMBER(SEARCH("pharma",B120)),ISNUMBER(SEARCH("clinical",B120))),"Healthcare",TRUE,"Other")</f>
        <v/>
      </c>
      <c r="Q120" s="48">
        <f>IF(COUNTIFS($B$11:B120,B120,$C$11:C120,C120,$D$11:D120,D120,$L$11:L120,L120)&gt;1,"Duplicate","Unique")</f>
        <v/>
      </c>
    </row>
    <row r="121">
      <c r="A121" s="48">
        <f>Raw_Data!A112</f>
        <v/>
      </c>
      <c r="B121" s="48">
        <f>PROPER(TRIM(Raw_Data!B112))</f>
        <v/>
      </c>
      <c r="C121" s="48">
        <f>TRIM(Raw_Data!C112)</f>
        <v/>
      </c>
      <c r="D121" s="48">
        <f>IF(PROPER(TRIM(Raw_Data!D112))="Bangalore","Bengaluru",IF(PROPER(TRIM(Raw_Data!D112))="Gurgaon","Gurugram",IF(OR(PROPER(TRIM(Raw_Data!D112))="New Delhi",PROPER(TRIM(Raw_Data!D112))="Delhi"),"Delhi",PROPER(TRIM(Raw_Data!D112)))))</f>
        <v/>
      </c>
      <c r="E121" s="48">
        <f>Raw_Data!E112</f>
        <v/>
      </c>
      <c r="F121" s="48">
        <f>IF(TRIM(Raw_Data!F112&amp;"")="","Not Specified",Raw_Data!F112)</f>
        <v/>
      </c>
      <c r="G121" s="48">
        <f>Raw_Data!G112</f>
        <v/>
      </c>
      <c r="H121" s="48">
        <f>Raw_Data!H112</f>
        <v/>
      </c>
      <c r="I121" s="49">
        <f>IF(Raw_Data!I112="","",Raw_Data!I112)</f>
        <v/>
      </c>
      <c r="J121" s="49">
        <f>IF(Raw_Data!J112="","",Raw_Data!J112)</f>
        <v/>
      </c>
      <c r="K121" s="48">
        <f>IF(TRIM(Raw_Data!K112&amp;"")="","Not Specified",Raw_Data!K112)</f>
        <v/>
      </c>
      <c r="L121" s="56">
        <f>Raw_Data!L112</f>
        <v/>
      </c>
      <c r="M121" s="49">
        <f>IF(OR(I121="",J121=""),"",(I121+J121)/2)</f>
        <v/>
      </c>
      <c r="N121" s="49">
        <f>IF(OR(I121="",J121=""),"",J121-I121)</f>
        <v/>
      </c>
      <c r="O121" s="48">
        <f>TEXT(L121,"mmm-yyyy")</f>
        <v/>
      </c>
      <c r="P121" s="48">
        <f>_xlfn.IFS(ISNUMBER(SEARCH("data analy",B121)),"Data Analyst",ISNUMBER(SEARCH("business analy",B121)),"Business Analyst",OR(ISNUMBER(SEARCH("developer",B121)),ISNUMBER(SEARCH("software engineer",B121)),ISNUMBER(SEARCH("programmer",B121))),"Software Developer",ISNUMBER(SEARCH("business development",B121)),"Business Development",ISNUMBER(SEARCH("sales",B121)),"Sales Executive",ISNUMBER(SEARCH("marketing",B121)),"Marketing Executive",OR(ISNUMBER(SEARCH("hr ",B121)),ISNUMBER(SEARCH("recruit",B121)),ISNUMBER(SEARCH("human resource",B121))),"HR / Recruiter",OR(ISNUMBER(SEARCH("account",B121)),ISNUMBER(SEARCH("finance",B121)),ISNUMBER(SEARCH("tax",B121)),ISNUMBER(SEARCH("audit",B121))),"Accountant / Finance",OR(ISNUMBER(SEARCH("customer service",B121)),ISNUMBER(SEARCH("customer support",B121)),ISNUMBER(SEARCH("customer care",B121)),ISNUMBER(SEARCH("voice process",B121)),ISNUMBER(SEARCH("bpo",B121))),"Customer Support",ISNUMBER(SEARCH("engineer",B121)),"Engineer (Technical)",ISNUMBER(SEARCH("manager",B121)),"Manager",OR(ISNUMBER(SEARCH("teacher",B121)),ISNUMBER(SEARCH("trainer",B121)),ISNUMBER(SEARCH("faculty",B121))),"Teacher / Trainer",OR(ISNUMBER(SEARCH("doctor",B121)),ISNUMBER(SEARCH("nurse",B121)),ISNUMBER(SEARCH("medical",B121)),ISNUMBER(SEARCH("pharma",B121)),ISNUMBER(SEARCH("clinical",B121))),"Healthcare",TRUE,"Other")</f>
        <v/>
      </c>
      <c r="Q121" s="48">
        <f>IF(COUNTIFS($B$11:B121,B121,$C$11:C121,C121,$D$11:D121,D121,$L$11:L121,L121)&gt;1,"Duplicate","Unique")</f>
        <v/>
      </c>
    </row>
    <row r="122">
      <c r="A122" s="48">
        <f>Raw_Data!A113</f>
        <v/>
      </c>
      <c r="B122" s="48">
        <f>PROPER(TRIM(Raw_Data!B113))</f>
        <v/>
      </c>
      <c r="C122" s="48">
        <f>TRIM(Raw_Data!C113)</f>
        <v/>
      </c>
      <c r="D122" s="48">
        <f>IF(PROPER(TRIM(Raw_Data!D113))="Bangalore","Bengaluru",IF(PROPER(TRIM(Raw_Data!D113))="Gurgaon","Gurugram",IF(OR(PROPER(TRIM(Raw_Data!D113))="New Delhi",PROPER(TRIM(Raw_Data!D113))="Delhi"),"Delhi",PROPER(TRIM(Raw_Data!D113)))))</f>
        <v/>
      </c>
      <c r="E122" s="48">
        <f>Raw_Data!E113</f>
        <v/>
      </c>
      <c r="F122" s="48">
        <f>IF(TRIM(Raw_Data!F113&amp;"")="","Not Specified",Raw_Data!F113)</f>
        <v/>
      </c>
      <c r="G122" s="48">
        <f>Raw_Data!G113</f>
        <v/>
      </c>
      <c r="H122" s="48">
        <f>Raw_Data!H113</f>
        <v/>
      </c>
      <c r="I122" s="49">
        <f>IF(Raw_Data!I113="","",Raw_Data!I113)</f>
        <v/>
      </c>
      <c r="J122" s="49">
        <f>IF(Raw_Data!J113="","",Raw_Data!J113)</f>
        <v/>
      </c>
      <c r="K122" s="48">
        <f>IF(TRIM(Raw_Data!K113&amp;"")="","Not Specified",Raw_Data!K113)</f>
        <v/>
      </c>
      <c r="L122" s="56">
        <f>Raw_Data!L113</f>
        <v/>
      </c>
      <c r="M122" s="49">
        <f>IF(OR(I122="",J122=""),"",(I122+J122)/2)</f>
        <v/>
      </c>
      <c r="N122" s="49">
        <f>IF(OR(I122="",J122=""),"",J122-I122)</f>
        <v/>
      </c>
      <c r="O122" s="48">
        <f>TEXT(L122,"mmm-yyyy")</f>
        <v/>
      </c>
      <c r="P122" s="48">
        <f>_xlfn.IFS(ISNUMBER(SEARCH("data analy",B122)),"Data Analyst",ISNUMBER(SEARCH("business analy",B122)),"Business Analyst",OR(ISNUMBER(SEARCH("developer",B122)),ISNUMBER(SEARCH("software engineer",B122)),ISNUMBER(SEARCH("programmer",B122))),"Software Developer",ISNUMBER(SEARCH("business development",B122)),"Business Development",ISNUMBER(SEARCH("sales",B122)),"Sales Executive",ISNUMBER(SEARCH("marketing",B122)),"Marketing Executive",OR(ISNUMBER(SEARCH("hr ",B122)),ISNUMBER(SEARCH("recruit",B122)),ISNUMBER(SEARCH("human resource",B122))),"HR / Recruiter",OR(ISNUMBER(SEARCH("account",B122)),ISNUMBER(SEARCH("finance",B122)),ISNUMBER(SEARCH("tax",B122)),ISNUMBER(SEARCH("audit",B122))),"Accountant / Finance",OR(ISNUMBER(SEARCH("customer service",B122)),ISNUMBER(SEARCH("customer support",B122)),ISNUMBER(SEARCH("customer care",B122)),ISNUMBER(SEARCH("voice process",B122)),ISNUMBER(SEARCH("bpo",B122))),"Customer Support",ISNUMBER(SEARCH("engineer",B122)),"Engineer (Technical)",ISNUMBER(SEARCH("manager",B122)),"Manager",OR(ISNUMBER(SEARCH("teacher",B122)),ISNUMBER(SEARCH("trainer",B122)),ISNUMBER(SEARCH("faculty",B122))),"Teacher / Trainer",OR(ISNUMBER(SEARCH("doctor",B122)),ISNUMBER(SEARCH("nurse",B122)),ISNUMBER(SEARCH("medical",B122)),ISNUMBER(SEARCH("pharma",B122)),ISNUMBER(SEARCH("clinical",B122))),"Healthcare",TRUE,"Other")</f>
        <v/>
      </c>
      <c r="Q122" s="48">
        <f>IF(COUNTIFS($B$11:B122,B122,$C$11:C122,C122,$D$11:D122,D122,$L$11:L122,L122)&gt;1,"Duplicate","Unique")</f>
        <v/>
      </c>
    </row>
    <row r="123">
      <c r="A123" s="48">
        <f>Raw_Data!A114</f>
        <v/>
      </c>
      <c r="B123" s="48">
        <f>PROPER(TRIM(Raw_Data!B114))</f>
        <v/>
      </c>
      <c r="C123" s="48">
        <f>TRIM(Raw_Data!C114)</f>
        <v/>
      </c>
      <c r="D123" s="48">
        <f>IF(PROPER(TRIM(Raw_Data!D114))="Bangalore","Bengaluru",IF(PROPER(TRIM(Raw_Data!D114))="Gurgaon","Gurugram",IF(OR(PROPER(TRIM(Raw_Data!D114))="New Delhi",PROPER(TRIM(Raw_Data!D114))="Delhi"),"Delhi",PROPER(TRIM(Raw_Data!D114)))))</f>
        <v/>
      </c>
      <c r="E123" s="48">
        <f>Raw_Data!E114</f>
        <v/>
      </c>
      <c r="F123" s="48">
        <f>IF(TRIM(Raw_Data!F114&amp;"")="","Not Specified",Raw_Data!F114)</f>
        <v/>
      </c>
      <c r="G123" s="48">
        <f>Raw_Data!G114</f>
        <v/>
      </c>
      <c r="H123" s="48">
        <f>Raw_Data!H114</f>
        <v/>
      </c>
      <c r="I123" s="49">
        <f>IF(Raw_Data!I114="","",Raw_Data!I114)</f>
        <v/>
      </c>
      <c r="J123" s="49">
        <f>IF(Raw_Data!J114="","",Raw_Data!J114)</f>
        <v/>
      </c>
      <c r="K123" s="48">
        <f>IF(TRIM(Raw_Data!K114&amp;"")="","Not Specified",Raw_Data!K114)</f>
        <v/>
      </c>
      <c r="L123" s="56">
        <f>Raw_Data!L114</f>
        <v/>
      </c>
      <c r="M123" s="49">
        <f>IF(OR(I123="",J123=""),"",(I123+J123)/2)</f>
        <v/>
      </c>
      <c r="N123" s="49">
        <f>IF(OR(I123="",J123=""),"",J123-I123)</f>
        <v/>
      </c>
      <c r="O123" s="48">
        <f>TEXT(L123,"mmm-yyyy")</f>
        <v/>
      </c>
      <c r="P123" s="48">
        <f>_xlfn.IFS(ISNUMBER(SEARCH("data analy",B123)),"Data Analyst",ISNUMBER(SEARCH("business analy",B123)),"Business Analyst",OR(ISNUMBER(SEARCH("developer",B123)),ISNUMBER(SEARCH("software engineer",B123)),ISNUMBER(SEARCH("programmer",B123))),"Software Developer",ISNUMBER(SEARCH("business development",B123)),"Business Development",ISNUMBER(SEARCH("sales",B123)),"Sales Executive",ISNUMBER(SEARCH("marketing",B123)),"Marketing Executive",OR(ISNUMBER(SEARCH("hr ",B123)),ISNUMBER(SEARCH("recruit",B123)),ISNUMBER(SEARCH("human resource",B123))),"HR / Recruiter",OR(ISNUMBER(SEARCH("account",B123)),ISNUMBER(SEARCH("finance",B123)),ISNUMBER(SEARCH("tax",B123)),ISNUMBER(SEARCH("audit",B123))),"Accountant / Finance",OR(ISNUMBER(SEARCH("customer service",B123)),ISNUMBER(SEARCH("customer support",B123)),ISNUMBER(SEARCH("customer care",B123)),ISNUMBER(SEARCH("voice process",B123)),ISNUMBER(SEARCH("bpo",B123))),"Customer Support",ISNUMBER(SEARCH("engineer",B123)),"Engineer (Technical)",ISNUMBER(SEARCH("manager",B123)),"Manager",OR(ISNUMBER(SEARCH("teacher",B123)),ISNUMBER(SEARCH("trainer",B123)),ISNUMBER(SEARCH("faculty",B123))),"Teacher / Trainer",OR(ISNUMBER(SEARCH("doctor",B123)),ISNUMBER(SEARCH("nurse",B123)),ISNUMBER(SEARCH("medical",B123)),ISNUMBER(SEARCH("pharma",B123)),ISNUMBER(SEARCH("clinical",B123))),"Healthcare",TRUE,"Other")</f>
        <v/>
      </c>
      <c r="Q123" s="48">
        <f>IF(COUNTIFS($B$11:B123,B123,$C$11:C123,C123,$D$11:D123,D123,$L$11:L123,L123)&gt;1,"Duplicate","Unique")</f>
        <v/>
      </c>
    </row>
    <row r="124">
      <c r="A124" s="48">
        <f>Raw_Data!A115</f>
        <v/>
      </c>
      <c r="B124" s="48">
        <f>PROPER(TRIM(Raw_Data!B115))</f>
        <v/>
      </c>
      <c r="C124" s="48">
        <f>TRIM(Raw_Data!C115)</f>
        <v/>
      </c>
      <c r="D124" s="48">
        <f>IF(PROPER(TRIM(Raw_Data!D115))="Bangalore","Bengaluru",IF(PROPER(TRIM(Raw_Data!D115))="Gurgaon","Gurugram",IF(OR(PROPER(TRIM(Raw_Data!D115))="New Delhi",PROPER(TRIM(Raw_Data!D115))="Delhi"),"Delhi",PROPER(TRIM(Raw_Data!D115)))))</f>
        <v/>
      </c>
      <c r="E124" s="48">
        <f>Raw_Data!E115</f>
        <v/>
      </c>
      <c r="F124" s="48">
        <f>IF(TRIM(Raw_Data!F115&amp;"")="","Not Specified",Raw_Data!F115)</f>
        <v/>
      </c>
      <c r="G124" s="48">
        <f>Raw_Data!G115</f>
        <v/>
      </c>
      <c r="H124" s="48">
        <f>Raw_Data!H115</f>
        <v/>
      </c>
      <c r="I124" s="49">
        <f>IF(Raw_Data!I115="","",Raw_Data!I115)</f>
        <v/>
      </c>
      <c r="J124" s="49">
        <f>IF(Raw_Data!J115="","",Raw_Data!J115)</f>
        <v/>
      </c>
      <c r="K124" s="48">
        <f>IF(TRIM(Raw_Data!K115&amp;"")="","Not Specified",Raw_Data!K115)</f>
        <v/>
      </c>
      <c r="L124" s="56">
        <f>Raw_Data!L115</f>
        <v/>
      </c>
      <c r="M124" s="49">
        <f>IF(OR(I124="",J124=""),"",(I124+J124)/2)</f>
        <v/>
      </c>
      <c r="N124" s="49">
        <f>IF(OR(I124="",J124=""),"",J124-I124)</f>
        <v/>
      </c>
      <c r="O124" s="48">
        <f>TEXT(L124,"mmm-yyyy")</f>
        <v/>
      </c>
      <c r="P124" s="48">
        <f>_xlfn.IFS(ISNUMBER(SEARCH("data analy",B124)),"Data Analyst",ISNUMBER(SEARCH("business analy",B124)),"Business Analyst",OR(ISNUMBER(SEARCH("developer",B124)),ISNUMBER(SEARCH("software engineer",B124)),ISNUMBER(SEARCH("programmer",B124))),"Software Developer",ISNUMBER(SEARCH("business development",B124)),"Business Development",ISNUMBER(SEARCH("sales",B124)),"Sales Executive",ISNUMBER(SEARCH("marketing",B124)),"Marketing Executive",OR(ISNUMBER(SEARCH("hr ",B124)),ISNUMBER(SEARCH("recruit",B124)),ISNUMBER(SEARCH("human resource",B124))),"HR / Recruiter",OR(ISNUMBER(SEARCH("account",B124)),ISNUMBER(SEARCH("finance",B124)),ISNUMBER(SEARCH("tax",B124)),ISNUMBER(SEARCH("audit",B124))),"Accountant / Finance",OR(ISNUMBER(SEARCH("customer service",B124)),ISNUMBER(SEARCH("customer support",B124)),ISNUMBER(SEARCH("customer care",B124)),ISNUMBER(SEARCH("voice process",B124)),ISNUMBER(SEARCH("bpo",B124))),"Customer Support",ISNUMBER(SEARCH("engineer",B124)),"Engineer (Technical)",ISNUMBER(SEARCH("manager",B124)),"Manager",OR(ISNUMBER(SEARCH("teacher",B124)),ISNUMBER(SEARCH("trainer",B124)),ISNUMBER(SEARCH("faculty",B124))),"Teacher / Trainer",OR(ISNUMBER(SEARCH("doctor",B124)),ISNUMBER(SEARCH("nurse",B124)),ISNUMBER(SEARCH("medical",B124)),ISNUMBER(SEARCH("pharma",B124)),ISNUMBER(SEARCH("clinical",B124))),"Healthcare",TRUE,"Other")</f>
        <v/>
      </c>
      <c r="Q124" s="48">
        <f>IF(COUNTIFS($B$11:B124,B124,$C$11:C124,C124,$D$11:D124,D124,$L$11:L124,L124)&gt;1,"Duplicate","Unique")</f>
        <v/>
      </c>
    </row>
    <row r="125">
      <c r="A125" s="48">
        <f>Raw_Data!A116</f>
        <v/>
      </c>
      <c r="B125" s="48">
        <f>PROPER(TRIM(Raw_Data!B116))</f>
        <v/>
      </c>
      <c r="C125" s="48">
        <f>TRIM(Raw_Data!C116)</f>
        <v/>
      </c>
      <c r="D125" s="48">
        <f>IF(PROPER(TRIM(Raw_Data!D116))="Bangalore","Bengaluru",IF(PROPER(TRIM(Raw_Data!D116))="Gurgaon","Gurugram",IF(OR(PROPER(TRIM(Raw_Data!D116))="New Delhi",PROPER(TRIM(Raw_Data!D116))="Delhi"),"Delhi",PROPER(TRIM(Raw_Data!D116)))))</f>
        <v/>
      </c>
      <c r="E125" s="48">
        <f>Raw_Data!E116</f>
        <v/>
      </c>
      <c r="F125" s="48">
        <f>IF(TRIM(Raw_Data!F116&amp;"")="","Not Specified",Raw_Data!F116)</f>
        <v/>
      </c>
      <c r="G125" s="48">
        <f>Raw_Data!G116</f>
        <v/>
      </c>
      <c r="H125" s="48">
        <f>Raw_Data!H116</f>
        <v/>
      </c>
      <c r="I125" s="49">
        <f>IF(Raw_Data!I116="","",Raw_Data!I116)</f>
        <v/>
      </c>
      <c r="J125" s="49">
        <f>IF(Raw_Data!J116="","",Raw_Data!J116)</f>
        <v/>
      </c>
      <c r="K125" s="48">
        <f>IF(TRIM(Raw_Data!K116&amp;"")="","Not Specified",Raw_Data!K116)</f>
        <v/>
      </c>
      <c r="L125" s="56">
        <f>Raw_Data!L116</f>
        <v/>
      </c>
      <c r="M125" s="49">
        <f>IF(OR(I125="",J125=""),"",(I125+J125)/2)</f>
        <v/>
      </c>
      <c r="N125" s="49">
        <f>IF(OR(I125="",J125=""),"",J125-I125)</f>
        <v/>
      </c>
      <c r="O125" s="48">
        <f>TEXT(L125,"mmm-yyyy")</f>
        <v/>
      </c>
      <c r="P125" s="48">
        <f>_xlfn.IFS(ISNUMBER(SEARCH("data analy",B125)),"Data Analyst",ISNUMBER(SEARCH("business analy",B125)),"Business Analyst",OR(ISNUMBER(SEARCH("developer",B125)),ISNUMBER(SEARCH("software engineer",B125)),ISNUMBER(SEARCH("programmer",B125))),"Software Developer",ISNUMBER(SEARCH("business development",B125)),"Business Development",ISNUMBER(SEARCH("sales",B125)),"Sales Executive",ISNUMBER(SEARCH("marketing",B125)),"Marketing Executive",OR(ISNUMBER(SEARCH("hr ",B125)),ISNUMBER(SEARCH("recruit",B125)),ISNUMBER(SEARCH("human resource",B125))),"HR / Recruiter",OR(ISNUMBER(SEARCH("account",B125)),ISNUMBER(SEARCH("finance",B125)),ISNUMBER(SEARCH("tax",B125)),ISNUMBER(SEARCH("audit",B125))),"Accountant / Finance",OR(ISNUMBER(SEARCH("customer service",B125)),ISNUMBER(SEARCH("customer support",B125)),ISNUMBER(SEARCH("customer care",B125)),ISNUMBER(SEARCH("voice process",B125)),ISNUMBER(SEARCH("bpo",B125))),"Customer Support",ISNUMBER(SEARCH("engineer",B125)),"Engineer (Technical)",ISNUMBER(SEARCH("manager",B125)),"Manager",OR(ISNUMBER(SEARCH("teacher",B125)),ISNUMBER(SEARCH("trainer",B125)),ISNUMBER(SEARCH("faculty",B125))),"Teacher / Trainer",OR(ISNUMBER(SEARCH("doctor",B125)),ISNUMBER(SEARCH("nurse",B125)),ISNUMBER(SEARCH("medical",B125)),ISNUMBER(SEARCH("pharma",B125)),ISNUMBER(SEARCH("clinical",B125))),"Healthcare",TRUE,"Other")</f>
        <v/>
      </c>
      <c r="Q125" s="48">
        <f>IF(COUNTIFS($B$11:B125,B125,$C$11:C125,C125,$D$11:D125,D125,$L$11:L125,L125)&gt;1,"Duplicate","Unique")</f>
        <v/>
      </c>
    </row>
    <row r="126">
      <c r="A126" s="48">
        <f>Raw_Data!A117</f>
        <v/>
      </c>
      <c r="B126" s="48">
        <f>PROPER(TRIM(Raw_Data!B117))</f>
        <v/>
      </c>
      <c r="C126" s="48">
        <f>TRIM(Raw_Data!C117)</f>
        <v/>
      </c>
      <c r="D126" s="48">
        <f>IF(PROPER(TRIM(Raw_Data!D117))="Bangalore","Bengaluru",IF(PROPER(TRIM(Raw_Data!D117))="Gurgaon","Gurugram",IF(OR(PROPER(TRIM(Raw_Data!D117))="New Delhi",PROPER(TRIM(Raw_Data!D117))="Delhi"),"Delhi",PROPER(TRIM(Raw_Data!D117)))))</f>
        <v/>
      </c>
      <c r="E126" s="48">
        <f>Raw_Data!E117</f>
        <v/>
      </c>
      <c r="F126" s="48">
        <f>IF(TRIM(Raw_Data!F117&amp;"")="","Not Specified",Raw_Data!F117)</f>
        <v/>
      </c>
      <c r="G126" s="48">
        <f>Raw_Data!G117</f>
        <v/>
      </c>
      <c r="H126" s="48">
        <f>Raw_Data!H117</f>
        <v/>
      </c>
      <c r="I126" s="49">
        <f>IF(Raw_Data!I117="","",Raw_Data!I117)</f>
        <v/>
      </c>
      <c r="J126" s="49">
        <f>IF(Raw_Data!J117="","",Raw_Data!J117)</f>
        <v/>
      </c>
      <c r="K126" s="48">
        <f>IF(TRIM(Raw_Data!K117&amp;"")="","Not Specified",Raw_Data!K117)</f>
        <v/>
      </c>
      <c r="L126" s="56">
        <f>Raw_Data!L117</f>
        <v/>
      </c>
      <c r="M126" s="49">
        <f>IF(OR(I126="",J126=""),"",(I126+J126)/2)</f>
        <v/>
      </c>
      <c r="N126" s="49">
        <f>IF(OR(I126="",J126=""),"",J126-I126)</f>
        <v/>
      </c>
      <c r="O126" s="48">
        <f>TEXT(L126,"mmm-yyyy")</f>
        <v/>
      </c>
      <c r="P126" s="48">
        <f>_xlfn.IFS(ISNUMBER(SEARCH("data analy",B126)),"Data Analyst",ISNUMBER(SEARCH("business analy",B126)),"Business Analyst",OR(ISNUMBER(SEARCH("developer",B126)),ISNUMBER(SEARCH("software engineer",B126)),ISNUMBER(SEARCH("programmer",B126))),"Software Developer",ISNUMBER(SEARCH("business development",B126)),"Business Development",ISNUMBER(SEARCH("sales",B126)),"Sales Executive",ISNUMBER(SEARCH("marketing",B126)),"Marketing Executive",OR(ISNUMBER(SEARCH("hr ",B126)),ISNUMBER(SEARCH("recruit",B126)),ISNUMBER(SEARCH("human resource",B126))),"HR / Recruiter",OR(ISNUMBER(SEARCH("account",B126)),ISNUMBER(SEARCH("finance",B126)),ISNUMBER(SEARCH("tax",B126)),ISNUMBER(SEARCH("audit",B126))),"Accountant / Finance",OR(ISNUMBER(SEARCH("customer service",B126)),ISNUMBER(SEARCH("customer support",B126)),ISNUMBER(SEARCH("customer care",B126)),ISNUMBER(SEARCH("voice process",B126)),ISNUMBER(SEARCH("bpo",B126))),"Customer Support",ISNUMBER(SEARCH("engineer",B126)),"Engineer (Technical)",ISNUMBER(SEARCH("manager",B126)),"Manager",OR(ISNUMBER(SEARCH("teacher",B126)),ISNUMBER(SEARCH("trainer",B126)),ISNUMBER(SEARCH("faculty",B126))),"Teacher / Trainer",OR(ISNUMBER(SEARCH("doctor",B126)),ISNUMBER(SEARCH("nurse",B126)),ISNUMBER(SEARCH("medical",B126)),ISNUMBER(SEARCH("pharma",B126)),ISNUMBER(SEARCH("clinical",B126))),"Healthcare",TRUE,"Other")</f>
        <v/>
      </c>
      <c r="Q126" s="48">
        <f>IF(COUNTIFS($B$11:B126,B126,$C$11:C126,C126,$D$11:D126,D126,$L$11:L126,L126)&gt;1,"Duplicate","Unique")</f>
        <v/>
      </c>
    </row>
    <row r="127">
      <c r="A127" s="48">
        <f>Raw_Data!A118</f>
        <v/>
      </c>
      <c r="B127" s="48">
        <f>PROPER(TRIM(Raw_Data!B118))</f>
        <v/>
      </c>
      <c r="C127" s="48">
        <f>TRIM(Raw_Data!C118)</f>
        <v/>
      </c>
      <c r="D127" s="48">
        <f>IF(PROPER(TRIM(Raw_Data!D118))="Bangalore","Bengaluru",IF(PROPER(TRIM(Raw_Data!D118))="Gurgaon","Gurugram",IF(OR(PROPER(TRIM(Raw_Data!D118))="New Delhi",PROPER(TRIM(Raw_Data!D118))="Delhi"),"Delhi",PROPER(TRIM(Raw_Data!D118)))))</f>
        <v/>
      </c>
      <c r="E127" s="48">
        <f>Raw_Data!E118</f>
        <v/>
      </c>
      <c r="F127" s="48">
        <f>IF(TRIM(Raw_Data!F118&amp;"")="","Not Specified",Raw_Data!F118)</f>
        <v/>
      </c>
      <c r="G127" s="48">
        <f>Raw_Data!G118</f>
        <v/>
      </c>
      <c r="H127" s="48">
        <f>Raw_Data!H118</f>
        <v/>
      </c>
      <c r="I127" s="49">
        <f>IF(Raw_Data!I118="","",Raw_Data!I118)</f>
        <v/>
      </c>
      <c r="J127" s="49">
        <f>IF(Raw_Data!J118="","",Raw_Data!J118)</f>
        <v/>
      </c>
      <c r="K127" s="48">
        <f>IF(TRIM(Raw_Data!K118&amp;"")="","Not Specified",Raw_Data!K118)</f>
        <v/>
      </c>
      <c r="L127" s="56">
        <f>Raw_Data!L118</f>
        <v/>
      </c>
      <c r="M127" s="49">
        <f>IF(OR(I127="",J127=""),"",(I127+J127)/2)</f>
        <v/>
      </c>
      <c r="N127" s="49">
        <f>IF(OR(I127="",J127=""),"",J127-I127)</f>
        <v/>
      </c>
      <c r="O127" s="48">
        <f>TEXT(L127,"mmm-yyyy")</f>
        <v/>
      </c>
      <c r="P127" s="48">
        <f>_xlfn.IFS(ISNUMBER(SEARCH("data analy",B127)),"Data Analyst",ISNUMBER(SEARCH("business analy",B127)),"Business Analyst",OR(ISNUMBER(SEARCH("developer",B127)),ISNUMBER(SEARCH("software engineer",B127)),ISNUMBER(SEARCH("programmer",B127))),"Software Developer",ISNUMBER(SEARCH("business development",B127)),"Business Development",ISNUMBER(SEARCH("sales",B127)),"Sales Executive",ISNUMBER(SEARCH("marketing",B127)),"Marketing Executive",OR(ISNUMBER(SEARCH("hr ",B127)),ISNUMBER(SEARCH("recruit",B127)),ISNUMBER(SEARCH("human resource",B127))),"HR / Recruiter",OR(ISNUMBER(SEARCH("account",B127)),ISNUMBER(SEARCH("finance",B127)),ISNUMBER(SEARCH("tax",B127)),ISNUMBER(SEARCH("audit",B127))),"Accountant / Finance",OR(ISNUMBER(SEARCH("customer service",B127)),ISNUMBER(SEARCH("customer support",B127)),ISNUMBER(SEARCH("customer care",B127)),ISNUMBER(SEARCH("voice process",B127)),ISNUMBER(SEARCH("bpo",B127))),"Customer Support",ISNUMBER(SEARCH("engineer",B127)),"Engineer (Technical)",ISNUMBER(SEARCH("manager",B127)),"Manager",OR(ISNUMBER(SEARCH("teacher",B127)),ISNUMBER(SEARCH("trainer",B127)),ISNUMBER(SEARCH("faculty",B127))),"Teacher / Trainer",OR(ISNUMBER(SEARCH("doctor",B127)),ISNUMBER(SEARCH("nurse",B127)),ISNUMBER(SEARCH("medical",B127)),ISNUMBER(SEARCH("pharma",B127)),ISNUMBER(SEARCH("clinical",B127))),"Healthcare",TRUE,"Other")</f>
        <v/>
      </c>
      <c r="Q127" s="48">
        <f>IF(COUNTIFS($B$11:B127,B127,$C$11:C127,C127,$D$11:D127,D127,$L$11:L127,L127)&gt;1,"Duplicate","Unique")</f>
        <v/>
      </c>
    </row>
    <row r="128">
      <c r="A128" s="48">
        <f>Raw_Data!A119</f>
        <v/>
      </c>
      <c r="B128" s="48">
        <f>PROPER(TRIM(Raw_Data!B119))</f>
        <v/>
      </c>
      <c r="C128" s="48">
        <f>TRIM(Raw_Data!C119)</f>
        <v/>
      </c>
      <c r="D128" s="48">
        <f>IF(PROPER(TRIM(Raw_Data!D119))="Bangalore","Bengaluru",IF(PROPER(TRIM(Raw_Data!D119))="Gurgaon","Gurugram",IF(OR(PROPER(TRIM(Raw_Data!D119))="New Delhi",PROPER(TRIM(Raw_Data!D119))="Delhi"),"Delhi",PROPER(TRIM(Raw_Data!D119)))))</f>
        <v/>
      </c>
      <c r="E128" s="48">
        <f>Raw_Data!E119</f>
        <v/>
      </c>
      <c r="F128" s="48">
        <f>IF(TRIM(Raw_Data!F119&amp;"")="","Not Specified",Raw_Data!F119)</f>
        <v/>
      </c>
      <c r="G128" s="48">
        <f>Raw_Data!G119</f>
        <v/>
      </c>
      <c r="H128" s="48">
        <f>Raw_Data!H119</f>
        <v/>
      </c>
      <c r="I128" s="49">
        <f>IF(Raw_Data!I119="","",Raw_Data!I119)</f>
        <v/>
      </c>
      <c r="J128" s="49">
        <f>IF(Raw_Data!J119="","",Raw_Data!J119)</f>
        <v/>
      </c>
      <c r="K128" s="48">
        <f>IF(TRIM(Raw_Data!K119&amp;"")="","Not Specified",Raw_Data!K119)</f>
        <v/>
      </c>
      <c r="L128" s="56">
        <f>Raw_Data!L119</f>
        <v/>
      </c>
      <c r="M128" s="49">
        <f>IF(OR(I128="",J128=""),"",(I128+J128)/2)</f>
        <v/>
      </c>
      <c r="N128" s="49">
        <f>IF(OR(I128="",J128=""),"",J128-I128)</f>
        <v/>
      </c>
      <c r="O128" s="48">
        <f>TEXT(L128,"mmm-yyyy")</f>
        <v/>
      </c>
      <c r="P128" s="48">
        <f>_xlfn.IFS(ISNUMBER(SEARCH("data analy",B128)),"Data Analyst",ISNUMBER(SEARCH("business analy",B128)),"Business Analyst",OR(ISNUMBER(SEARCH("developer",B128)),ISNUMBER(SEARCH("software engineer",B128)),ISNUMBER(SEARCH("programmer",B128))),"Software Developer",ISNUMBER(SEARCH("business development",B128)),"Business Development",ISNUMBER(SEARCH("sales",B128)),"Sales Executive",ISNUMBER(SEARCH("marketing",B128)),"Marketing Executive",OR(ISNUMBER(SEARCH("hr ",B128)),ISNUMBER(SEARCH("recruit",B128)),ISNUMBER(SEARCH("human resource",B128))),"HR / Recruiter",OR(ISNUMBER(SEARCH("account",B128)),ISNUMBER(SEARCH("finance",B128)),ISNUMBER(SEARCH("tax",B128)),ISNUMBER(SEARCH("audit",B128))),"Accountant / Finance",OR(ISNUMBER(SEARCH("customer service",B128)),ISNUMBER(SEARCH("customer support",B128)),ISNUMBER(SEARCH("customer care",B128)),ISNUMBER(SEARCH("voice process",B128)),ISNUMBER(SEARCH("bpo",B128))),"Customer Support",ISNUMBER(SEARCH("engineer",B128)),"Engineer (Technical)",ISNUMBER(SEARCH("manager",B128)),"Manager",OR(ISNUMBER(SEARCH("teacher",B128)),ISNUMBER(SEARCH("trainer",B128)),ISNUMBER(SEARCH("faculty",B128))),"Teacher / Trainer",OR(ISNUMBER(SEARCH("doctor",B128)),ISNUMBER(SEARCH("nurse",B128)),ISNUMBER(SEARCH("medical",B128)),ISNUMBER(SEARCH("pharma",B128)),ISNUMBER(SEARCH("clinical",B128))),"Healthcare",TRUE,"Other")</f>
        <v/>
      </c>
      <c r="Q128" s="48">
        <f>IF(COUNTIFS($B$11:B128,B128,$C$11:C128,C128,$D$11:D128,D128,$L$11:L128,L128)&gt;1,"Duplicate","Unique")</f>
        <v/>
      </c>
    </row>
    <row r="129">
      <c r="A129" s="48">
        <f>Raw_Data!A120</f>
        <v/>
      </c>
      <c r="B129" s="48">
        <f>PROPER(TRIM(Raw_Data!B120))</f>
        <v/>
      </c>
      <c r="C129" s="48">
        <f>TRIM(Raw_Data!C120)</f>
        <v/>
      </c>
      <c r="D129" s="48">
        <f>IF(PROPER(TRIM(Raw_Data!D120))="Bangalore","Bengaluru",IF(PROPER(TRIM(Raw_Data!D120))="Gurgaon","Gurugram",IF(OR(PROPER(TRIM(Raw_Data!D120))="New Delhi",PROPER(TRIM(Raw_Data!D120))="Delhi"),"Delhi",PROPER(TRIM(Raw_Data!D120)))))</f>
        <v/>
      </c>
      <c r="E129" s="48">
        <f>Raw_Data!E120</f>
        <v/>
      </c>
      <c r="F129" s="48">
        <f>IF(TRIM(Raw_Data!F120&amp;"")="","Not Specified",Raw_Data!F120)</f>
        <v/>
      </c>
      <c r="G129" s="48">
        <f>Raw_Data!G120</f>
        <v/>
      </c>
      <c r="H129" s="48">
        <f>Raw_Data!H120</f>
        <v/>
      </c>
      <c r="I129" s="49">
        <f>IF(Raw_Data!I120="","",Raw_Data!I120)</f>
        <v/>
      </c>
      <c r="J129" s="49">
        <f>IF(Raw_Data!J120="","",Raw_Data!J120)</f>
        <v/>
      </c>
      <c r="K129" s="48">
        <f>IF(TRIM(Raw_Data!K120&amp;"")="","Not Specified",Raw_Data!K120)</f>
        <v/>
      </c>
      <c r="L129" s="56">
        <f>Raw_Data!L120</f>
        <v/>
      </c>
      <c r="M129" s="49">
        <f>IF(OR(I129="",J129=""),"",(I129+J129)/2)</f>
        <v/>
      </c>
      <c r="N129" s="49">
        <f>IF(OR(I129="",J129=""),"",J129-I129)</f>
        <v/>
      </c>
      <c r="O129" s="48">
        <f>TEXT(L129,"mmm-yyyy")</f>
        <v/>
      </c>
      <c r="P129" s="48">
        <f>_xlfn.IFS(ISNUMBER(SEARCH("data analy",B129)),"Data Analyst",ISNUMBER(SEARCH("business analy",B129)),"Business Analyst",OR(ISNUMBER(SEARCH("developer",B129)),ISNUMBER(SEARCH("software engineer",B129)),ISNUMBER(SEARCH("programmer",B129))),"Software Developer",ISNUMBER(SEARCH("business development",B129)),"Business Development",ISNUMBER(SEARCH("sales",B129)),"Sales Executive",ISNUMBER(SEARCH("marketing",B129)),"Marketing Executive",OR(ISNUMBER(SEARCH("hr ",B129)),ISNUMBER(SEARCH("recruit",B129)),ISNUMBER(SEARCH("human resource",B129))),"HR / Recruiter",OR(ISNUMBER(SEARCH("account",B129)),ISNUMBER(SEARCH("finance",B129)),ISNUMBER(SEARCH("tax",B129)),ISNUMBER(SEARCH("audit",B129))),"Accountant / Finance",OR(ISNUMBER(SEARCH("customer service",B129)),ISNUMBER(SEARCH("customer support",B129)),ISNUMBER(SEARCH("customer care",B129)),ISNUMBER(SEARCH("voice process",B129)),ISNUMBER(SEARCH("bpo",B129))),"Customer Support",ISNUMBER(SEARCH("engineer",B129)),"Engineer (Technical)",ISNUMBER(SEARCH("manager",B129)),"Manager",OR(ISNUMBER(SEARCH("teacher",B129)),ISNUMBER(SEARCH("trainer",B129)),ISNUMBER(SEARCH("faculty",B129))),"Teacher / Trainer",OR(ISNUMBER(SEARCH("doctor",B129)),ISNUMBER(SEARCH("nurse",B129)),ISNUMBER(SEARCH("medical",B129)),ISNUMBER(SEARCH("pharma",B129)),ISNUMBER(SEARCH("clinical",B129))),"Healthcare",TRUE,"Other")</f>
        <v/>
      </c>
      <c r="Q129" s="48">
        <f>IF(COUNTIFS($B$11:B129,B129,$C$11:C129,C129,$D$11:D129,D129,$L$11:L129,L129)&gt;1,"Duplicate","Unique")</f>
        <v/>
      </c>
    </row>
    <row r="130">
      <c r="A130" s="48">
        <f>Raw_Data!A121</f>
        <v/>
      </c>
      <c r="B130" s="48">
        <f>PROPER(TRIM(Raw_Data!B121))</f>
        <v/>
      </c>
      <c r="C130" s="48">
        <f>TRIM(Raw_Data!C121)</f>
        <v/>
      </c>
      <c r="D130" s="48">
        <f>IF(PROPER(TRIM(Raw_Data!D121))="Bangalore","Bengaluru",IF(PROPER(TRIM(Raw_Data!D121))="Gurgaon","Gurugram",IF(OR(PROPER(TRIM(Raw_Data!D121))="New Delhi",PROPER(TRIM(Raw_Data!D121))="Delhi"),"Delhi",PROPER(TRIM(Raw_Data!D121)))))</f>
        <v/>
      </c>
      <c r="E130" s="48">
        <f>Raw_Data!E121</f>
        <v/>
      </c>
      <c r="F130" s="48">
        <f>IF(TRIM(Raw_Data!F121&amp;"")="","Not Specified",Raw_Data!F121)</f>
        <v/>
      </c>
      <c r="G130" s="48">
        <f>Raw_Data!G121</f>
        <v/>
      </c>
      <c r="H130" s="48">
        <f>Raw_Data!H121</f>
        <v/>
      </c>
      <c r="I130" s="49">
        <f>IF(Raw_Data!I121="","",Raw_Data!I121)</f>
        <v/>
      </c>
      <c r="J130" s="49">
        <f>IF(Raw_Data!J121="","",Raw_Data!J121)</f>
        <v/>
      </c>
      <c r="K130" s="48">
        <f>IF(TRIM(Raw_Data!K121&amp;"")="","Not Specified",Raw_Data!K121)</f>
        <v/>
      </c>
      <c r="L130" s="56">
        <f>Raw_Data!L121</f>
        <v/>
      </c>
      <c r="M130" s="49">
        <f>IF(OR(I130="",J130=""),"",(I130+J130)/2)</f>
        <v/>
      </c>
      <c r="N130" s="49">
        <f>IF(OR(I130="",J130=""),"",J130-I130)</f>
        <v/>
      </c>
      <c r="O130" s="48">
        <f>TEXT(L130,"mmm-yyyy")</f>
        <v/>
      </c>
      <c r="P130" s="48">
        <f>_xlfn.IFS(ISNUMBER(SEARCH("data analy",B130)),"Data Analyst",ISNUMBER(SEARCH("business analy",B130)),"Business Analyst",OR(ISNUMBER(SEARCH("developer",B130)),ISNUMBER(SEARCH("software engineer",B130)),ISNUMBER(SEARCH("programmer",B130))),"Software Developer",ISNUMBER(SEARCH("business development",B130)),"Business Development",ISNUMBER(SEARCH("sales",B130)),"Sales Executive",ISNUMBER(SEARCH("marketing",B130)),"Marketing Executive",OR(ISNUMBER(SEARCH("hr ",B130)),ISNUMBER(SEARCH("recruit",B130)),ISNUMBER(SEARCH("human resource",B130))),"HR / Recruiter",OR(ISNUMBER(SEARCH("account",B130)),ISNUMBER(SEARCH("finance",B130)),ISNUMBER(SEARCH("tax",B130)),ISNUMBER(SEARCH("audit",B130))),"Accountant / Finance",OR(ISNUMBER(SEARCH("customer service",B130)),ISNUMBER(SEARCH("customer support",B130)),ISNUMBER(SEARCH("customer care",B130)),ISNUMBER(SEARCH("voice process",B130)),ISNUMBER(SEARCH("bpo",B130))),"Customer Support",ISNUMBER(SEARCH("engineer",B130)),"Engineer (Technical)",ISNUMBER(SEARCH("manager",B130)),"Manager",OR(ISNUMBER(SEARCH("teacher",B130)),ISNUMBER(SEARCH("trainer",B130)),ISNUMBER(SEARCH("faculty",B130))),"Teacher / Trainer",OR(ISNUMBER(SEARCH("doctor",B130)),ISNUMBER(SEARCH("nurse",B130)),ISNUMBER(SEARCH("medical",B130)),ISNUMBER(SEARCH("pharma",B130)),ISNUMBER(SEARCH("clinical",B130))),"Healthcare",TRUE,"Other")</f>
        <v/>
      </c>
      <c r="Q130" s="48">
        <f>IF(COUNTIFS($B$11:B130,B130,$C$11:C130,C130,$D$11:D130,D130,$L$11:L130,L130)&gt;1,"Duplicate","Unique")</f>
        <v/>
      </c>
    </row>
    <row r="131">
      <c r="A131" s="48">
        <f>Raw_Data!A122</f>
        <v/>
      </c>
      <c r="B131" s="48">
        <f>PROPER(TRIM(Raw_Data!B122))</f>
        <v/>
      </c>
      <c r="C131" s="48">
        <f>TRIM(Raw_Data!C122)</f>
        <v/>
      </c>
      <c r="D131" s="48">
        <f>IF(PROPER(TRIM(Raw_Data!D122))="Bangalore","Bengaluru",IF(PROPER(TRIM(Raw_Data!D122))="Gurgaon","Gurugram",IF(OR(PROPER(TRIM(Raw_Data!D122))="New Delhi",PROPER(TRIM(Raw_Data!D122))="Delhi"),"Delhi",PROPER(TRIM(Raw_Data!D122)))))</f>
        <v/>
      </c>
      <c r="E131" s="48">
        <f>Raw_Data!E122</f>
        <v/>
      </c>
      <c r="F131" s="48">
        <f>IF(TRIM(Raw_Data!F122&amp;"")="","Not Specified",Raw_Data!F122)</f>
        <v/>
      </c>
      <c r="G131" s="48">
        <f>Raw_Data!G122</f>
        <v/>
      </c>
      <c r="H131" s="48">
        <f>Raw_Data!H122</f>
        <v/>
      </c>
      <c r="I131" s="49">
        <f>IF(Raw_Data!I122="","",Raw_Data!I122)</f>
        <v/>
      </c>
      <c r="J131" s="49">
        <f>IF(Raw_Data!J122="","",Raw_Data!J122)</f>
        <v/>
      </c>
      <c r="K131" s="48">
        <f>IF(TRIM(Raw_Data!K122&amp;"")="","Not Specified",Raw_Data!K122)</f>
        <v/>
      </c>
      <c r="L131" s="56">
        <f>Raw_Data!L122</f>
        <v/>
      </c>
      <c r="M131" s="49">
        <f>IF(OR(I131="",J131=""),"",(I131+J131)/2)</f>
        <v/>
      </c>
      <c r="N131" s="49">
        <f>IF(OR(I131="",J131=""),"",J131-I131)</f>
        <v/>
      </c>
      <c r="O131" s="48">
        <f>TEXT(L131,"mmm-yyyy")</f>
        <v/>
      </c>
      <c r="P131" s="48">
        <f>_xlfn.IFS(ISNUMBER(SEARCH("data analy",B131)),"Data Analyst",ISNUMBER(SEARCH("business analy",B131)),"Business Analyst",OR(ISNUMBER(SEARCH("developer",B131)),ISNUMBER(SEARCH("software engineer",B131)),ISNUMBER(SEARCH("programmer",B131))),"Software Developer",ISNUMBER(SEARCH("business development",B131)),"Business Development",ISNUMBER(SEARCH("sales",B131)),"Sales Executive",ISNUMBER(SEARCH("marketing",B131)),"Marketing Executive",OR(ISNUMBER(SEARCH("hr ",B131)),ISNUMBER(SEARCH("recruit",B131)),ISNUMBER(SEARCH("human resource",B131))),"HR / Recruiter",OR(ISNUMBER(SEARCH("account",B131)),ISNUMBER(SEARCH("finance",B131)),ISNUMBER(SEARCH("tax",B131)),ISNUMBER(SEARCH("audit",B131))),"Accountant / Finance",OR(ISNUMBER(SEARCH("customer service",B131)),ISNUMBER(SEARCH("customer support",B131)),ISNUMBER(SEARCH("customer care",B131)),ISNUMBER(SEARCH("voice process",B131)),ISNUMBER(SEARCH("bpo",B131))),"Customer Support",ISNUMBER(SEARCH("engineer",B131)),"Engineer (Technical)",ISNUMBER(SEARCH("manager",B131)),"Manager",OR(ISNUMBER(SEARCH("teacher",B131)),ISNUMBER(SEARCH("trainer",B131)),ISNUMBER(SEARCH("faculty",B131))),"Teacher / Trainer",OR(ISNUMBER(SEARCH("doctor",B131)),ISNUMBER(SEARCH("nurse",B131)),ISNUMBER(SEARCH("medical",B131)),ISNUMBER(SEARCH("pharma",B131)),ISNUMBER(SEARCH("clinical",B131))),"Healthcare",TRUE,"Other")</f>
        <v/>
      </c>
      <c r="Q131" s="48">
        <f>IF(COUNTIFS($B$11:B131,B131,$C$11:C131,C131,$D$11:D131,D131,$L$11:L131,L131)&gt;1,"Duplicate","Unique")</f>
        <v/>
      </c>
    </row>
    <row r="132">
      <c r="A132" s="48">
        <f>Raw_Data!A123</f>
        <v/>
      </c>
      <c r="B132" s="48">
        <f>PROPER(TRIM(Raw_Data!B123))</f>
        <v/>
      </c>
      <c r="C132" s="48">
        <f>TRIM(Raw_Data!C123)</f>
        <v/>
      </c>
      <c r="D132" s="48">
        <f>IF(PROPER(TRIM(Raw_Data!D123))="Bangalore","Bengaluru",IF(PROPER(TRIM(Raw_Data!D123))="Gurgaon","Gurugram",IF(OR(PROPER(TRIM(Raw_Data!D123))="New Delhi",PROPER(TRIM(Raw_Data!D123))="Delhi"),"Delhi",PROPER(TRIM(Raw_Data!D123)))))</f>
        <v/>
      </c>
      <c r="E132" s="48">
        <f>Raw_Data!E123</f>
        <v/>
      </c>
      <c r="F132" s="48">
        <f>IF(TRIM(Raw_Data!F123&amp;"")="","Not Specified",Raw_Data!F123)</f>
        <v/>
      </c>
      <c r="G132" s="48">
        <f>Raw_Data!G123</f>
        <v/>
      </c>
      <c r="H132" s="48">
        <f>Raw_Data!H123</f>
        <v/>
      </c>
      <c r="I132" s="49">
        <f>IF(Raw_Data!I123="","",Raw_Data!I123)</f>
        <v/>
      </c>
      <c r="J132" s="49">
        <f>IF(Raw_Data!J123="","",Raw_Data!J123)</f>
        <v/>
      </c>
      <c r="K132" s="48">
        <f>IF(TRIM(Raw_Data!K123&amp;"")="","Not Specified",Raw_Data!K123)</f>
        <v/>
      </c>
      <c r="L132" s="56">
        <f>Raw_Data!L123</f>
        <v/>
      </c>
      <c r="M132" s="49">
        <f>IF(OR(I132="",J132=""),"",(I132+J132)/2)</f>
        <v/>
      </c>
      <c r="N132" s="49">
        <f>IF(OR(I132="",J132=""),"",J132-I132)</f>
        <v/>
      </c>
      <c r="O132" s="48">
        <f>TEXT(L132,"mmm-yyyy")</f>
        <v/>
      </c>
      <c r="P132" s="48">
        <f>_xlfn.IFS(ISNUMBER(SEARCH("data analy",B132)),"Data Analyst",ISNUMBER(SEARCH("business analy",B132)),"Business Analyst",OR(ISNUMBER(SEARCH("developer",B132)),ISNUMBER(SEARCH("software engineer",B132)),ISNUMBER(SEARCH("programmer",B132))),"Software Developer",ISNUMBER(SEARCH("business development",B132)),"Business Development",ISNUMBER(SEARCH("sales",B132)),"Sales Executive",ISNUMBER(SEARCH("marketing",B132)),"Marketing Executive",OR(ISNUMBER(SEARCH("hr ",B132)),ISNUMBER(SEARCH("recruit",B132)),ISNUMBER(SEARCH("human resource",B132))),"HR / Recruiter",OR(ISNUMBER(SEARCH("account",B132)),ISNUMBER(SEARCH("finance",B132)),ISNUMBER(SEARCH("tax",B132)),ISNUMBER(SEARCH("audit",B132))),"Accountant / Finance",OR(ISNUMBER(SEARCH("customer service",B132)),ISNUMBER(SEARCH("customer support",B132)),ISNUMBER(SEARCH("customer care",B132)),ISNUMBER(SEARCH("voice process",B132)),ISNUMBER(SEARCH("bpo",B132))),"Customer Support",ISNUMBER(SEARCH("engineer",B132)),"Engineer (Technical)",ISNUMBER(SEARCH("manager",B132)),"Manager",OR(ISNUMBER(SEARCH("teacher",B132)),ISNUMBER(SEARCH("trainer",B132)),ISNUMBER(SEARCH("faculty",B132))),"Teacher / Trainer",OR(ISNUMBER(SEARCH("doctor",B132)),ISNUMBER(SEARCH("nurse",B132)),ISNUMBER(SEARCH("medical",B132)),ISNUMBER(SEARCH("pharma",B132)),ISNUMBER(SEARCH("clinical",B132))),"Healthcare",TRUE,"Other")</f>
        <v/>
      </c>
      <c r="Q132" s="48">
        <f>IF(COUNTIFS($B$11:B132,B132,$C$11:C132,C132,$D$11:D132,D132,$L$11:L132,L132)&gt;1,"Duplicate","Unique")</f>
        <v/>
      </c>
    </row>
    <row r="133">
      <c r="A133" s="48">
        <f>Raw_Data!A124</f>
        <v/>
      </c>
      <c r="B133" s="48">
        <f>PROPER(TRIM(Raw_Data!B124))</f>
        <v/>
      </c>
      <c r="C133" s="48">
        <f>TRIM(Raw_Data!C124)</f>
        <v/>
      </c>
      <c r="D133" s="48">
        <f>IF(PROPER(TRIM(Raw_Data!D124))="Bangalore","Bengaluru",IF(PROPER(TRIM(Raw_Data!D124))="Gurgaon","Gurugram",IF(OR(PROPER(TRIM(Raw_Data!D124))="New Delhi",PROPER(TRIM(Raw_Data!D124))="Delhi"),"Delhi",PROPER(TRIM(Raw_Data!D124)))))</f>
        <v/>
      </c>
      <c r="E133" s="48">
        <f>Raw_Data!E124</f>
        <v/>
      </c>
      <c r="F133" s="48">
        <f>IF(TRIM(Raw_Data!F124&amp;"")="","Not Specified",Raw_Data!F124)</f>
        <v/>
      </c>
      <c r="G133" s="48">
        <f>Raw_Data!G124</f>
        <v/>
      </c>
      <c r="H133" s="48">
        <f>Raw_Data!H124</f>
        <v/>
      </c>
      <c r="I133" s="49">
        <f>IF(Raw_Data!I124="","",Raw_Data!I124)</f>
        <v/>
      </c>
      <c r="J133" s="49">
        <f>IF(Raw_Data!J124="","",Raw_Data!J124)</f>
        <v/>
      </c>
      <c r="K133" s="48">
        <f>IF(TRIM(Raw_Data!K124&amp;"")="","Not Specified",Raw_Data!K124)</f>
        <v/>
      </c>
      <c r="L133" s="56">
        <f>Raw_Data!L124</f>
        <v/>
      </c>
      <c r="M133" s="49">
        <f>IF(OR(I133="",J133=""),"",(I133+J133)/2)</f>
        <v/>
      </c>
      <c r="N133" s="49">
        <f>IF(OR(I133="",J133=""),"",J133-I133)</f>
        <v/>
      </c>
      <c r="O133" s="48">
        <f>TEXT(L133,"mmm-yyyy")</f>
        <v/>
      </c>
      <c r="P133" s="48">
        <f>_xlfn.IFS(ISNUMBER(SEARCH("data analy",B133)),"Data Analyst",ISNUMBER(SEARCH("business analy",B133)),"Business Analyst",OR(ISNUMBER(SEARCH("developer",B133)),ISNUMBER(SEARCH("software engineer",B133)),ISNUMBER(SEARCH("programmer",B133))),"Software Developer",ISNUMBER(SEARCH("business development",B133)),"Business Development",ISNUMBER(SEARCH("sales",B133)),"Sales Executive",ISNUMBER(SEARCH("marketing",B133)),"Marketing Executive",OR(ISNUMBER(SEARCH("hr ",B133)),ISNUMBER(SEARCH("recruit",B133)),ISNUMBER(SEARCH("human resource",B133))),"HR / Recruiter",OR(ISNUMBER(SEARCH("account",B133)),ISNUMBER(SEARCH("finance",B133)),ISNUMBER(SEARCH("tax",B133)),ISNUMBER(SEARCH("audit",B133))),"Accountant / Finance",OR(ISNUMBER(SEARCH("customer service",B133)),ISNUMBER(SEARCH("customer support",B133)),ISNUMBER(SEARCH("customer care",B133)),ISNUMBER(SEARCH("voice process",B133)),ISNUMBER(SEARCH("bpo",B133))),"Customer Support",ISNUMBER(SEARCH("engineer",B133)),"Engineer (Technical)",ISNUMBER(SEARCH("manager",B133)),"Manager",OR(ISNUMBER(SEARCH("teacher",B133)),ISNUMBER(SEARCH("trainer",B133)),ISNUMBER(SEARCH("faculty",B133))),"Teacher / Trainer",OR(ISNUMBER(SEARCH("doctor",B133)),ISNUMBER(SEARCH("nurse",B133)),ISNUMBER(SEARCH("medical",B133)),ISNUMBER(SEARCH("pharma",B133)),ISNUMBER(SEARCH("clinical",B133))),"Healthcare",TRUE,"Other")</f>
        <v/>
      </c>
      <c r="Q133" s="48">
        <f>IF(COUNTIFS($B$11:B133,B133,$C$11:C133,C133,$D$11:D133,D133,$L$11:L133,L133)&gt;1,"Duplicate","Unique")</f>
        <v/>
      </c>
    </row>
    <row r="134">
      <c r="A134" s="48">
        <f>Raw_Data!A125</f>
        <v/>
      </c>
      <c r="B134" s="48">
        <f>PROPER(TRIM(Raw_Data!B125))</f>
        <v/>
      </c>
      <c r="C134" s="48">
        <f>TRIM(Raw_Data!C125)</f>
        <v/>
      </c>
      <c r="D134" s="48">
        <f>IF(PROPER(TRIM(Raw_Data!D125))="Bangalore","Bengaluru",IF(PROPER(TRIM(Raw_Data!D125))="Gurgaon","Gurugram",IF(OR(PROPER(TRIM(Raw_Data!D125))="New Delhi",PROPER(TRIM(Raw_Data!D125))="Delhi"),"Delhi",PROPER(TRIM(Raw_Data!D125)))))</f>
        <v/>
      </c>
      <c r="E134" s="48">
        <f>Raw_Data!E125</f>
        <v/>
      </c>
      <c r="F134" s="48">
        <f>IF(TRIM(Raw_Data!F125&amp;"")="","Not Specified",Raw_Data!F125)</f>
        <v/>
      </c>
      <c r="G134" s="48">
        <f>Raw_Data!G125</f>
        <v/>
      </c>
      <c r="H134" s="48">
        <f>Raw_Data!H125</f>
        <v/>
      </c>
      <c r="I134" s="49">
        <f>IF(Raw_Data!I125="","",Raw_Data!I125)</f>
        <v/>
      </c>
      <c r="J134" s="49">
        <f>IF(Raw_Data!J125="","",Raw_Data!J125)</f>
        <v/>
      </c>
      <c r="K134" s="48">
        <f>IF(TRIM(Raw_Data!K125&amp;"")="","Not Specified",Raw_Data!K125)</f>
        <v/>
      </c>
      <c r="L134" s="56">
        <f>Raw_Data!L125</f>
        <v/>
      </c>
      <c r="M134" s="49">
        <f>IF(OR(I134="",J134=""),"",(I134+J134)/2)</f>
        <v/>
      </c>
      <c r="N134" s="49">
        <f>IF(OR(I134="",J134=""),"",J134-I134)</f>
        <v/>
      </c>
      <c r="O134" s="48">
        <f>TEXT(L134,"mmm-yyyy")</f>
        <v/>
      </c>
      <c r="P134" s="48">
        <f>_xlfn.IFS(ISNUMBER(SEARCH("data analy",B134)),"Data Analyst",ISNUMBER(SEARCH("business analy",B134)),"Business Analyst",OR(ISNUMBER(SEARCH("developer",B134)),ISNUMBER(SEARCH("software engineer",B134)),ISNUMBER(SEARCH("programmer",B134))),"Software Developer",ISNUMBER(SEARCH("business development",B134)),"Business Development",ISNUMBER(SEARCH("sales",B134)),"Sales Executive",ISNUMBER(SEARCH("marketing",B134)),"Marketing Executive",OR(ISNUMBER(SEARCH("hr ",B134)),ISNUMBER(SEARCH("recruit",B134)),ISNUMBER(SEARCH("human resource",B134))),"HR / Recruiter",OR(ISNUMBER(SEARCH("account",B134)),ISNUMBER(SEARCH("finance",B134)),ISNUMBER(SEARCH("tax",B134)),ISNUMBER(SEARCH("audit",B134))),"Accountant / Finance",OR(ISNUMBER(SEARCH("customer service",B134)),ISNUMBER(SEARCH("customer support",B134)),ISNUMBER(SEARCH("customer care",B134)),ISNUMBER(SEARCH("voice process",B134)),ISNUMBER(SEARCH("bpo",B134))),"Customer Support",ISNUMBER(SEARCH("engineer",B134)),"Engineer (Technical)",ISNUMBER(SEARCH("manager",B134)),"Manager",OR(ISNUMBER(SEARCH("teacher",B134)),ISNUMBER(SEARCH("trainer",B134)),ISNUMBER(SEARCH("faculty",B134))),"Teacher / Trainer",OR(ISNUMBER(SEARCH("doctor",B134)),ISNUMBER(SEARCH("nurse",B134)),ISNUMBER(SEARCH("medical",B134)),ISNUMBER(SEARCH("pharma",B134)),ISNUMBER(SEARCH("clinical",B134))),"Healthcare",TRUE,"Other")</f>
        <v/>
      </c>
      <c r="Q134" s="48">
        <f>IF(COUNTIFS($B$11:B134,B134,$C$11:C134,C134,$D$11:D134,D134,$L$11:L134,L134)&gt;1,"Duplicate","Unique")</f>
        <v/>
      </c>
    </row>
    <row r="135">
      <c r="A135" s="48">
        <f>Raw_Data!A126</f>
        <v/>
      </c>
      <c r="B135" s="48">
        <f>PROPER(TRIM(Raw_Data!B126))</f>
        <v/>
      </c>
      <c r="C135" s="48">
        <f>TRIM(Raw_Data!C126)</f>
        <v/>
      </c>
      <c r="D135" s="48">
        <f>IF(PROPER(TRIM(Raw_Data!D126))="Bangalore","Bengaluru",IF(PROPER(TRIM(Raw_Data!D126))="Gurgaon","Gurugram",IF(OR(PROPER(TRIM(Raw_Data!D126))="New Delhi",PROPER(TRIM(Raw_Data!D126))="Delhi"),"Delhi",PROPER(TRIM(Raw_Data!D126)))))</f>
        <v/>
      </c>
      <c r="E135" s="48">
        <f>Raw_Data!E126</f>
        <v/>
      </c>
      <c r="F135" s="48">
        <f>IF(TRIM(Raw_Data!F126&amp;"")="","Not Specified",Raw_Data!F126)</f>
        <v/>
      </c>
      <c r="G135" s="48">
        <f>Raw_Data!G126</f>
        <v/>
      </c>
      <c r="H135" s="48">
        <f>Raw_Data!H126</f>
        <v/>
      </c>
      <c r="I135" s="49">
        <f>IF(Raw_Data!I126="","",Raw_Data!I126)</f>
        <v/>
      </c>
      <c r="J135" s="49">
        <f>IF(Raw_Data!J126="","",Raw_Data!J126)</f>
        <v/>
      </c>
      <c r="K135" s="48">
        <f>IF(TRIM(Raw_Data!K126&amp;"")="","Not Specified",Raw_Data!K126)</f>
        <v/>
      </c>
      <c r="L135" s="56">
        <f>Raw_Data!L126</f>
        <v/>
      </c>
      <c r="M135" s="49">
        <f>IF(OR(I135="",J135=""),"",(I135+J135)/2)</f>
        <v/>
      </c>
      <c r="N135" s="49">
        <f>IF(OR(I135="",J135=""),"",J135-I135)</f>
        <v/>
      </c>
      <c r="O135" s="48">
        <f>TEXT(L135,"mmm-yyyy")</f>
        <v/>
      </c>
      <c r="P135" s="48">
        <f>_xlfn.IFS(ISNUMBER(SEARCH("data analy",B135)),"Data Analyst",ISNUMBER(SEARCH("business analy",B135)),"Business Analyst",OR(ISNUMBER(SEARCH("developer",B135)),ISNUMBER(SEARCH("software engineer",B135)),ISNUMBER(SEARCH("programmer",B135))),"Software Developer",ISNUMBER(SEARCH("business development",B135)),"Business Development",ISNUMBER(SEARCH("sales",B135)),"Sales Executive",ISNUMBER(SEARCH("marketing",B135)),"Marketing Executive",OR(ISNUMBER(SEARCH("hr ",B135)),ISNUMBER(SEARCH("recruit",B135)),ISNUMBER(SEARCH("human resource",B135))),"HR / Recruiter",OR(ISNUMBER(SEARCH("account",B135)),ISNUMBER(SEARCH("finance",B135)),ISNUMBER(SEARCH("tax",B135)),ISNUMBER(SEARCH("audit",B135))),"Accountant / Finance",OR(ISNUMBER(SEARCH("customer service",B135)),ISNUMBER(SEARCH("customer support",B135)),ISNUMBER(SEARCH("customer care",B135)),ISNUMBER(SEARCH("voice process",B135)),ISNUMBER(SEARCH("bpo",B135))),"Customer Support",ISNUMBER(SEARCH("engineer",B135)),"Engineer (Technical)",ISNUMBER(SEARCH("manager",B135)),"Manager",OR(ISNUMBER(SEARCH("teacher",B135)),ISNUMBER(SEARCH("trainer",B135)),ISNUMBER(SEARCH("faculty",B135))),"Teacher / Trainer",OR(ISNUMBER(SEARCH("doctor",B135)),ISNUMBER(SEARCH("nurse",B135)),ISNUMBER(SEARCH("medical",B135)),ISNUMBER(SEARCH("pharma",B135)),ISNUMBER(SEARCH("clinical",B135))),"Healthcare",TRUE,"Other")</f>
        <v/>
      </c>
      <c r="Q135" s="48">
        <f>IF(COUNTIFS($B$11:B135,B135,$C$11:C135,C135,$D$11:D135,D135,$L$11:L135,L135)&gt;1,"Duplicate","Unique")</f>
        <v/>
      </c>
    </row>
    <row r="136">
      <c r="A136" s="48">
        <f>Raw_Data!A127</f>
        <v/>
      </c>
      <c r="B136" s="48">
        <f>PROPER(TRIM(Raw_Data!B127))</f>
        <v/>
      </c>
      <c r="C136" s="48">
        <f>TRIM(Raw_Data!C127)</f>
        <v/>
      </c>
      <c r="D136" s="48">
        <f>IF(PROPER(TRIM(Raw_Data!D127))="Bangalore","Bengaluru",IF(PROPER(TRIM(Raw_Data!D127))="Gurgaon","Gurugram",IF(OR(PROPER(TRIM(Raw_Data!D127))="New Delhi",PROPER(TRIM(Raw_Data!D127))="Delhi"),"Delhi",PROPER(TRIM(Raw_Data!D127)))))</f>
        <v/>
      </c>
      <c r="E136" s="48">
        <f>Raw_Data!E127</f>
        <v/>
      </c>
      <c r="F136" s="48">
        <f>IF(TRIM(Raw_Data!F127&amp;"")="","Not Specified",Raw_Data!F127)</f>
        <v/>
      </c>
      <c r="G136" s="48">
        <f>Raw_Data!G127</f>
        <v/>
      </c>
      <c r="H136" s="48">
        <f>Raw_Data!H127</f>
        <v/>
      </c>
      <c r="I136" s="49">
        <f>IF(Raw_Data!I127="","",Raw_Data!I127)</f>
        <v/>
      </c>
      <c r="J136" s="49">
        <f>IF(Raw_Data!J127="","",Raw_Data!J127)</f>
        <v/>
      </c>
      <c r="K136" s="48">
        <f>IF(TRIM(Raw_Data!K127&amp;"")="","Not Specified",Raw_Data!K127)</f>
        <v/>
      </c>
      <c r="L136" s="56">
        <f>Raw_Data!L127</f>
        <v/>
      </c>
      <c r="M136" s="49">
        <f>IF(OR(I136="",J136=""),"",(I136+J136)/2)</f>
        <v/>
      </c>
      <c r="N136" s="49">
        <f>IF(OR(I136="",J136=""),"",J136-I136)</f>
        <v/>
      </c>
      <c r="O136" s="48">
        <f>TEXT(L136,"mmm-yyyy")</f>
        <v/>
      </c>
      <c r="P136" s="48">
        <f>_xlfn.IFS(ISNUMBER(SEARCH("data analy",B136)),"Data Analyst",ISNUMBER(SEARCH("business analy",B136)),"Business Analyst",OR(ISNUMBER(SEARCH("developer",B136)),ISNUMBER(SEARCH("software engineer",B136)),ISNUMBER(SEARCH("programmer",B136))),"Software Developer",ISNUMBER(SEARCH("business development",B136)),"Business Development",ISNUMBER(SEARCH("sales",B136)),"Sales Executive",ISNUMBER(SEARCH("marketing",B136)),"Marketing Executive",OR(ISNUMBER(SEARCH("hr ",B136)),ISNUMBER(SEARCH("recruit",B136)),ISNUMBER(SEARCH("human resource",B136))),"HR / Recruiter",OR(ISNUMBER(SEARCH("account",B136)),ISNUMBER(SEARCH("finance",B136)),ISNUMBER(SEARCH("tax",B136)),ISNUMBER(SEARCH("audit",B136))),"Accountant / Finance",OR(ISNUMBER(SEARCH("customer service",B136)),ISNUMBER(SEARCH("customer support",B136)),ISNUMBER(SEARCH("customer care",B136)),ISNUMBER(SEARCH("voice process",B136)),ISNUMBER(SEARCH("bpo",B136))),"Customer Support",ISNUMBER(SEARCH("engineer",B136)),"Engineer (Technical)",ISNUMBER(SEARCH("manager",B136)),"Manager",OR(ISNUMBER(SEARCH("teacher",B136)),ISNUMBER(SEARCH("trainer",B136)),ISNUMBER(SEARCH("faculty",B136))),"Teacher / Trainer",OR(ISNUMBER(SEARCH("doctor",B136)),ISNUMBER(SEARCH("nurse",B136)),ISNUMBER(SEARCH("medical",B136)),ISNUMBER(SEARCH("pharma",B136)),ISNUMBER(SEARCH("clinical",B136))),"Healthcare",TRUE,"Other")</f>
        <v/>
      </c>
      <c r="Q136" s="48">
        <f>IF(COUNTIFS($B$11:B136,B136,$C$11:C136,C136,$D$11:D136,D136,$L$11:L136,L136)&gt;1,"Duplicate","Unique")</f>
        <v/>
      </c>
    </row>
    <row r="137">
      <c r="A137" s="48">
        <f>Raw_Data!A128</f>
        <v/>
      </c>
      <c r="B137" s="48">
        <f>PROPER(TRIM(Raw_Data!B128))</f>
        <v/>
      </c>
      <c r="C137" s="48">
        <f>TRIM(Raw_Data!C128)</f>
        <v/>
      </c>
      <c r="D137" s="48">
        <f>IF(PROPER(TRIM(Raw_Data!D128))="Bangalore","Bengaluru",IF(PROPER(TRIM(Raw_Data!D128))="Gurgaon","Gurugram",IF(OR(PROPER(TRIM(Raw_Data!D128))="New Delhi",PROPER(TRIM(Raw_Data!D128))="Delhi"),"Delhi",PROPER(TRIM(Raw_Data!D128)))))</f>
        <v/>
      </c>
      <c r="E137" s="48">
        <f>Raw_Data!E128</f>
        <v/>
      </c>
      <c r="F137" s="48">
        <f>IF(TRIM(Raw_Data!F128&amp;"")="","Not Specified",Raw_Data!F128)</f>
        <v/>
      </c>
      <c r="G137" s="48">
        <f>Raw_Data!G128</f>
        <v/>
      </c>
      <c r="H137" s="48">
        <f>Raw_Data!H128</f>
        <v/>
      </c>
      <c r="I137" s="49">
        <f>IF(Raw_Data!I128="","",Raw_Data!I128)</f>
        <v/>
      </c>
      <c r="J137" s="49">
        <f>IF(Raw_Data!J128="","",Raw_Data!J128)</f>
        <v/>
      </c>
      <c r="K137" s="48">
        <f>IF(TRIM(Raw_Data!K128&amp;"")="","Not Specified",Raw_Data!K128)</f>
        <v/>
      </c>
      <c r="L137" s="56">
        <f>Raw_Data!L128</f>
        <v/>
      </c>
      <c r="M137" s="49">
        <f>IF(OR(I137="",J137=""),"",(I137+J137)/2)</f>
        <v/>
      </c>
      <c r="N137" s="49">
        <f>IF(OR(I137="",J137=""),"",J137-I137)</f>
        <v/>
      </c>
      <c r="O137" s="48">
        <f>TEXT(L137,"mmm-yyyy")</f>
        <v/>
      </c>
      <c r="P137" s="48">
        <f>_xlfn.IFS(ISNUMBER(SEARCH("data analy",B137)),"Data Analyst",ISNUMBER(SEARCH("business analy",B137)),"Business Analyst",OR(ISNUMBER(SEARCH("developer",B137)),ISNUMBER(SEARCH("software engineer",B137)),ISNUMBER(SEARCH("programmer",B137))),"Software Developer",ISNUMBER(SEARCH("business development",B137)),"Business Development",ISNUMBER(SEARCH("sales",B137)),"Sales Executive",ISNUMBER(SEARCH("marketing",B137)),"Marketing Executive",OR(ISNUMBER(SEARCH("hr ",B137)),ISNUMBER(SEARCH("recruit",B137)),ISNUMBER(SEARCH("human resource",B137))),"HR / Recruiter",OR(ISNUMBER(SEARCH("account",B137)),ISNUMBER(SEARCH("finance",B137)),ISNUMBER(SEARCH("tax",B137)),ISNUMBER(SEARCH("audit",B137))),"Accountant / Finance",OR(ISNUMBER(SEARCH("customer service",B137)),ISNUMBER(SEARCH("customer support",B137)),ISNUMBER(SEARCH("customer care",B137)),ISNUMBER(SEARCH("voice process",B137)),ISNUMBER(SEARCH("bpo",B137))),"Customer Support",ISNUMBER(SEARCH("engineer",B137)),"Engineer (Technical)",ISNUMBER(SEARCH("manager",B137)),"Manager",OR(ISNUMBER(SEARCH("teacher",B137)),ISNUMBER(SEARCH("trainer",B137)),ISNUMBER(SEARCH("faculty",B137))),"Teacher / Trainer",OR(ISNUMBER(SEARCH("doctor",B137)),ISNUMBER(SEARCH("nurse",B137)),ISNUMBER(SEARCH("medical",B137)),ISNUMBER(SEARCH("pharma",B137)),ISNUMBER(SEARCH("clinical",B137))),"Healthcare",TRUE,"Other")</f>
        <v/>
      </c>
      <c r="Q137" s="48">
        <f>IF(COUNTIFS($B$11:B137,B137,$C$11:C137,C137,$D$11:D137,D137,$L$11:L137,L137)&gt;1,"Duplicate","Unique")</f>
        <v/>
      </c>
    </row>
    <row r="138">
      <c r="A138" s="48">
        <f>Raw_Data!A129</f>
        <v/>
      </c>
      <c r="B138" s="48">
        <f>PROPER(TRIM(Raw_Data!B129))</f>
        <v/>
      </c>
      <c r="C138" s="48">
        <f>TRIM(Raw_Data!C129)</f>
        <v/>
      </c>
      <c r="D138" s="48">
        <f>IF(PROPER(TRIM(Raw_Data!D129))="Bangalore","Bengaluru",IF(PROPER(TRIM(Raw_Data!D129))="Gurgaon","Gurugram",IF(OR(PROPER(TRIM(Raw_Data!D129))="New Delhi",PROPER(TRIM(Raw_Data!D129))="Delhi"),"Delhi",PROPER(TRIM(Raw_Data!D129)))))</f>
        <v/>
      </c>
      <c r="E138" s="48">
        <f>Raw_Data!E129</f>
        <v/>
      </c>
      <c r="F138" s="48">
        <f>IF(TRIM(Raw_Data!F129&amp;"")="","Not Specified",Raw_Data!F129)</f>
        <v/>
      </c>
      <c r="G138" s="48">
        <f>Raw_Data!G129</f>
        <v/>
      </c>
      <c r="H138" s="48">
        <f>Raw_Data!H129</f>
        <v/>
      </c>
      <c r="I138" s="49">
        <f>IF(Raw_Data!I129="","",Raw_Data!I129)</f>
        <v/>
      </c>
      <c r="J138" s="49">
        <f>IF(Raw_Data!J129="","",Raw_Data!J129)</f>
        <v/>
      </c>
      <c r="K138" s="48">
        <f>IF(TRIM(Raw_Data!K129&amp;"")="","Not Specified",Raw_Data!K129)</f>
        <v/>
      </c>
      <c r="L138" s="56">
        <f>Raw_Data!L129</f>
        <v/>
      </c>
      <c r="M138" s="49">
        <f>IF(OR(I138="",J138=""),"",(I138+J138)/2)</f>
        <v/>
      </c>
      <c r="N138" s="49">
        <f>IF(OR(I138="",J138=""),"",J138-I138)</f>
        <v/>
      </c>
      <c r="O138" s="48">
        <f>TEXT(L138,"mmm-yyyy")</f>
        <v/>
      </c>
      <c r="P138" s="48">
        <f>_xlfn.IFS(ISNUMBER(SEARCH("data analy",B138)),"Data Analyst",ISNUMBER(SEARCH("business analy",B138)),"Business Analyst",OR(ISNUMBER(SEARCH("developer",B138)),ISNUMBER(SEARCH("software engineer",B138)),ISNUMBER(SEARCH("programmer",B138))),"Software Developer",ISNUMBER(SEARCH("business development",B138)),"Business Development",ISNUMBER(SEARCH("sales",B138)),"Sales Executive",ISNUMBER(SEARCH("marketing",B138)),"Marketing Executive",OR(ISNUMBER(SEARCH("hr ",B138)),ISNUMBER(SEARCH("recruit",B138)),ISNUMBER(SEARCH("human resource",B138))),"HR / Recruiter",OR(ISNUMBER(SEARCH("account",B138)),ISNUMBER(SEARCH("finance",B138)),ISNUMBER(SEARCH("tax",B138)),ISNUMBER(SEARCH("audit",B138))),"Accountant / Finance",OR(ISNUMBER(SEARCH("customer service",B138)),ISNUMBER(SEARCH("customer support",B138)),ISNUMBER(SEARCH("customer care",B138)),ISNUMBER(SEARCH("voice process",B138)),ISNUMBER(SEARCH("bpo",B138))),"Customer Support",ISNUMBER(SEARCH("engineer",B138)),"Engineer (Technical)",ISNUMBER(SEARCH("manager",B138)),"Manager",OR(ISNUMBER(SEARCH("teacher",B138)),ISNUMBER(SEARCH("trainer",B138)),ISNUMBER(SEARCH("faculty",B138))),"Teacher / Trainer",OR(ISNUMBER(SEARCH("doctor",B138)),ISNUMBER(SEARCH("nurse",B138)),ISNUMBER(SEARCH("medical",B138)),ISNUMBER(SEARCH("pharma",B138)),ISNUMBER(SEARCH("clinical",B138))),"Healthcare",TRUE,"Other")</f>
        <v/>
      </c>
      <c r="Q138" s="48">
        <f>IF(COUNTIFS($B$11:B138,B138,$C$11:C138,C138,$D$11:D138,D138,$L$11:L138,L138)&gt;1,"Duplicate","Unique")</f>
        <v/>
      </c>
    </row>
    <row r="139">
      <c r="A139" s="48">
        <f>Raw_Data!A130</f>
        <v/>
      </c>
      <c r="B139" s="48">
        <f>PROPER(TRIM(Raw_Data!B130))</f>
        <v/>
      </c>
      <c r="C139" s="48">
        <f>TRIM(Raw_Data!C130)</f>
        <v/>
      </c>
      <c r="D139" s="48">
        <f>IF(PROPER(TRIM(Raw_Data!D130))="Bangalore","Bengaluru",IF(PROPER(TRIM(Raw_Data!D130))="Gurgaon","Gurugram",IF(OR(PROPER(TRIM(Raw_Data!D130))="New Delhi",PROPER(TRIM(Raw_Data!D130))="Delhi"),"Delhi",PROPER(TRIM(Raw_Data!D130)))))</f>
        <v/>
      </c>
      <c r="E139" s="48">
        <f>Raw_Data!E130</f>
        <v/>
      </c>
      <c r="F139" s="48">
        <f>IF(TRIM(Raw_Data!F130&amp;"")="","Not Specified",Raw_Data!F130)</f>
        <v/>
      </c>
      <c r="G139" s="48">
        <f>Raw_Data!G130</f>
        <v/>
      </c>
      <c r="H139" s="48">
        <f>Raw_Data!H130</f>
        <v/>
      </c>
      <c r="I139" s="49">
        <f>IF(Raw_Data!I130="","",Raw_Data!I130)</f>
        <v/>
      </c>
      <c r="J139" s="49">
        <f>IF(Raw_Data!J130="","",Raw_Data!J130)</f>
        <v/>
      </c>
      <c r="K139" s="48">
        <f>IF(TRIM(Raw_Data!K130&amp;"")="","Not Specified",Raw_Data!K130)</f>
        <v/>
      </c>
      <c r="L139" s="56">
        <f>Raw_Data!L130</f>
        <v/>
      </c>
      <c r="M139" s="49">
        <f>IF(OR(I139="",J139=""),"",(I139+J139)/2)</f>
        <v/>
      </c>
      <c r="N139" s="49">
        <f>IF(OR(I139="",J139=""),"",J139-I139)</f>
        <v/>
      </c>
      <c r="O139" s="48">
        <f>TEXT(L139,"mmm-yyyy")</f>
        <v/>
      </c>
      <c r="P139" s="48">
        <f>_xlfn.IFS(ISNUMBER(SEARCH("data analy",B139)),"Data Analyst",ISNUMBER(SEARCH("business analy",B139)),"Business Analyst",OR(ISNUMBER(SEARCH("developer",B139)),ISNUMBER(SEARCH("software engineer",B139)),ISNUMBER(SEARCH("programmer",B139))),"Software Developer",ISNUMBER(SEARCH("business development",B139)),"Business Development",ISNUMBER(SEARCH("sales",B139)),"Sales Executive",ISNUMBER(SEARCH("marketing",B139)),"Marketing Executive",OR(ISNUMBER(SEARCH("hr ",B139)),ISNUMBER(SEARCH("recruit",B139)),ISNUMBER(SEARCH("human resource",B139))),"HR / Recruiter",OR(ISNUMBER(SEARCH("account",B139)),ISNUMBER(SEARCH("finance",B139)),ISNUMBER(SEARCH("tax",B139)),ISNUMBER(SEARCH("audit",B139))),"Accountant / Finance",OR(ISNUMBER(SEARCH("customer service",B139)),ISNUMBER(SEARCH("customer support",B139)),ISNUMBER(SEARCH("customer care",B139)),ISNUMBER(SEARCH("voice process",B139)),ISNUMBER(SEARCH("bpo",B139))),"Customer Support",ISNUMBER(SEARCH("engineer",B139)),"Engineer (Technical)",ISNUMBER(SEARCH("manager",B139)),"Manager",OR(ISNUMBER(SEARCH("teacher",B139)),ISNUMBER(SEARCH("trainer",B139)),ISNUMBER(SEARCH("faculty",B139))),"Teacher / Trainer",OR(ISNUMBER(SEARCH("doctor",B139)),ISNUMBER(SEARCH("nurse",B139)),ISNUMBER(SEARCH("medical",B139)),ISNUMBER(SEARCH("pharma",B139)),ISNUMBER(SEARCH("clinical",B139))),"Healthcare",TRUE,"Other")</f>
        <v/>
      </c>
      <c r="Q139" s="48">
        <f>IF(COUNTIFS($B$11:B139,B139,$C$11:C139,C139,$D$11:D139,D139,$L$11:L139,L139)&gt;1,"Duplicate","Unique")</f>
        <v/>
      </c>
    </row>
    <row r="140">
      <c r="A140" s="48">
        <f>Raw_Data!A131</f>
        <v/>
      </c>
      <c r="B140" s="48">
        <f>PROPER(TRIM(Raw_Data!B131))</f>
        <v/>
      </c>
      <c r="C140" s="48">
        <f>TRIM(Raw_Data!C131)</f>
        <v/>
      </c>
      <c r="D140" s="48">
        <f>IF(PROPER(TRIM(Raw_Data!D131))="Bangalore","Bengaluru",IF(PROPER(TRIM(Raw_Data!D131))="Gurgaon","Gurugram",IF(OR(PROPER(TRIM(Raw_Data!D131))="New Delhi",PROPER(TRIM(Raw_Data!D131))="Delhi"),"Delhi",PROPER(TRIM(Raw_Data!D131)))))</f>
        <v/>
      </c>
      <c r="E140" s="48">
        <f>Raw_Data!E131</f>
        <v/>
      </c>
      <c r="F140" s="48">
        <f>IF(TRIM(Raw_Data!F131&amp;"")="","Not Specified",Raw_Data!F131)</f>
        <v/>
      </c>
      <c r="G140" s="48">
        <f>Raw_Data!G131</f>
        <v/>
      </c>
      <c r="H140" s="48">
        <f>Raw_Data!H131</f>
        <v/>
      </c>
      <c r="I140" s="49">
        <f>IF(Raw_Data!I131="","",Raw_Data!I131)</f>
        <v/>
      </c>
      <c r="J140" s="49">
        <f>IF(Raw_Data!J131="","",Raw_Data!J131)</f>
        <v/>
      </c>
      <c r="K140" s="48">
        <f>IF(TRIM(Raw_Data!K131&amp;"")="","Not Specified",Raw_Data!K131)</f>
        <v/>
      </c>
      <c r="L140" s="56">
        <f>Raw_Data!L131</f>
        <v/>
      </c>
      <c r="M140" s="49">
        <f>IF(OR(I140="",J140=""),"",(I140+J140)/2)</f>
        <v/>
      </c>
      <c r="N140" s="49">
        <f>IF(OR(I140="",J140=""),"",J140-I140)</f>
        <v/>
      </c>
      <c r="O140" s="48">
        <f>TEXT(L140,"mmm-yyyy")</f>
        <v/>
      </c>
      <c r="P140" s="48">
        <f>_xlfn.IFS(ISNUMBER(SEARCH("data analy",B140)),"Data Analyst",ISNUMBER(SEARCH("business analy",B140)),"Business Analyst",OR(ISNUMBER(SEARCH("developer",B140)),ISNUMBER(SEARCH("software engineer",B140)),ISNUMBER(SEARCH("programmer",B140))),"Software Developer",ISNUMBER(SEARCH("business development",B140)),"Business Development",ISNUMBER(SEARCH("sales",B140)),"Sales Executive",ISNUMBER(SEARCH("marketing",B140)),"Marketing Executive",OR(ISNUMBER(SEARCH("hr ",B140)),ISNUMBER(SEARCH("recruit",B140)),ISNUMBER(SEARCH("human resource",B140))),"HR / Recruiter",OR(ISNUMBER(SEARCH("account",B140)),ISNUMBER(SEARCH("finance",B140)),ISNUMBER(SEARCH("tax",B140)),ISNUMBER(SEARCH("audit",B140))),"Accountant / Finance",OR(ISNUMBER(SEARCH("customer service",B140)),ISNUMBER(SEARCH("customer support",B140)),ISNUMBER(SEARCH("customer care",B140)),ISNUMBER(SEARCH("voice process",B140)),ISNUMBER(SEARCH("bpo",B140))),"Customer Support",ISNUMBER(SEARCH("engineer",B140)),"Engineer (Technical)",ISNUMBER(SEARCH("manager",B140)),"Manager",OR(ISNUMBER(SEARCH("teacher",B140)),ISNUMBER(SEARCH("trainer",B140)),ISNUMBER(SEARCH("faculty",B140))),"Teacher / Trainer",OR(ISNUMBER(SEARCH("doctor",B140)),ISNUMBER(SEARCH("nurse",B140)),ISNUMBER(SEARCH("medical",B140)),ISNUMBER(SEARCH("pharma",B140)),ISNUMBER(SEARCH("clinical",B140))),"Healthcare",TRUE,"Other")</f>
        <v/>
      </c>
      <c r="Q140" s="48">
        <f>IF(COUNTIFS($B$11:B140,B140,$C$11:C140,C140,$D$11:D140,D140,$L$11:L140,L140)&gt;1,"Duplicate","Unique")</f>
        <v/>
      </c>
    </row>
    <row r="141">
      <c r="A141" s="48">
        <f>Raw_Data!A132</f>
        <v/>
      </c>
      <c r="B141" s="48">
        <f>PROPER(TRIM(Raw_Data!B132))</f>
        <v/>
      </c>
      <c r="C141" s="48">
        <f>TRIM(Raw_Data!C132)</f>
        <v/>
      </c>
      <c r="D141" s="48">
        <f>IF(PROPER(TRIM(Raw_Data!D132))="Bangalore","Bengaluru",IF(PROPER(TRIM(Raw_Data!D132))="Gurgaon","Gurugram",IF(OR(PROPER(TRIM(Raw_Data!D132))="New Delhi",PROPER(TRIM(Raw_Data!D132))="Delhi"),"Delhi",PROPER(TRIM(Raw_Data!D132)))))</f>
        <v/>
      </c>
      <c r="E141" s="48">
        <f>Raw_Data!E132</f>
        <v/>
      </c>
      <c r="F141" s="48">
        <f>IF(TRIM(Raw_Data!F132&amp;"")="","Not Specified",Raw_Data!F132)</f>
        <v/>
      </c>
      <c r="G141" s="48">
        <f>Raw_Data!G132</f>
        <v/>
      </c>
      <c r="H141" s="48">
        <f>Raw_Data!H132</f>
        <v/>
      </c>
      <c r="I141" s="49">
        <f>IF(Raw_Data!I132="","",Raw_Data!I132)</f>
        <v/>
      </c>
      <c r="J141" s="49">
        <f>IF(Raw_Data!J132="","",Raw_Data!J132)</f>
        <v/>
      </c>
      <c r="K141" s="48">
        <f>IF(TRIM(Raw_Data!K132&amp;"")="","Not Specified",Raw_Data!K132)</f>
        <v/>
      </c>
      <c r="L141" s="56">
        <f>Raw_Data!L132</f>
        <v/>
      </c>
      <c r="M141" s="49">
        <f>IF(OR(I141="",J141=""),"",(I141+J141)/2)</f>
        <v/>
      </c>
      <c r="N141" s="49">
        <f>IF(OR(I141="",J141=""),"",J141-I141)</f>
        <v/>
      </c>
      <c r="O141" s="48">
        <f>TEXT(L141,"mmm-yyyy")</f>
        <v/>
      </c>
      <c r="P141" s="48">
        <f>_xlfn.IFS(ISNUMBER(SEARCH("data analy",B141)),"Data Analyst",ISNUMBER(SEARCH("business analy",B141)),"Business Analyst",OR(ISNUMBER(SEARCH("developer",B141)),ISNUMBER(SEARCH("software engineer",B141)),ISNUMBER(SEARCH("programmer",B141))),"Software Developer",ISNUMBER(SEARCH("business development",B141)),"Business Development",ISNUMBER(SEARCH("sales",B141)),"Sales Executive",ISNUMBER(SEARCH("marketing",B141)),"Marketing Executive",OR(ISNUMBER(SEARCH("hr ",B141)),ISNUMBER(SEARCH("recruit",B141)),ISNUMBER(SEARCH("human resource",B141))),"HR / Recruiter",OR(ISNUMBER(SEARCH("account",B141)),ISNUMBER(SEARCH("finance",B141)),ISNUMBER(SEARCH("tax",B141)),ISNUMBER(SEARCH("audit",B141))),"Accountant / Finance",OR(ISNUMBER(SEARCH("customer service",B141)),ISNUMBER(SEARCH("customer support",B141)),ISNUMBER(SEARCH("customer care",B141)),ISNUMBER(SEARCH("voice process",B141)),ISNUMBER(SEARCH("bpo",B141))),"Customer Support",ISNUMBER(SEARCH("engineer",B141)),"Engineer (Technical)",ISNUMBER(SEARCH("manager",B141)),"Manager",OR(ISNUMBER(SEARCH("teacher",B141)),ISNUMBER(SEARCH("trainer",B141)),ISNUMBER(SEARCH("faculty",B141))),"Teacher / Trainer",OR(ISNUMBER(SEARCH("doctor",B141)),ISNUMBER(SEARCH("nurse",B141)),ISNUMBER(SEARCH("medical",B141)),ISNUMBER(SEARCH("pharma",B141)),ISNUMBER(SEARCH("clinical",B141))),"Healthcare",TRUE,"Other")</f>
        <v/>
      </c>
      <c r="Q141" s="48">
        <f>IF(COUNTIFS($B$11:B141,B141,$C$11:C141,C141,$D$11:D141,D141,$L$11:L141,L141)&gt;1,"Duplicate","Unique")</f>
        <v/>
      </c>
    </row>
    <row r="142">
      <c r="A142" s="48">
        <f>Raw_Data!A133</f>
        <v/>
      </c>
      <c r="B142" s="48">
        <f>PROPER(TRIM(Raw_Data!B133))</f>
        <v/>
      </c>
      <c r="C142" s="48">
        <f>TRIM(Raw_Data!C133)</f>
        <v/>
      </c>
      <c r="D142" s="48">
        <f>IF(PROPER(TRIM(Raw_Data!D133))="Bangalore","Bengaluru",IF(PROPER(TRIM(Raw_Data!D133))="Gurgaon","Gurugram",IF(OR(PROPER(TRIM(Raw_Data!D133))="New Delhi",PROPER(TRIM(Raw_Data!D133))="Delhi"),"Delhi",PROPER(TRIM(Raw_Data!D133)))))</f>
        <v/>
      </c>
      <c r="E142" s="48">
        <f>Raw_Data!E133</f>
        <v/>
      </c>
      <c r="F142" s="48">
        <f>IF(TRIM(Raw_Data!F133&amp;"")="","Not Specified",Raw_Data!F133)</f>
        <v/>
      </c>
      <c r="G142" s="48">
        <f>Raw_Data!G133</f>
        <v/>
      </c>
      <c r="H142" s="48">
        <f>Raw_Data!H133</f>
        <v/>
      </c>
      <c r="I142" s="49">
        <f>IF(Raw_Data!I133="","",Raw_Data!I133)</f>
        <v/>
      </c>
      <c r="J142" s="49">
        <f>IF(Raw_Data!J133="","",Raw_Data!J133)</f>
        <v/>
      </c>
      <c r="K142" s="48">
        <f>IF(TRIM(Raw_Data!K133&amp;"")="","Not Specified",Raw_Data!K133)</f>
        <v/>
      </c>
      <c r="L142" s="56">
        <f>Raw_Data!L133</f>
        <v/>
      </c>
      <c r="M142" s="49">
        <f>IF(OR(I142="",J142=""),"",(I142+J142)/2)</f>
        <v/>
      </c>
      <c r="N142" s="49">
        <f>IF(OR(I142="",J142=""),"",J142-I142)</f>
        <v/>
      </c>
      <c r="O142" s="48">
        <f>TEXT(L142,"mmm-yyyy")</f>
        <v/>
      </c>
      <c r="P142" s="48">
        <f>_xlfn.IFS(ISNUMBER(SEARCH("data analy",B142)),"Data Analyst",ISNUMBER(SEARCH("business analy",B142)),"Business Analyst",OR(ISNUMBER(SEARCH("developer",B142)),ISNUMBER(SEARCH("software engineer",B142)),ISNUMBER(SEARCH("programmer",B142))),"Software Developer",ISNUMBER(SEARCH("business development",B142)),"Business Development",ISNUMBER(SEARCH("sales",B142)),"Sales Executive",ISNUMBER(SEARCH("marketing",B142)),"Marketing Executive",OR(ISNUMBER(SEARCH("hr ",B142)),ISNUMBER(SEARCH("recruit",B142)),ISNUMBER(SEARCH("human resource",B142))),"HR / Recruiter",OR(ISNUMBER(SEARCH("account",B142)),ISNUMBER(SEARCH("finance",B142)),ISNUMBER(SEARCH("tax",B142)),ISNUMBER(SEARCH("audit",B142))),"Accountant / Finance",OR(ISNUMBER(SEARCH("customer service",B142)),ISNUMBER(SEARCH("customer support",B142)),ISNUMBER(SEARCH("customer care",B142)),ISNUMBER(SEARCH("voice process",B142)),ISNUMBER(SEARCH("bpo",B142))),"Customer Support",ISNUMBER(SEARCH("engineer",B142)),"Engineer (Technical)",ISNUMBER(SEARCH("manager",B142)),"Manager",OR(ISNUMBER(SEARCH("teacher",B142)),ISNUMBER(SEARCH("trainer",B142)),ISNUMBER(SEARCH("faculty",B142))),"Teacher / Trainer",OR(ISNUMBER(SEARCH("doctor",B142)),ISNUMBER(SEARCH("nurse",B142)),ISNUMBER(SEARCH("medical",B142)),ISNUMBER(SEARCH("pharma",B142)),ISNUMBER(SEARCH("clinical",B142))),"Healthcare",TRUE,"Other")</f>
        <v/>
      </c>
      <c r="Q142" s="48">
        <f>IF(COUNTIFS($B$11:B142,B142,$C$11:C142,C142,$D$11:D142,D142,$L$11:L142,L142)&gt;1,"Duplicate","Unique")</f>
        <v/>
      </c>
    </row>
    <row r="143">
      <c r="A143" s="48">
        <f>Raw_Data!A134</f>
        <v/>
      </c>
      <c r="B143" s="48">
        <f>PROPER(TRIM(Raw_Data!B134))</f>
        <v/>
      </c>
      <c r="C143" s="48">
        <f>TRIM(Raw_Data!C134)</f>
        <v/>
      </c>
      <c r="D143" s="48">
        <f>IF(PROPER(TRIM(Raw_Data!D134))="Bangalore","Bengaluru",IF(PROPER(TRIM(Raw_Data!D134))="Gurgaon","Gurugram",IF(OR(PROPER(TRIM(Raw_Data!D134))="New Delhi",PROPER(TRIM(Raw_Data!D134))="Delhi"),"Delhi",PROPER(TRIM(Raw_Data!D134)))))</f>
        <v/>
      </c>
      <c r="E143" s="48">
        <f>Raw_Data!E134</f>
        <v/>
      </c>
      <c r="F143" s="48">
        <f>IF(TRIM(Raw_Data!F134&amp;"")="","Not Specified",Raw_Data!F134)</f>
        <v/>
      </c>
      <c r="G143" s="48">
        <f>Raw_Data!G134</f>
        <v/>
      </c>
      <c r="H143" s="48">
        <f>Raw_Data!H134</f>
        <v/>
      </c>
      <c r="I143" s="49">
        <f>IF(Raw_Data!I134="","",Raw_Data!I134)</f>
        <v/>
      </c>
      <c r="J143" s="49">
        <f>IF(Raw_Data!J134="","",Raw_Data!J134)</f>
        <v/>
      </c>
      <c r="K143" s="48">
        <f>IF(TRIM(Raw_Data!K134&amp;"")="","Not Specified",Raw_Data!K134)</f>
        <v/>
      </c>
      <c r="L143" s="56">
        <f>Raw_Data!L134</f>
        <v/>
      </c>
      <c r="M143" s="49">
        <f>IF(OR(I143="",J143=""),"",(I143+J143)/2)</f>
        <v/>
      </c>
      <c r="N143" s="49">
        <f>IF(OR(I143="",J143=""),"",J143-I143)</f>
        <v/>
      </c>
      <c r="O143" s="48">
        <f>TEXT(L143,"mmm-yyyy")</f>
        <v/>
      </c>
      <c r="P143" s="48">
        <f>_xlfn.IFS(ISNUMBER(SEARCH("data analy",B143)),"Data Analyst",ISNUMBER(SEARCH("business analy",B143)),"Business Analyst",OR(ISNUMBER(SEARCH("developer",B143)),ISNUMBER(SEARCH("software engineer",B143)),ISNUMBER(SEARCH("programmer",B143))),"Software Developer",ISNUMBER(SEARCH("business development",B143)),"Business Development",ISNUMBER(SEARCH("sales",B143)),"Sales Executive",ISNUMBER(SEARCH("marketing",B143)),"Marketing Executive",OR(ISNUMBER(SEARCH("hr ",B143)),ISNUMBER(SEARCH("recruit",B143)),ISNUMBER(SEARCH("human resource",B143))),"HR / Recruiter",OR(ISNUMBER(SEARCH("account",B143)),ISNUMBER(SEARCH("finance",B143)),ISNUMBER(SEARCH("tax",B143)),ISNUMBER(SEARCH("audit",B143))),"Accountant / Finance",OR(ISNUMBER(SEARCH("customer service",B143)),ISNUMBER(SEARCH("customer support",B143)),ISNUMBER(SEARCH("customer care",B143)),ISNUMBER(SEARCH("voice process",B143)),ISNUMBER(SEARCH("bpo",B143))),"Customer Support",ISNUMBER(SEARCH("engineer",B143)),"Engineer (Technical)",ISNUMBER(SEARCH("manager",B143)),"Manager",OR(ISNUMBER(SEARCH("teacher",B143)),ISNUMBER(SEARCH("trainer",B143)),ISNUMBER(SEARCH("faculty",B143))),"Teacher / Trainer",OR(ISNUMBER(SEARCH("doctor",B143)),ISNUMBER(SEARCH("nurse",B143)),ISNUMBER(SEARCH("medical",B143)),ISNUMBER(SEARCH("pharma",B143)),ISNUMBER(SEARCH("clinical",B143))),"Healthcare",TRUE,"Other")</f>
        <v/>
      </c>
      <c r="Q143" s="48">
        <f>IF(COUNTIFS($B$11:B143,B143,$C$11:C143,C143,$D$11:D143,D143,$L$11:L143,L143)&gt;1,"Duplicate","Unique")</f>
        <v/>
      </c>
    </row>
    <row r="144">
      <c r="A144" s="48">
        <f>Raw_Data!A135</f>
        <v/>
      </c>
      <c r="B144" s="48">
        <f>PROPER(TRIM(Raw_Data!B135))</f>
        <v/>
      </c>
      <c r="C144" s="48">
        <f>TRIM(Raw_Data!C135)</f>
        <v/>
      </c>
      <c r="D144" s="48">
        <f>IF(PROPER(TRIM(Raw_Data!D135))="Bangalore","Bengaluru",IF(PROPER(TRIM(Raw_Data!D135))="Gurgaon","Gurugram",IF(OR(PROPER(TRIM(Raw_Data!D135))="New Delhi",PROPER(TRIM(Raw_Data!D135))="Delhi"),"Delhi",PROPER(TRIM(Raw_Data!D135)))))</f>
        <v/>
      </c>
      <c r="E144" s="48">
        <f>Raw_Data!E135</f>
        <v/>
      </c>
      <c r="F144" s="48">
        <f>IF(TRIM(Raw_Data!F135&amp;"")="","Not Specified",Raw_Data!F135)</f>
        <v/>
      </c>
      <c r="G144" s="48">
        <f>Raw_Data!G135</f>
        <v/>
      </c>
      <c r="H144" s="48">
        <f>Raw_Data!H135</f>
        <v/>
      </c>
      <c r="I144" s="49">
        <f>IF(Raw_Data!I135="","",Raw_Data!I135)</f>
        <v/>
      </c>
      <c r="J144" s="49">
        <f>IF(Raw_Data!J135="","",Raw_Data!J135)</f>
        <v/>
      </c>
      <c r="K144" s="48">
        <f>IF(TRIM(Raw_Data!K135&amp;"")="","Not Specified",Raw_Data!K135)</f>
        <v/>
      </c>
      <c r="L144" s="56">
        <f>Raw_Data!L135</f>
        <v/>
      </c>
      <c r="M144" s="49">
        <f>IF(OR(I144="",J144=""),"",(I144+J144)/2)</f>
        <v/>
      </c>
      <c r="N144" s="49">
        <f>IF(OR(I144="",J144=""),"",J144-I144)</f>
        <v/>
      </c>
      <c r="O144" s="48">
        <f>TEXT(L144,"mmm-yyyy")</f>
        <v/>
      </c>
      <c r="P144" s="48">
        <f>_xlfn.IFS(ISNUMBER(SEARCH("data analy",B144)),"Data Analyst",ISNUMBER(SEARCH("business analy",B144)),"Business Analyst",OR(ISNUMBER(SEARCH("developer",B144)),ISNUMBER(SEARCH("software engineer",B144)),ISNUMBER(SEARCH("programmer",B144))),"Software Developer",ISNUMBER(SEARCH("business development",B144)),"Business Development",ISNUMBER(SEARCH("sales",B144)),"Sales Executive",ISNUMBER(SEARCH("marketing",B144)),"Marketing Executive",OR(ISNUMBER(SEARCH("hr ",B144)),ISNUMBER(SEARCH("recruit",B144)),ISNUMBER(SEARCH("human resource",B144))),"HR / Recruiter",OR(ISNUMBER(SEARCH("account",B144)),ISNUMBER(SEARCH("finance",B144)),ISNUMBER(SEARCH("tax",B144)),ISNUMBER(SEARCH("audit",B144))),"Accountant / Finance",OR(ISNUMBER(SEARCH("customer service",B144)),ISNUMBER(SEARCH("customer support",B144)),ISNUMBER(SEARCH("customer care",B144)),ISNUMBER(SEARCH("voice process",B144)),ISNUMBER(SEARCH("bpo",B144))),"Customer Support",ISNUMBER(SEARCH("engineer",B144)),"Engineer (Technical)",ISNUMBER(SEARCH("manager",B144)),"Manager",OR(ISNUMBER(SEARCH("teacher",B144)),ISNUMBER(SEARCH("trainer",B144)),ISNUMBER(SEARCH("faculty",B144))),"Teacher / Trainer",OR(ISNUMBER(SEARCH("doctor",B144)),ISNUMBER(SEARCH("nurse",B144)),ISNUMBER(SEARCH("medical",B144)),ISNUMBER(SEARCH("pharma",B144)),ISNUMBER(SEARCH("clinical",B144))),"Healthcare",TRUE,"Other")</f>
        <v/>
      </c>
      <c r="Q144" s="48">
        <f>IF(COUNTIFS($B$11:B144,B144,$C$11:C144,C144,$D$11:D144,D144,$L$11:L144,L144)&gt;1,"Duplicate","Unique")</f>
        <v/>
      </c>
    </row>
    <row r="145">
      <c r="A145" s="48">
        <f>Raw_Data!A136</f>
        <v/>
      </c>
      <c r="B145" s="48">
        <f>PROPER(TRIM(Raw_Data!B136))</f>
        <v/>
      </c>
      <c r="C145" s="48">
        <f>TRIM(Raw_Data!C136)</f>
        <v/>
      </c>
      <c r="D145" s="48">
        <f>IF(PROPER(TRIM(Raw_Data!D136))="Bangalore","Bengaluru",IF(PROPER(TRIM(Raw_Data!D136))="Gurgaon","Gurugram",IF(OR(PROPER(TRIM(Raw_Data!D136))="New Delhi",PROPER(TRIM(Raw_Data!D136))="Delhi"),"Delhi",PROPER(TRIM(Raw_Data!D136)))))</f>
        <v/>
      </c>
      <c r="E145" s="48">
        <f>Raw_Data!E136</f>
        <v/>
      </c>
      <c r="F145" s="48">
        <f>IF(TRIM(Raw_Data!F136&amp;"")="","Not Specified",Raw_Data!F136)</f>
        <v/>
      </c>
      <c r="G145" s="48">
        <f>Raw_Data!G136</f>
        <v/>
      </c>
      <c r="H145" s="48">
        <f>Raw_Data!H136</f>
        <v/>
      </c>
      <c r="I145" s="49">
        <f>IF(Raw_Data!I136="","",Raw_Data!I136)</f>
        <v/>
      </c>
      <c r="J145" s="49">
        <f>IF(Raw_Data!J136="","",Raw_Data!J136)</f>
        <v/>
      </c>
      <c r="K145" s="48">
        <f>IF(TRIM(Raw_Data!K136&amp;"")="","Not Specified",Raw_Data!K136)</f>
        <v/>
      </c>
      <c r="L145" s="56">
        <f>Raw_Data!L136</f>
        <v/>
      </c>
      <c r="M145" s="49">
        <f>IF(OR(I145="",J145=""),"",(I145+J145)/2)</f>
        <v/>
      </c>
      <c r="N145" s="49">
        <f>IF(OR(I145="",J145=""),"",J145-I145)</f>
        <v/>
      </c>
      <c r="O145" s="48">
        <f>TEXT(L145,"mmm-yyyy")</f>
        <v/>
      </c>
      <c r="P145" s="48">
        <f>_xlfn.IFS(ISNUMBER(SEARCH("data analy",B145)),"Data Analyst",ISNUMBER(SEARCH("business analy",B145)),"Business Analyst",OR(ISNUMBER(SEARCH("developer",B145)),ISNUMBER(SEARCH("software engineer",B145)),ISNUMBER(SEARCH("programmer",B145))),"Software Developer",ISNUMBER(SEARCH("business development",B145)),"Business Development",ISNUMBER(SEARCH("sales",B145)),"Sales Executive",ISNUMBER(SEARCH("marketing",B145)),"Marketing Executive",OR(ISNUMBER(SEARCH("hr ",B145)),ISNUMBER(SEARCH("recruit",B145)),ISNUMBER(SEARCH("human resource",B145))),"HR / Recruiter",OR(ISNUMBER(SEARCH("account",B145)),ISNUMBER(SEARCH("finance",B145)),ISNUMBER(SEARCH("tax",B145)),ISNUMBER(SEARCH("audit",B145))),"Accountant / Finance",OR(ISNUMBER(SEARCH("customer service",B145)),ISNUMBER(SEARCH("customer support",B145)),ISNUMBER(SEARCH("customer care",B145)),ISNUMBER(SEARCH("voice process",B145)),ISNUMBER(SEARCH("bpo",B145))),"Customer Support",ISNUMBER(SEARCH("engineer",B145)),"Engineer (Technical)",ISNUMBER(SEARCH("manager",B145)),"Manager",OR(ISNUMBER(SEARCH("teacher",B145)),ISNUMBER(SEARCH("trainer",B145)),ISNUMBER(SEARCH("faculty",B145))),"Teacher / Trainer",OR(ISNUMBER(SEARCH("doctor",B145)),ISNUMBER(SEARCH("nurse",B145)),ISNUMBER(SEARCH("medical",B145)),ISNUMBER(SEARCH("pharma",B145)),ISNUMBER(SEARCH("clinical",B145))),"Healthcare",TRUE,"Other")</f>
        <v/>
      </c>
      <c r="Q145" s="48">
        <f>IF(COUNTIFS($B$11:B145,B145,$C$11:C145,C145,$D$11:D145,D145,$L$11:L145,L145)&gt;1,"Duplicate","Unique")</f>
        <v/>
      </c>
    </row>
    <row r="146">
      <c r="A146" s="48">
        <f>Raw_Data!A137</f>
        <v/>
      </c>
      <c r="B146" s="48">
        <f>PROPER(TRIM(Raw_Data!B137))</f>
        <v/>
      </c>
      <c r="C146" s="48">
        <f>TRIM(Raw_Data!C137)</f>
        <v/>
      </c>
      <c r="D146" s="48">
        <f>IF(PROPER(TRIM(Raw_Data!D137))="Bangalore","Bengaluru",IF(PROPER(TRIM(Raw_Data!D137))="Gurgaon","Gurugram",IF(OR(PROPER(TRIM(Raw_Data!D137))="New Delhi",PROPER(TRIM(Raw_Data!D137))="Delhi"),"Delhi",PROPER(TRIM(Raw_Data!D137)))))</f>
        <v/>
      </c>
      <c r="E146" s="48">
        <f>Raw_Data!E137</f>
        <v/>
      </c>
      <c r="F146" s="48">
        <f>IF(TRIM(Raw_Data!F137&amp;"")="","Not Specified",Raw_Data!F137)</f>
        <v/>
      </c>
      <c r="G146" s="48">
        <f>Raw_Data!G137</f>
        <v/>
      </c>
      <c r="H146" s="48">
        <f>Raw_Data!H137</f>
        <v/>
      </c>
      <c r="I146" s="49">
        <f>IF(Raw_Data!I137="","",Raw_Data!I137)</f>
        <v/>
      </c>
      <c r="J146" s="49">
        <f>IF(Raw_Data!J137="","",Raw_Data!J137)</f>
        <v/>
      </c>
      <c r="K146" s="48">
        <f>IF(TRIM(Raw_Data!K137&amp;"")="","Not Specified",Raw_Data!K137)</f>
        <v/>
      </c>
      <c r="L146" s="56">
        <f>Raw_Data!L137</f>
        <v/>
      </c>
      <c r="M146" s="49">
        <f>IF(OR(I146="",J146=""),"",(I146+J146)/2)</f>
        <v/>
      </c>
      <c r="N146" s="49">
        <f>IF(OR(I146="",J146=""),"",J146-I146)</f>
        <v/>
      </c>
      <c r="O146" s="48">
        <f>TEXT(L146,"mmm-yyyy")</f>
        <v/>
      </c>
      <c r="P146" s="48">
        <f>_xlfn.IFS(ISNUMBER(SEARCH("data analy",B146)),"Data Analyst",ISNUMBER(SEARCH("business analy",B146)),"Business Analyst",OR(ISNUMBER(SEARCH("developer",B146)),ISNUMBER(SEARCH("software engineer",B146)),ISNUMBER(SEARCH("programmer",B146))),"Software Developer",ISNUMBER(SEARCH("business development",B146)),"Business Development",ISNUMBER(SEARCH("sales",B146)),"Sales Executive",ISNUMBER(SEARCH("marketing",B146)),"Marketing Executive",OR(ISNUMBER(SEARCH("hr ",B146)),ISNUMBER(SEARCH("recruit",B146)),ISNUMBER(SEARCH("human resource",B146))),"HR / Recruiter",OR(ISNUMBER(SEARCH("account",B146)),ISNUMBER(SEARCH("finance",B146)),ISNUMBER(SEARCH("tax",B146)),ISNUMBER(SEARCH("audit",B146))),"Accountant / Finance",OR(ISNUMBER(SEARCH("customer service",B146)),ISNUMBER(SEARCH("customer support",B146)),ISNUMBER(SEARCH("customer care",B146)),ISNUMBER(SEARCH("voice process",B146)),ISNUMBER(SEARCH("bpo",B146))),"Customer Support",ISNUMBER(SEARCH("engineer",B146)),"Engineer (Technical)",ISNUMBER(SEARCH("manager",B146)),"Manager",OR(ISNUMBER(SEARCH("teacher",B146)),ISNUMBER(SEARCH("trainer",B146)),ISNUMBER(SEARCH("faculty",B146))),"Teacher / Trainer",OR(ISNUMBER(SEARCH("doctor",B146)),ISNUMBER(SEARCH("nurse",B146)),ISNUMBER(SEARCH("medical",B146)),ISNUMBER(SEARCH("pharma",B146)),ISNUMBER(SEARCH("clinical",B146))),"Healthcare",TRUE,"Other")</f>
        <v/>
      </c>
      <c r="Q146" s="48">
        <f>IF(COUNTIFS($B$11:B146,B146,$C$11:C146,C146,$D$11:D146,D146,$L$11:L146,L146)&gt;1,"Duplicate","Unique")</f>
        <v/>
      </c>
    </row>
    <row r="147">
      <c r="A147" s="48">
        <f>Raw_Data!A138</f>
        <v/>
      </c>
      <c r="B147" s="48">
        <f>PROPER(TRIM(Raw_Data!B138))</f>
        <v/>
      </c>
      <c r="C147" s="48">
        <f>TRIM(Raw_Data!C138)</f>
        <v/>
      </c>
      <c r="D147" s="48">
        <f>IF(PROPER(TRIM(Raw_Data!D138))="Bangalore","Bengaluru",IF(PROPER(TRIM(Raw_Data!D138))="Gurgaon","Gurugram",IF(OR(PROPER(TRIM(Raw_Data!D138))="New Delhi",PROPER(TRIM(Raw_Data!D138))="Delhi"),"Delhi",PROPER(TRIM(Raw_Data!D138)))))</f>
        <v/>
      </c>
      <c r="E147" s="48">
        <f>Raw_Data!E138</f>
        <v/>
      </c>
      <c r="F147" s="48">
        <f>IF(TRIM(Raw_Data!F138&amp;"")="","Not Specified",Raw_Data!F138)</f>
        <v/>
      </c>
      <c r="G147" s="48">
        <f>Raw_Data!G138</f>
        <v/>
      </c>
      <c r="H147" s="48">
        <f>Raw_Data!H138</f>
        <v/>
      </c>
      <c r="I147" s="49">
        <f>IF(Raw_Data!I138="","",Raw_Data!I138)</f>
        <v/>
      </c>
      <c r="J147" s="49">
        <f>IF(Raw_Data!J138="","",Raw_Data!J138)</f>
        <v/>
      </c>
      <c r="K147" s="48">
        <f>IF(TRIM(Raw_Data!K138&amp;"")="","Not Specified",Raw_Data!K138)</f>
        <v/>
      </c>
      <c r="L147" s="56">
        <f>Raw_Data!L138</f>
        <v/>
      </c>
      <c r="M147" s="49">
        <f>IF(OR(I147="",J147=""),"",(I147+J147)/2)</f>
        <v/>
      </c>
      <c r="N147" s="49">
        <f>IF(OR(I147="",J147=""),"",J147-I147)</f>
        <v/>
      </c>
      <c r="O147" s="48">
        <f>TEXT(L147,"mmm-yyyy")</f>
        <v/>
      </c>
      <c r="P147" s="48">
        <f>_xlfn.IFS(ISNUMBER(SEARCH("data analy",B147)),"Data Analyst",ISNUMBER(SEARCH("business analy",B147)),"Business Analyst",OR(ISNUMBER(SEARCH("developer",B147)),ISNUMBER(SEARCH("software engineer",B147)),ISNUMBER(SEARCH("programmer",B147))),"Software Developer",ISNUMBER(SEARCH("business development",B147)),"Business Development",ISNUMBER(SEARCH("sales",B147)),"Sales Executive",ISNUMBER(SEARCH("marketing",B147)),"Marketing Executive",OR(ISNUMBER(SEARCH("hr ",B147)),ISNUMBER(SEARCH("recruit",B147)),ISNUMBER(SEARCH("human resource",B147))),"HR / Recruiter",OR(ISNUMBER(SEARCH("account",B147)),ISNUMBER(SEARCH("finance",B147)),ISNUMBER(SEARCH("tax",B147)),ISNUMBER(SEARCH("audit",B147))),"Accountant / Finance",OR(ISNUMBER(SEARCH("customer service",B147)),ISNUMBER(SEARCH("customer support",B147)),ISNUMBER(SEARCH("customer care",B147)),ISNUMBER(SEARCH("voice process",B147)),ISNUMBER(SEARCH("bpo",B147))),"Customer Support",ISNUMBER(SEARCH("engineer",B147)),"Engineer (Technical)",ISNUMBER(SEARCH("manager",B147)),"Manager",OR(ISNUMBER(SEARCH("teacher",B147)),ISNUMBER(SEARCH("trainer",B147)),ISNUMBER(SEARCH("faculty",B147))),"Teacher / Trainer",OR(ISNUMBER(SEARCH("doctor",B147)),ISNUMBER(SEARCH("nurse",B147)),ISNUMBER(SEARCH("medical",B147)),ISNUMBER(SEARCH("pharma",B147)),ISNUMBER(SEARCH("clinical",B147))),"Healthcare",TRUE,"Other")</f>
        <v/>
      </c>
      <c r="Q147" s="48">
        <f>IF(COUNTIFS($B$11:B147,B147,$C$11:C147,C147,$D$11:D147,D147,$L$11:L147,L147)&gt;1,"Duplicate","Unique")</f>
        <v/>
      </c>
    </row>
    <row r="148">
      <c r="A148" s="48">
        <f>Raw_Data!A139</f>
        <v/>
      </c>
      <c r="B148" s="48">
        <f>PROPER(TRIM(Raw_Data!B139))</f>
        <v/>
      </c>
      <c r="C148" s="48">
        <f>TRIM(Raw_Data!C139)</f>
        <v/>
      </c>
      <c r="D148" s="48">
        <f>IF(PROPER(TRIM(Raw_Data!D139))="Bangalore","Bengaluru",IF(PROPER(TRIM(Raw_Data!D139))="Gurgaon","Gurugram",IF(OR(PROPER(TRIM(Raw_Data!D139))="New Delhi",PROPER(TRIM(Raw_Data!D139))="Delhi"),"Delhi",PROPER(TRIM(Raw_Data!D139)))))</f>
        <v/>
      </c>
      <c r="E148" s="48">
        <f>Raw_Data!E139</f>
        <v/>
      </c>
      <c r="F148" s="48">
        <f>IF(TRIM(Raw_Data!F139&amp;"")="","Not Specified",Raw_Data!F139)</f>
        <v/>
      </c>
      <c r="G148" s="48">
        <f>Raw_Data!G139</f>
        <v/>
      </c>
      <c r="H148" s="48">
        <f>Raw_Data!H139</f>
        <v/>
      </c>
      <c r="I148" s="49">
        <f>IF(Raw_Data!I139="","",Raw_Data!I139)</f>
        <v/>
      </c>
      <c r="J148" s="49">
        <f>IF(Raw_Data!J139="","",Raw_Data!J139)</f>
        <v/>
      </c>
      <c r="K148" s="48">
        <f>IF(TRIM(Raw_Data!K139&amp;"")="","Not Specified",Raw_Data!K139)</f>
        <v/>
      </c>
      <c r="L148" s="56">
        <f>Raw_Data!L139</f>
        <v/>
      </c>
      <c r="M148" s="49">
        <f>IF(OR(I148="",J148=""),"",(I148+J148)/2)</f>
        <v/>
      </c>
      <c r="N148" s="49">
        <f>IF(OR(I148="",J148=""),"",J148-I148)</f>
        <v/>
      </c>
      <c r="O148" s="48">
        <f>TEXT(L148,"mmm-yyyy")</f>
        <v/>
      </c>
      <c r="P148" s="48">
        <f>_xlfn.IFS(ISNUMBER(SEARCH("data analy",B148)),"Data Analyst",ISNUMBER(SEARCH("business analy",B148)),"Business Analyst",OR(ISNUMBER(SEARCH("developer",B148)),ISNUMBER(SEARCH("software engineer",B148)),ISNUMBER(SEARCH("programmer",B148))),"Software Developer",ISNUMBER(SEARCH("business development",B148)),"Business Development",ISNUMBER(SEARCH("sales",B148)),"Sales Executive",ISNUMBER(SEARCH("marketing",B148)),"Marketing Executive",OR(ISNUMBER(SEARCH("hr ",B148)),ISNUMBER(SEARCH("recruit",B148)),ISNUMBER(SEARCH("human resource",B148))),"HR / Recruiter",OR(ISNUMBER(SEARCH("account",B148)),ISNUMBER(SEARCH("finance",B148)),ISNUMBER(SEARCH("tax",B148)),ISNUMBER(SEARCH("audit",B148))),"Accountant / Finance",OR(ISNUMBER(SEARCH("customer service",B148)),ISNUMBER(SEARCH("customer support",B148)),ISNUMBER(SEARCH("customer care",B148)),ISNUMBER(SEARCH("voice process",B148)),ISNUMBER(SEARCH("bpo",B148))),"Customer Support",ISNUMBER(SEARCH("engineer",B148)),"Engineer (Technical)",ISNUMBER(SEARCH("manager",B148)),"Manager",OR(ISNUMBER(SEARCH("teacher",B148)),ISNUMBER(SEARCH("trainer",B148)),ISNUMBER(SEARCH("faculty",B148))),"Teacher / Trainer",OR(ISNUMBER(SEARCH("doctor",B148)),ISNUMBER(SEARCH("nurse",B148)),ISNUMBER(SEARCH("medical",B148)),ISNUMBER(SEARCH("pharma",B148)),ISNUMBER(SEARCH("clinical",B148))),"Healthcare",TRUE,"Other")</f>
        <v/>
      </c>
      <c r="Q148" s="48">
        <f>IF(COUNTIFS($B$11:B148,B148,$C$11:C148,C148,$D$11:D148,D148,$L$11:L148,L148)&gt;1,"Duplicate","Unique")</f>
        <v/>
      </c>
    </row>
    <row r="149">
      <c r="A149" s="48">
        <f>Raw_Data!A140</f>
        <v/>
      </c>
      <c r="B149" s="48">
        <f>PROPER(TRIM(Raw_Data!B140))</f>
        <v/>
      </c>
      <c r="C149" s="48">
        <f>TRIM(Raw_Data!C140)</f>
        <v/>
      </c>
      <c r="D149" s="48">
        <f>IF(PROPER(TRIM(Raw_Data!D140))="Bangalore","Bengaluru",IF(PROPER(TRIM(Raw_Data!D140))="Gurgaon","Gurugram",IF(OR(PROPER(TRIM(Raw_Data!D140))="New Delhi",PROPER(TRIM(Raw_Data!D140))="Delhi"),"Delhi",PROPER(TRIM(Raw_Data!D140)))))</f>
        <v/>
      </c>
      <c r="E149" s="48">
        <f>Raw_Data!E140</f>
        <v/>
      </c>
      <c r="F149" s="48">
        <f>IF(TRIM(Raw_Data!F140&amp;"")="","Not Specified",Raw_Data!F140)</f>
        <v/>
      </c>
      <c r="G149" s="48">
        <f>Raw_Data!G140</f>
        <v/>
      </c>
      <c r="H149" s="48">
        <f>Raw_Data!H140</f>
        <v/>
      </c>
      <c r="I149" s="49">
        <f>IF(Raw_Data!I140="","",Raw_Data!I140)</f>
        <v/>
      </c>
      <c r="J149" s="49">
        <f>IF(Raw_Data!J140="","",Raw_Data!J140)</f>
        <v/>
      </c>
      <c r="K149" s="48">
        <f>IF(TRIM(Raw_Data!K140&amp;"")="","Not Specified",Raw_Data!K140)</f>
        <v/>
      </c>
      <c r="L149" s="56">
        <f>Raw_Data!L140</f>
        <v/>
      </c>
      <c r="M149" s="49">
        <f>IF(OR(I149="",J149=""),"",(I149+J149)/2)</f>
        <v/>
      </c>
      <c r="N149" s="49">
        <f>IF(OR(I149="",J149=""),"",J149-I149)</f>
        <v/>
      </c>
      <c r="O149" s="48">
        <f>TEXT(L149,"mmm-yyyy")</f>
        <v/>
      </c>
      <c r="P149" s="48">
        <f>_xlfn.IFS(ISNUMBER(SEARCH("data analy",B149)),"Data Analyst",ISNUMBER(SEARCH("business analy",B149)),"Business Analyst",OR(ISNUMBER(SEARCH("developer",B149)),ISNUMBER(SEARCH("software engineer",B149)),ISNUMBER(SEARCH("programmer",B149))),"Software Developer",ISNUMBER(SEARCH("business development",B149)),"Business Development",ISNUMBER(SEARCH("sales",B149)),"Sales Executive",ISNUMBER(SEARCH("marketing",B149)),"Marketing Executive",OR(ISNUMBER(SEARCH("hr ",B149)),ISNUMBER(SEARCH("recruit",B149)),ISNUMBER(SEARCH("human resource",B149))),"HR / Recruiter",OR(ISNUMBER(SEARCH("account",B149)),ISNUMBER(SEARCH("finance",B149)),ISNUMBER(SEARCH("tax",B149)),ISNUMBER(SEARCH("audit",B149))),"Accountant / Finance",OR(ISNUMBER(SEARCH("customer service",B149)),ISNUMBER(SEARCH("customer support",B149)),ISNUMBER(SEARCH("customer care",B149)),ISNUMBER(SEARCH("voice process",B149)),ISNUMBER(SEARCH("bpo",B149))),"Customer Support",ISNUMBER(SEARCH("engineer",B149)),"Engineer (Technical)",ISNUMBER(SEARCH("manager",B149)),"Manager",OR(ISNUMBER(SEARCH("teacher",B149)),ISNUMBER(SEARCH("trainer",B149)),ISNUMBER(SEARCH("faculty",B149))),"Teacher / Trainer",OR(ISNUMBER(SEARCH("doctor",B149)),ISNUMBER(SEARCH("nurse",B149)),ISNUMBER(SEARCH("medical",B149)),ISNUMBER(SEARCH("pharma",B149)),ISNUMBER(SEARCH("clinical",B149))),"Healthcare",TRUE,"Other")</f>
        <v/>
      </c>
      <c r="Q149" s="48">
        <f>IF(COUNTIFS($B$11:B149,B149,$C$11:C149,C149,$D$11:D149,D149,$L$11:L149,L149)&gt;1,"Duplicate","Unique")</f>
        <v/>
      </c>
    </row>
    <row r="150">
      <c r="A150" s="48">
        <f>Raw_Data!A141</f>
        <v/>
      </c>
      <c r="B150" s="48">
        <f>PROPER(TRIM(Raw_Data!B141))</f>
        <v/>
      </c>
      <c r="C150" s="48">
        <f>TRIM(Raw_Data!C141)</f>
        <v/>
      </c>
      <c r="D150" s="48">
        <f>IF(PROPER(TRIM(Raw_Data!D141))="Bangalore","Bengaluru",IF(PROPER(TRIM(Raw_Data!D141))="Gurgaon","Gurugram",IF(OR(PROPER(TRIM(Raw_Data!D141))="New Delhi",PROPER(TRIM(Raw_Data!D141))="Delhi"),"Delhi",PROPER(TRIM(Raw_Data!D141)))))</f>
        <v/>
      </c>
      <c r="E150" s="48">
        <f>Raw_Data!E141</f>
        <v/>
      </c>
      <c r="F150" s="48">
        <f>IF(TRIM(Raw_Data!F141&amp;"")="","Not Specified",Raw_Data!F141)</f>
        <v/>
      </c>
      <c r="G150" s="48">
        <f>Raw_Data!G141</f>
        <v/>
      </c>
      <c r="H150" s="48">
        <f>Raw_Data!H141</f>
        <v/>
      </c>
      <c r="I150" s="49">
        <f>IF(Raw_Data!I141="","",Raw_Data!I141)</f>
        <v/>
      </c>
      <c r="J150" s="49">
        <f>IF(Raw_Data!J141="","",Raw_Data!J141)</f>
        <v/>
      </c>
      <c r="K150" s="48">
        <f>IF(TRIM(Raw_Data!K141&amp;"")="","Not Specified",Raw_Data!K141)</f>
        <v/>
      </c>
      <c r="L150" s="56">
        <f>Raw_Data!L141</f>
        <v/>
      </c>
      <c r="M150" s="49">
        <f>IF(OR(I150="",J150=""),"",(I150+J150)/2)</f>
        <v/>
      </c>
      <c r="N150" s="49">
        <f>IF(OR(I150="",J150=""),"",J150-I150)</f>
        <v/>
      </c>
      <c r="O150" s="48">
        <f>TEXT(L150,"mmm-yyyy")</f>
        <v/>
      </c>
      <c r="P150" s="48">
        <f>_xlfn.IFS(ISNUMBER(SEARCH("data analy",B150)),"Data Analyst",ISNUMBER(SEARCH("business analy",B150)),"Business Analyst",OR(ISNUMBER(SEARCH("developer",B150)),ISNUMBER(SEARCH("software engineer",B150)),ISNUMBER(SEARCH("programmer",B150))),"Software Developer",ISNUMBER(SEARCH("business development",B150)),"Business Development",ISNUMBER(SEARCH("sales",B150)),"Sales Executive",ISNUMBER(SEARCH("marketing",B150)),"Marketing Executive",OR(ISNUMBER(SEARCH("hr ",B150)),ISNUMBER(SEARCH("recruit",B150)),ISNUMBER(SEARCH("human resource",B150))),"HR / Recruiter",OR(ISNUMBER(SEARCH("account",B150)),ISNUMBER(SEARCH("finance",B150)),ISNUMBER(SEARCH("tax",B150)),ISNUMBER(SEARCH("audit",B150))),"Accountant / Finance",OR(ISNUMBER(SEARCH("customer service",B150)),ISNUMBER(SEARCH("customer support",B150)),ISNUMBER(SEARCH("customer care",B150)),ISNUMBER(SEARCH("voice process",B150)),ISNUMBER(SEARCH("bpo",B150))),"Customer Support",ISNUMBER(SEARCH("engineer",B150)),"Engineer (Technical)",ISNUMBER(SEARCH("manager",B150)),"Manager",OR(ISNUMBER(SEARCH("teacher",B150)),ISNUMBER(SEARCH("trainer",B150)),ISNUMBER(SEARCH("faculty",B150))),"Teacher / Trainer",OR(ISNUMBER(SEARCH("doctor",B150)),ISNUMBER(SEARCH("nurse",B150)),ISNUMBER(SEARCH("medical",B150)),ISNUMBER(SEARCH("pharma",B150)),ISNUMBER(SEARCH("clinical",B150))),"Healthcare",TRUE,"Other")</f>
        <v/>
      </c>
      <c r="Q150" s="48">
        <f>IF(COUNTIFS($B$11:B150,B150,$C$11:C150,C150,$D$11:D150,D150,$L$11:L150,L150)&gt;1,"Duplicate","Unique")</f>
        <v/>
      </c>
    </row>
    <row r="151">
      <c r="A151" s="48">
        <f>Raw_Data!A142</f>
        <v/>
      </c>
      <c r="B151" s="48">
        <f>PROPER(TRIM(Raw_Data!B142))</f>
        <v/>
      </c>
      <c r="C151" s="48">
        <f>TRIM(Raw_Data!C142)</f>
        <v/>
      </c>
      <c r="D151" s="48">
        <f>IF(PROPER(TRIM(Raw_Data!D142))="Bangalore","Bengaluru",IF(PROPER(TRIM(Raw_Data!D142))="Gurgaon","Gurugram",IF(OR(PROPER(TRIM(Raw_Data!D142))="New Delhi",PROPER(TRIM(Raw_Data!D142))="Delhi"),"Delhi",PROPER(TRIM(Raw_Data!D142)))))</f>
        <v/>
      </c>
      <c r="E151" s="48">
        <f>Raw_Data!E142</f>
        <v/>
      </c>
      <c r="F151" s="48">
        <f>IF(TRIM(Raw_Data!F142&amp;"")="","Not Specified",Raw_Data!F142)</f>
        <v/>
      </c>
      <c r="G151" s="48">
        <f>Raw_Data!G142</f>
        <v/>
      </c>
      <c r="H151" s="48">
        <f>Raw_Data!H142</f>
        <v/>
      </c>
      <c r="I151" s="49">
        <f>IF(Raw_Data!I142="","",Raw_Data!I142)</f>
        <v/>
      </c>
      <c r="J151" s="49">
        <f>IF(Raw_Data!J142="","",Raw_Data!J142)</f>
        <v/>
      </c>
      <c r="K151" s="48">
        <f>IF(TRIM(Raw_Data!K142&amp;"")="","Not Specified",Raw_Data!K142)</f>
        <v/>
      </c>
      <c r="L151" s="56">
        <f>Raw_Data!L142</f>
        <v/>
      </c>
      <c r="M151" s="49">
        <f>IF(OR(I151="",J151=""),"",(I151+J151)/2)</f>
        <v/>
      </c>
      <c r="N151" s="49">
        <f>IF(OR(I151="",J151=""),"",J151-I151)</f>
        <v/>
      </c>
      <c r="O151" s="48">
        <f>TEXT(L151,"mmm-yyyy")</f>
        <v/>
      </c>
      <c r="P151" s="48">
        <f>_xlfn.IFS(ISNUMBER(SEARCH("data analy",B151)),"Data Analyst",ISNUMBER(SEARCH("business analy",B151)),"Business Analyst",OR(ISNUMBER(SEARCH("developer",B151)),ISNUMBER(SEARCH("software engineer",B151)),ISNUMBER(SEARCH("programmer",B151))),"Software Developer",ISNUMBER(SEARCH("business development",B151)),"Business Development",ISNUMBER(SEARCH("sales",B151)),"Sales Executive",ISNUMBER(SEARCH("marketing",B151)),"Marketing Executive",OR(ISNUMBER(SEARCH("hr ",B151)),ISNUMBER(SEARCH("recruit",B151)),ISNUMBER(SEARCH("human resource",B151))),"HR / Recruiter",OR(ISNUMBER(SEARCH("account",B151)),ISNUMBER(SEARCH("finance",B151)),ISNUMBER(SEARCH("tax",B151)),ISNUMBER(SEARCH("audit",B151))),"Accountant / Finance",OR(ISNUMBER(SEARCH("customer service",B151)),ISNUMBER(SEARCH("customer support",B151)),ISNUMBER(SEARCH("customer care",B151)),ISNUMBER(SEARCH("voice process",B151)),ISNUMBER(SEARCH("bpo",B151))),"Customer Support",ISNUMBER(SEARCH("engineer",B151)),"Engineer (Technical)",ISNUMBER(SEARCH("manager",B151)),"Manager",OR(ISNUMBER(SEARCH("teacher",B151)),ISNUMBER(SEARCH("trainer",B151)),ISNUMBER(SEARCH("faculty",B151))),"Teacher / Trainer",OR(ISNUMBER(SEARCH("doctor",B151)),ISNUMBER(SEARCH("nurse",B151)),ISNUMBER(SEARCH("medical",B151)),ISNUMBER(SEARCH("pharma",B151)),ISNUMBER(SEARCH("clinical",B151))),"Healthcare",TRUE,"Other")</f>
        <v/>
      </c>
      <c r="Q151" s="48">
        <f>IF(COUNTIFS($B$11:B151,B151,$C$11:C151,C151,$D$11:D151,D151,$L$11:L151,L151)&gt;1,"Duplicate","Unique")</f>
        <v/>
      </c>
    </row>
    <row r="152">
      <c r="A152" s="48">
        <f>Raw_Data!A143</f>
        <v/>
      </c>
      <c r="B152" s="48">
        <f>PROPER(TRIM(Raw_Data!B143))</f>
        <v/>
      </c>
      <c r="C152" s="48">
        <f>TRIM(Raw_Data!C143)</f>
        <v/>
      </c>
      <c r="D152" s="48">
        <f>IF(PROPER(TRIM(Raw_Data!D143))="Bangalore","Bengaluru",IF(PROPER(TRIM(Raw_Data!D143))="Gurgaon","Gurugram",IF(OR(PROPER(TRIM(Raw_Data!D143))="New Delhi",PROPER(TRIM(Raw_Data!D143))="Delhi"),"Delhi",PROPER(TRIM(Raw_Data!D143)))))</f>
        <v/>
      </c>
      <c r="E152" s="48">
        <f>Raw_Data!E143</f>
        <v/>
      </c>
      <c r="F152" s="48">
        <f>IF(TRIM(Raw_Data!F143&amp;"")="","Not Specified",Raw_Data!F143)</f>
        <v/>
      </c>
      <c r="G152" s="48">
        <f>Raw_Data!G143</f>
        <v/>
      </c>
      <c r="H152" s="48">
        <f>Raw_Data!H143</f>
        <v/>
      </c>
      <c r="I152" s="49">
        <f>IF(Raw_Data!I143="","",Raw_Data!I143)</f>
        <v/>
      </c>
      <c r="J152" s="49">
        <f>IF(Raw_Data!J143="","",Raw_Data!J143)</f>
        <v/>
      </c>
      <c r="K152" s="48">
        <f>IF(TRIM(Raw_Data!K143&amp;"")="","Not Specified",Raw_Data!K143)</f>
        <v/>
      </c>
      <c r="L152" s="56">
        <f>Raw_Data!L143</f>
        <v/>
      </c>
      <c r="M152" s="49">
        <f>IF(OR(I152="",J152=""),"",(I152+J152)/2)</f>
        <v/>
      </c>
      <c r="N152" s="49">
        <f>IF(OR(I152="",J152=""),"",J152-I152)</f>
        <v/>
      </c>
      <c r="O152" s="48">
        <f>TEXT(L152,"mmm-yyyy")</f>
        <v/>
      </c>
      <c r="P152" s="48">
        <f>_xlfn.IFS(ISNUMBER(SEARCH("data analy",B152)),"Data Analyst",ISNUMBER(SEARCH("business analy",B152)),"Business Analyst",OR(ISNUMBER(SEARCH("developer",B152)),ISNUMBER(SEARCH("software engineer",B152)),ISNUMBER(SEARCH("programmer",B152))),"Software Developer",ISNUMBER(SEARCH("business development",B152)),"Business Development",ISNUMBER(SEARCH("sales",B152)),"Sales Executive",ISNUMBER(SEARCH("marketing",B152)),"Marketing Executive",OR(ISNUMBER(SEARCH("hr ",B152)),ISNUMBER(SEARCH("recruit",B152)),ISNUMBER(SEARCH("human resource",B152))),"HR / Recruiter",OR(ISNUMBER(SEARCH("account",B152)),ISNUMBER(SEARCH("finance",B152)),ISNUMBER(SEARCH("tax",B152)),ISNUMBER(SEARCH("audit",B152))),"Accountant / Finance",OR(ISNUMBER(SEARCH("customer service",B152)),ISNUMBER(SEARCH("customer support",B152)),ISNUMBER(SEARCH("customer care",B152)),ISNUMBER(SEARCH("voice process",B152)),ISNUMBER(SEARCH("bpo",B152))),"Customer Support",ISNUMBER(SEARCH("engineer",B152)),"Engineer (Technical)",ISNUMBER(SEARCH("manager",B152)),"Manager",OR(ISNUMBER(SEARCH("teacher",B152)),ISNUMBER(SEARCH("trainer",B152)),ISNUMBER(SEARCH("faculty",B152))),"Teacher / Trainer",OR(ISNUMBER(SEARCH("doctor",B152)),ISNUMBER(SEARCH("nurse",B152)),ISNUMBER(SEARCH("medical",B152)),ISNUMBER(SEARCH("pharma",B152)),ISNUMBER(SEARCH("clinical",B152))),"Healthcare",TRUE,"Other")</f>
        <v/>
      </c>
      <c r="Q152" s="48">
        <f>IF(COUNTIFS($B$11:B152,B152,$C$11:C152,C152,$D$11:D152,D152,$L$11:L152,L152)&gt;1,"Duplicate","Unique")</f>
        <v/>
      </c>
    </row>
    <row r="153">
      <c r="A153" s="48">
        <f>Raw_Data!A144</f>
        <v/>
      </c>
      <c r="B153" s="48">
        <f>PROPER(TRIM(Raw_Data!B144))</f>
        <v/>
      </c>
      <c r="C153" s="48">
        <f>TRIM(Raw_Data!C144)</f>
        <v/>
      </c>
      <c r="D153" s="48">
        <f>IF(PROPER(TRIM(Raw_Data!D144))="Bangalore","Bengaluru",IF(PROPER(TRIM(Raw_Data!D144))="Gurgaon","Gurugram",IF(OR(PROPER(TRIM(Raw_Data!D144))="New Delhi",PROPER(TRIM(Raw_Data!D144))="Delhi"),"Delhi",PROPER(TRIM(Raw_Data!D144)))))</f>
        <v/>
      </c>
      <c r="E153" s="48">
        <f>Raw_Data!E144</f>
        <v/>
      </c>
      <c r="F153" s="48">
        <f>IF(TRIM(Raw_Data!F144&amp;"")="","Not Specified",Raw_Data!F144)</f>
        <v/>
      </c>
      <c r="G153" s="48">
        <f>Raw_Data!G144</f>
        <v/>
      </c>
      <c r="H153" s="48">
        <f>Raw_Data!H144</f>
        <v/>
      </c>
      <c r="I153" s="49">
        <f>IF(Raw_Data!I144="","",Raw_Data!I144)</f>
        <v/>
      </c>
      <c r="J153" s="49">
        <f>IF(Raw_Data!J144="","",Raw_Data!J144)</f>
        <v/>
      </c>
      <c r="K153" s="48">
        <f>IF(TRIM(Raw_Data!K144&amp;"")="","Not Specified",Raw_Data!K144)</f>
        <v/>
      </c>
      <c r="L153" s="56">
        <f>Raw_Data!L144</f>
        <v/>
      </c>
      <c r="M153" s="49">
        <f>IF(OR(I153="",J153=""),"",(I153+J153)/2)</f>
        <v/>
      </c>
      <c r="N153" s="49">
        <f>IF(OR(I153="",J153=""),"",J153-I153)</f>
        <v/>
      </c>
      <c r="O153" s="48">
        <f>TEXT(L153,"mmm-yyyy")</f>
        <v/>
      </c>
      <c r="P153" s="48">
        <f>_xlfn.IFS(ISNUMBER(SEARCH("data analy",B153)),"Data Analyst",ISNUMBER(SEARCH("business analy",B153)),"Business Analyst",OR(ISNUMBER(SEARCH("developer",B153)),ISNUMBER(SEARCH("software engineer",B153)),ISNUMBER(SEARCH("programmer",B153))),"Software Developer",ISNUMBER(SEARCH("business development",B153)),"Business Development",ISNUMBER(SEARCH("sales",B153)),"Sales Executive",ISNUMBER(SEARCH("marketing",B153)),"Marketing Executive",OR(ISNUMBER(SEARCH("hr ",B153)),ISNUMBER(SEARCH("recruit",B153)),ISNUMBER(SEARCH("human resource",B153))),"HR / Recruiter",OR(ISNUMBER(SEARCH("account",B153)),ISNUMBER(SEARCH("finance",B153)),ISNUMBER(SEARCH("tax",B153)),ISNUMBER(SEARCH("audit",B153))),"Accountant / Finance",OR(ISNUMBER(SEARCH("customer service",B153)),ISNUMBER(SEARCH("customer support",B153)),ISNUMBER(SEARCH("customer care",B153)),ISNUMBER(SEARCH("voice process",B153)),ISNUMBER(SEARCH("bpo",B153))),"Customer Support",ISNUMBER(SEARCH("engineer",B153)),"Engineer (Technical)",ISNUMBER(SEARCH("manager",B153)),"Manager",OR(ISNUMBER(SEARCH("teacher",B153)),ISNUMBER(SEARCH("trainer",B153)),ISNUMBER(SEARCH("faculty",B153))),"Teacher / Trainer",OR(ISNUMBER(SEARCH("doctor",B153)),ISNUMBER(SEARCH("nurse",B153)),ISNUMBER(SEARCH("medical",B153)),ISNUMBER(SEARCH("pharma",B153)),ISNUMBER(SEARCH("clinical",B153))),"Healthcare",TRUE,"Other")</f>
        <v/>
      </c>
      <c r="Q153" s="48">
        <f>IF(COUNTIFS($B$11:B153,B153,$C$11:C153,C153,$D$11:D153,D153,$L$11:L153,L153)&gt;1,"Duplicate","Unique")</f>
        <v/>
      </c>
    </row>
    <row r="154">
      <c r="A154" s="48">
        <f>Raw_Data!A145</f>
        <v/>
      </c>
      <c r="B154" s="48">
        <f>PROPER(TRIM(Raw_Data!B145))</f>
        <v/>
      </c>
      <c r="C154" s="48">
        <f>TRIM(Raw_Data!C145)</f>
        <v/>
      </c>
      <c r="D154" s="48">
        <f>IF(PROPER(TRIM(Raw_Data!D145))="Bangalore","Bengaluru",IF(PROPER(TRIM(Raw_Data!D145))="Gurgaon","Gurugram",IF(OR(PROPER(TRIM(Raw_Data!D145))="New Delhi",PROPER(TRIM(Raw_Data!D145))="Delhi"),"Delhi",PROPER(TRIM(Raw_Data!D145)))))</f>
        <v/>
      </c>
      <c r="E154" s="48">
        <f>Raw_Data!E145</f>
        <v/>
      </c>
      <c r="F154" s="48">
        <f>IF(TRIM(Raw_Data!F145&amp;"")="","Not Specified",Raw_Data!F145)</f>
        <v/>
      </c>
      <c r="G154" s="48">
        <f>Raw_Data!G145</f>
        <v/>
      </c>
      <c r="H154" s="48">
        <f>Raw_Data!H145</f>
        <v/>
      </c>
      <c r="I154" s="49">
        <f>IF(Raw_Data!I145="","",Raw_Data!I145)</f>
        <v/>
      </c>
      <c r="J154" s="49">
        <f>IF(Raw_Data!J145="","",Raw_Data!J145)</f>
        <v/>
      </c>
      <c r="K154" s="48">
        <f>IF(TRIM(Raw_Data!K145&amp;"")="","Not Specified",Raw_Data!K145)</f>
        <v/>
      </c>
      <c r="L154" s="56">
        <f>Raw_Data!L145</f>
        <v/>
      </c>
      <c r="M154" s="49">
        <f>IF(OR(I154="",J154=""),"",(I154+J154)/2)</f>
        <v/>
      </c>
      <c r="N154" s="49">
        <f>IF(OR(I154="",J154=""),"",J154-I154)</f>
        <v/>
      </c>
      <c r="O154" s="48">
        <f>TEXT(L154,"mmm-yyyy")</f>
        <v/>
      </c>
      <c r="P154" s="48">
        <f>_xlfn.IFS(ISNUMBER(SEARCH("data analy",B154)),"Data Analyst",ISNUMBER(SEARCH("business analy",B154)),"Business Analyst",OR(ISNUMBER(SEARCH("developer",B154)),ISNUMBER(SEARCH("software engineer",B154)),ISNUMBER(SEARCH("programmer",B154))),"Software Developer",ISNUMBER(SEARCH("business development",B154)),"Business Development",ISNUMBER(SEARCH("sales",B154)),"Sales Executive",ISNUMBER(SEARCH("marketing",B154)),"Marketing Executive",OR(ISNUMBER(SEARCH("hr ",B154)),ISNUMBER(SEARCH("recruit",B154)),ISNUMBER(SEARCH("human resource",B154))),"HR / Recruiter",OR(ISNUMBER(SEARCH("account",B154)),ISNUMBER(SEARCH("finance",B154)),ISNUMBER(SEARCH("tax",B154)),ISNUMBER(SEARCH("audit",B154))),"Accountant / Finance",OR(ISNUMBER(SEARCH("customer service",B154)),ISNUMBER(SEARCH("customer support",B154)),ISNUMBER(SEARCH("customer care",B154)),ISNUMBER(SEARCH("voice process",B154)),ISNUMBER(SEARCH("bpo",B154))),"Customer Support",ISNUMBER(SEARCH("engineer",B154)),"Engineer (Technical)",ISNUMBER(SEARCH("manager",B154)),"Manager",OR(ISNUMBER(SEARCH("teacher",B154)),ISNUMBER(SEARCH("trainer",B154)),ISNUMBER(SEARCH("faculty",B154))),"Teacher / Trainer",OR(ISNUMBER(SEARCH("doctor",B154)),ISNUMBER(SEARCH("nurse",B154)),ISNUMBER(SEARCH("medical",B154)),ISNUMBER(SEARCH("pharma",B154)),ISNUMBER(SEARCH("clinical",B154))),"Healthcare",TRUE,"Other")</f>
        <v/>
      </c>
      <c r="Q154" s="48">
        <f>IF(COUNTIFS($B$11:B154,B154,$C$11:C154,C154,$D$11:D154,D154,$L$11:L154,L154)&gt;1,"Duplicate","Unique")</f>
        <v/>
      </c>
    </row>
    <row r="155">
      <c r="A155" s="48">
        <f>Raw_Data!A146</f>
        <v/>
      </c>
      <c r="B155" s="48">
        <f>PROPER(TRIM(Raw_Data!B146))</f>
        <v/>
      </c>
      <c r="C155" s="48">
        <f>TRIM(Raw_Data!C146)</f>
        <v/>
      </c>
      <c r="D155" s="48">
        <f>IF(PROPER(TRIM(Raw_Data!D146))="Bangalore","Bengaluru",IF(PROPER(TRIM(Raw_Data!D146))="Gurgaon","Gurugram",IF(OR(PROPER(TRIM(Raw_Data!D146))="New Delhi",PROPER(TRIM(Raw_Data!D146))="Delhi"),"Delhi",PROPER(TRIM(Raw_Data!D146)))))</f>
        <v/>
      </c>
      <c r="E155" s="48">
        <f>Raw_Data!E146</f>
        <v/>
      </c>
      <c r="F155" s="48">
        <f>IF(TRIM(Raw_Data!F146&amp;"")="","Not Specified",Raw_Data!F146)</f>
        <v/>
      </c>
      <c r="G155" s="48">
        <f>Raw_Data!G146</f>
        <v/>
      </c>
      <c r="H155" s="48">
        <f>Raw_Data!H146</f>
        <v/>
      </c>
      <c r="I155" s="49">
        <f>IF(Raw_Data!I146="","",Raw_Data!I146)</f>
        <v/>
      </c>
      <c r="J155" s="49">
        <f>IF(Raw_Data!J146="","",Raw_Data!J146)</f>
        <v/>
      </c>
      <c r="K155" s="48">
        <f>IF(TRIM(Raw_Data!K146&amp;"")="","Not Specified",Raw_Data!K146)</f>
        <v/>
      </c>
      <c r="L155" s="56">
        <f>Raw_Data!L146</f>
        <v/>
      </c>
      <c r="M155" s="49">
        <f>IF(OR(I155="",J155=""),"",(I155+J155)/2)</f>
        <v/>
      </c>
      <c r="N155" s="49">
        <f>IF(OR(I155="",J155=""),"",J155-I155)</f>
        <v/>
      </c>
      <c r="O155" s="48">
        <f>TEXT(L155,"mmm-yyyy")</f>
        <v/>
      </c>
      <c r="P155" s="48">
        <f>_xlfn.IFS(ISNUMBER(SEARCH("data analy",B155)),"Data Analyst",ISNUMBER(SEARCH("business analy",B155)),"Business Analyst",OR(ISNUMBER(SEARCH("developer",B155)),ISNUMBER(SEARCH("software engineer",B155)),ISNUMBER(SEARCH("programmer",B155))),"Software Developer",ISNUMBER(SEARCH("business development",B155)),"Business Development",ISNUMBER(SEARCH("sales",B155)),"Sales Executive",ISNUMBER(SEARCH("marketing",B155)),"Marketing Executive",OR(ISNUMBER(SEARCH("hr ",B155)),ISNUMBER(SEARCH("recruit",B155)),ISNUMBER(SEARCH("human resource",B155))),"HR / Recruiter",OR(ISNUMBER(SEARCH("account",B155)),ISNUMBER(SEARCH("finance",B155)),ISNUMBER(SEARCH("tax",B155)),ISNUMBER(SEARCH("audit",B155))),"Accountant / Finance",OR(ISNUMBER(SEARCH("customer service",B155)),ISNUMBER(SEARCH("customer support",B155)),ISNUMBER(SEARCH("customer care",B155)),ISNUMBER(SEARCH("voice process",B155)),ISNUMBER(SEARCH("bpo",B155))),"Customer Support",ISNUMBER(SEARCH("engineer",B155)),"Engineer (Technical)",ISNUMBER(SEARCH("manager",B155)),"Manager",OR(ISNUMBER(SEARCH("teacher",B155)),ISNUMBER(SEARCH("trainer",B155)),ISNUMBER(SEARCH("faculty",B155))),"Teacher / Trainer",OR(ISNUMBER(SEARCH("doctor",B155)),ISNUMBER(SEARCH("nurse",B155)),ISNUMBER(SEARCH("medical",B155)),ISNUMBER(SEARCH("pharma",B155)),ISNUMBER(SEARCH("clinical",B155))),"Healthcare",TRUE,"Other")</f>
        <v/>
      </c>
      <c r="Q155" s="48">
        <f>IF(COUNTIFS($B$11:B155,B155,$C$11:C155,C155,$D$11:D155,D155,$L$11:L155,L155)&gt;1,"Duplicate","Unique")</f>
        <v/>
      </c>
    </row>
    <row r="156">
      <c r="A156" s="48">
        <f>Raw_Data!A147</f>
        <v/>
      </c>
      <c r="B156" s="48">
        <f>PROPER(TRIM(Raw_Data!B147))</f>
        <v/>
      </c>
      <c r="C156" s="48">
        <f>TRIM(Raw_Data!C147)</f>
        <v/>
      </c>
      <c r="D156" s="48">
        <f>IF(PROPER(TRIM(Raw_Data!D147))="Bangalore","Bengaluru",IF(PROPER(TRIM(Raw_Data!D147))="Gurgaon","Gurugram",IF(OR(PROPER(TRIM(Raw_Data!D147))="New Delhi",PROPER(TRIM(Raw_Data!D147))="Delhi"),"Delhi",PROPER(TRIM(Raw_Data!D147)))))</f>
        <v/>
      </c>
      <c r="E156" s="48">
        <f>Raw_Data!E147</f>
        <v/>
      </c>
      <c r="F156" s="48">
        <f>IF(TRIM(Raw_Data!F147&amp;"")="","Not Specified",Raw_Data!F147)</f>
        <v/>
      </c>
      <c r="G156" s="48">
        <f>Raw_Data!G147</f>
        <v/>
      </c>
      <c r="H156" s="48">
        <f>Raw_Data!H147</f>
        <v/>
      </c>
      <c r="I156" s="49">
        <f>IF(Raw_Data!I147="","",Raw_Data!I147)</f>
        <v/>
      </c>
      <c r="J156" s="49">
        <f>IF(Raw_Data!J147="","",Raw_Data!J147)</f>
        <v/>
      </c>
      <c r="K156" s="48">
        <f>IF(TRIM(Raw_Data!K147&amp;"")="","Not Specified",Raw_Data!K147)</f>
        <v/>
      </c>
      <c r="L156" s="56">
        <f>Raw_Data!L147</f>
        <v/>
      </c>
      <c r="M156" s="49">
        <f>IF(OR(I156="",J156=""),"",(I156+J156)/2)</f>
        <v/>
      </c>
      <c r="N156" s="49">
        <f>IF(OR(I156="",J156=""),"",J156-I156)</f>
        <v/>
      </c>
      <c r="O156" s="48">
        <f>TEXT(L156,"mmm-yyyy")</f>
        <v/>
      </c>
      <c r="P156" s="48">
        <f>_xlfn.IFS(ISNUMBER(SEARCH("data analy",B156)),"Data Analyst",ISNUMBER(SEARCH("business analy",B156)),"Business Analyst",OR(ISNUMBER(SEARCH("developer",B156)),ISNUMBER(SEARCH("software engineer",B156)),ISNUMBER(SEARCH("programmer",B156))),"Software Developer",ISNUMBER(SEARCH("business development",B156)),"Business Development",ISNUMBER(SEARCH("sales",B156)),"Sales Executive",ISNUMBER(SEARCH("marketing",B156)),"Marketing Executive",OR(ISNUMBER(SEARCH("hr ",B156)),ISNUMBER(SEARCH("recruit",B156)),ISNUMBER(SEARCH("human resource",B156))),"HR / Recruiter",OR(ISNUMBER(SEARCH("account",B156)),ISNUMBER(SEARCH("finance",B156)),ISNUMBER(SEARCH("tax",B156)),ISNUMBER(SEARCH("audit",B156))),"Accountant / Finance",OR(ISNUMBER(SEARCH("customer service",B156)),ISNUMBER(SEARCH("customer support",B156)),ISNUMBER(SEARCH("customer care",B156)),ISNUMBER(SEARCH("voice process",B156)),ISNUMBER(SEARCH("bpo",B156))),"Customer Support",ISNUMBER(SEARCH("engineer",B156)),"Engineer (Technical)",ISNUMBER(SEARCH("manager",B156)),"Manager",OR(ISNUMBER(SEARCH("teacher",B156)),ISNUMBER(SEARCH("trainer",B156)),ISNUMBER(SEARCH("faculty",B156))),"Teacher / Trainer",OR(ISNUMBER(SEARCH("doctor",B156)),ISNUMBER(SEARCH("nurse",B156)),ISNUMBER(SEARCH("medical",B156)),ISNUMBER(SEARCH("pharma",B156)),ISNUMBER(SEARCH("clinical",B156))),"Healthcare",TRUE,"Other")</f>
        <v/>
      </c>
      <c r="Q156" s="48">
        <f>IF(COUNTIFS($B$11:B156,B156,$C$11:C156,C156,$D$11:D156,D156,$L$11:L156,L156)&gt;1,"Duplicate","Unique")</f>
        <v/>
      </c>
    </row>
    <row r="157">
      <c r="A157" s="48">
        <f>Raw_Data!A148</f>
        <v/>
      </c>
      <c r="B157" s="48">
        <f>PROPER(TRIM(Raw_Data!B148))</f>
        <v/>
      </c>
      <c r="C157" s="48">
        <f>TRIM(Raw_Data!C148)</f>
        <v/>
      </c>
      <c r="D157" s="48">
        <f>IF(PROPER(TRIM(Raw_Data!D148))="Bangalore","Bengaluru",IF(PROPER(TRIM(Raw_Data!D148))="Gurgaon","Gurugram",IF(OR(PROPER(TRIM(Raw_Data!D148))="New Delhi",PROPER(TRIM(Raw_Data!D148))="Delhi"),"Delhi",PROPER(TRIM(Raw_Data!D148)))))</f>
        <v/>
      </c>
      <c r="E157" s="48">
        <f>Raw_Data!E148</f>
        <v/>
      </c>
      <c r="F157" s="48">
        <f>IF(TRIM(Raw_Data!F148&amp;"")="","Not Specified",Raw_Data!F148)</f>
        <v/>
      </c>
      <c r="G157" s="48">
        <f>Raw_Data!G148</f>
        <v/>
      </c>
      <c r="H157" s="48">
        <f>Raw_Data!H148</f>
        <v/>
      </c>
      <c r="I157" s="49">
        <f>IF(Raw_Data!I148="","",Raw_Data!I148)</f>
        <v/>
      </c>
      <c r="J157" s="49">
        <f>IF(Raw_Data!J148="","",Raw_Data!J148)</f>
        <v/>
      </c>
      <c r="K157" s="48">
        <f>IF(TRIM(Raw_Data!K148&amp;"")="","Not Specified",Raw_Data!K148)</f>
        <v/>
      </c>
      <c r="L157" s="56">
        <f>Raw_Data!L148</f>
        <v/>
      </c>
      <c r="M157" s="49">
        <f>IF(OR(I157="",J157=""),"",(I157+J157)/2)</f>
        <v/>
      </c>
      <c r="N157" s="49">
        <f>IF(OR(I157="",J157=""),"",J157-I157)</f>
        <v/>
      </c>
      <c r="O157" s="48">
        <f>TEXT(L157,"mmm-yyyy")</f>
        <v/>
      </c>
      <c r="P157" s="48">
        <f>_xlfn.IFS(ISNUMBER(SEARCH("data analy",B157)),"Data Analyst",ISNUMBER(SEARCH("business analy",B157)),"Business Analyst",OR(ISNUMBER(SEARCH("developer",B157)),ISNUMBER(SEARCH("software engineer",B157)),ISNUMBER(SEARCH("programmer",B157))),"Software Developer",ISNUMBER(SEARCH("business development",B157)),"Business Development",ISNUMBER(SEARCH("sales",B157)),"Sales Executive",ISNUMBER(SEARCH("marketing",B157)),"Marketing Executive",OR(ISNUMBER(SEARCH("hr ",B157)),ISNUMBER(SEARCH("recruit",B157)),ISNUMBER(SEARCH("human resource",B157))),"HR / Recruiter",OR(ISNUMBER(SEARCH("account",B157)),ISNUMBER(SEARCH("finance",B157)),ISNUMBER(SEARCH("tax",B157)),ISNUMBER(SEARCH("audit",B157))),"Accountant / Finance",OR(ISNUMBER(SEARCH("customer service",B157)),ISNUMBER(SEARCH("customer support",B157)),ISNUMBER(SEARCH("customer care",B157)),ISNUMBER(SEARCH("voice process",B157)),ISNUMBER(SEARCH("bpo",B157))),"Customer Support",ISNUMBER(SEARCH("engineer",B157)),"Engineer (Technical)",ISNUMBER(SEARCH("manager",B157)),"Manager",OR(ISNUMBER(SEARCH("teacher",B157)),ISNUMBER(SEARCH("trainer",B157)),ISNUMBER(SEARCH("faculty",B157))),"Teacher / Trainer",OR(ISNUMBER(SEARCH("doctor",B157)),ISNUMBER(SEARCH("nurse",B157)),ISNUMBER(SEARCH("medical",B157)),ISNUMBER(SEARCH("pharma",B157)),ISNUMBER(SEARCH("clinical",B157))),"Healthcare",TRUE,"Other")</f>
        <v/>
      </c>
      <c r="Q157" s="48">
        <f>IF(COUNTIFS($B$11:B157,B157,$C$11:C157,C157,$D$11:D157,D157,$L$11:L157,L157)&gt;1,"Duplicate","Unique")</f>
        <v/>
      </c>
    </row>
    <row r="158">
      <c r="A158" s="48">
        <f>Raw_Data!A149</f>
        <v/>
      </c>
      <c r="B158" s="48">
        <f>PROPER(TRIM(Raw_Data!B149))</f>
        <v/>
      </c>
      <c r="C158" s="48">
        <f>TRIM(Raw_Data!C149)</f>
        <v/>
      </c>
      <c r="D158" s="48">
        <f>IF(PROPER(TRIM(Raw_Data!D149))="Bangalore","Bengaluru",IF(PROPER(TRIM(Raw_Data!D149))="Gurgaon","Gurugram",IF(OR(PROPER(TRIM(Raw_Data!D149))="New Delhi",PROPER(TRIM(Raw_Data!D149))="Delhi"),"Delhi",PROPER(TRIM(Raw_Data!D149)))))</f>
        <v/>
      </c>
      <c r="E158" s="48">
        <f>Raw_Data!E149</f>
        <v/>
      </c>
      <c r="F158" s="48">
        <f>IF(TRIM(Raw_Data!F149&amp;"")="","Not Specified",Raw_Data!F149)</f>
        <v/>
      </c>
      <c r="G158" s="48">
        <f>Raw_Data!G149</f>
        <v/>
      </c>
      <c r="H158" s="48">
        <f>Raw_Data!H149</f>
        <v/>
      </c>
      <c r="I158" s="49">
        <f>IF(Raw_Data!I149="","",Raw_Data!I149)</f>
        <v/>
      </c>
      <c r="J158" s="49">
        <f>IF(Raw_Data!J149="","",Raw_Data!J149)</f>
        <v/>
      </c>
      <c r="K158" s="48">
        <f>IF(TRIM(Raw_Data!K149&amp;"")="","Not Specified",Raw_Data!K149)</f>
        <v/>
      </c>
      <c r="L158" s="56">
        <f>Raw_Data!L149</f>
        <v/>
      </c>
      <c r="M158" s="49">
        <f>IF(OR(I158="",J158=""),"",(I158+J158)/2)</f>
        <v/>
      </c>
      <c r="N158" s="49">
        <f>IF(OR(I158="",J158=""),"",J158-I158)</f>
        <v/>
      </c>
      <c r="O158" s="48">
        <f>TEXT(L158,"mmm-yyyy")</f>
        <v/>
      </c>
      <c r="P158" s="48">
        <f>_xlfn.IFS(ISNUMBER(SEARCH("data analy",B158)),"Data Analyst",ISNUMBER(SEARCH("business analy",B158)),"Business Analyst",OR(ISNUMBER(SEARCH("developer",B158)),ISNUMBER(SEARCH("software engineer",B158)),ISNUMBER(SEARCH("programmer",B158))),"Software Developer",ISNUMBER(SEARCH("business development",B158)),"Business Development",ISNUMBER(SEARCH("sales",B158)),"Sales Executive",ISNUMBER(SEARCH("marketing",B158)),"Marketing Executive",OR(ISNUMBER(SEARCH("hr ",B158)),ISNUMBER(SEARCH("recruit",B158)),ISNUMBER(SEARCH("human resource",B158))),"HR / Recruiter",OR(ISNUMBER(SEARCH("account",B158)),ISNUMBER(SEARCH("finance",B158)),ISNUMBER(SEARCH("tax",B158)),ISNUMBER(SEARCH("audit",B158))),"Accountant / Finance",OR(ISNUMBER(SEARCH("customer service",B158)),ISNUMBER(SEARCH("customer support",B158)),ISNUMBER(SEARCH("customer care",B158)),ISNUMBER(SEARCH("voice process",B158)),ISNUMBER(SEARCH("bpo",B158))),"Customer Support",ISNUMBER(SEARCH("engineer",B158)),"Engineer (Technical)",ISNUMBER(SEARCH("manager",B158)),"Manager",OR(ISNUMBER(SEARCH("teacher",B158)),ISNUMBER(SEARCH("trainer",B158)),ISNUMBER(SEARCH("faculty",B158))),"Teacher / Trainer",OR(ISNUMBER(SEARCH("doctor",B158)),ISNUMBER(SEARCH("nurse",B158)),ISNUMBER(SEARCH("medical",B158)),ISNUMBER(SEARCH("pharma",B158)),ISNUMBER(SEARCH("clinical",B158))),"Healthcare",TRUE,"Other")</f>
        <v/>
      </c>
      <c r="Q158" s="48">
        <f>IF(COUNTIFS($B$11:B158,B158,$C$11:C158,C158,$D$11:D158,D158,$L$11:L158,L158)&gt;1,"Duplicate","Unique")</f>
        <v/>
      </c>
    </row>
    <row r="159">
      <c r="A159" s="48">
        <f>Raw_Data!A150</f>
        <v/>
      </c>
      <c r="B159" s="48">
        <f>PROPER(TRIM(Raw_Data!B150))</f>
        <v/>
      </c>
      <c r="C159" s="48">
        <f>TRIM(Raw_Data!C150)</f>
        <v/>
      </c>
      <c r="D159" s="48">
        <f>IF(PROPER(TRIM(Raw_Data!D150))="Bangalore","Bengaluru",IF(PROPER(TRIM(Raw_Data!D150))="Gurgaon","Gurugram",IF(OR(PROPER(TRIM(Raw_Data!D150))="New Delhi",PROPER(TRIM(Raw_Data!D150))="Delhi"),"Delhi",PROPER(TRIM(Raw_Data!D150)))))</f>
        <v/>
      </c>
      <c r="E159" s="48">
        <f>Raw_Data!E150</f>
        <v/>
      </c>
      <c r="F159" s="48">
        <f>IF(TRIM(Raw_Data!F150&amp;"")="","Not Specified",Raw_Data!F150)</f>
        <v/>
      </c>
      <c r="G159" s="48">
        <f>Raw_Data!G150</f>
        <v/>
      </c>
      <c r="H159" s="48">
        <f>Raw_Data!H150</f>
        <v/>
      </c>
      <c r="I159" s="49">
        <f>IF(Raw_Data!I150="","",Raw_Data!I150)</f>
        <v/>
      </c>
      <c r="J159" s="49">
        <f>IF(Raw_Data!J150="","",Raw_Data!J150)</f>
        <v/>
      </c>
      <c r="K159" s="48">
        <f>IF(TRIM(Raw_Data!K150&amp;"")="","Not Specified",Raw_Data!K150)</f>
        <v/>
      </c>
      <c r="L159" s="56">
        <f>Raw_Data!L150</f>
        <v/>
      </c>
      <c r="M159" s="49">
        <f>IF(OR(I159="",J159=""),"",(I159+J159)/2)</f>
        <v/>
      </c>
      <c r="N159" s="49">
        <f>IF(OR(I159="",J159=""),"",J159-I159)</f>
        <v/>
      </c>
      <c r="O159" s="48">
        <f>TEXT(L159,"mmm-yyyy")</f>
        <v/>
      </c>
      <c r="P159" s="48">
        <f>_xlfn.IFS(ISNUMBER(SEARCH("data analy",B159)),"Data Analyst",ISNUMBER(SEARCH("business analy",B159)),"Business Analyst",OR(ISNUMBER(SEARCH("developer",B159)),ISNUMBER(SEARCH("software engineer",B159)),ISNUMBER(SEARCH("programmer",B159))),"Software Developer",ISNUMBER(SEARCH("business development",B159)),"Business Development",ISNUMBER(SEARCH("sales",B159)),"Sales Executive",ISNUMBER(SEARCH("marketing",B159)),"Marketing Executive",OR(ISNUMBER(SEARCH("hr ",B159)),ISNUMBER(SEARCH("recruit",B159)),ISNUMBER(SEARCH("human resource",B159))),"HR / Recruiter",OR(ISNUMBER(SEARCH("account",B159)),ISNUMBER(SEARCH("finance",B159)),ISNUMBER(SEARCH("tax",B159)),ISNUMBER(SEARCH("audit",B159))),"Accountant / Finance",OR(ISNUMBER(SEARCH("customer service",B159)),ISNUMBER(SEARCH("customer support",B159)),ISNUMBER(SEARCH("customer care",B159)),ISNUMBER(SEARCH("voice process",B159)),ISNUMBER(SEARCH("bpo",B159))),"Customer Support",ISNUMBER(SEARCH("engineer",B159)),"Engineer (Technical)",ISNUMBER(SEARCH("manager",B159)),"Manager",OR(ISNUMBER(SEARCH("teacher",B159)),ISNUMBER(SEARCH("trainer",B159)),ISNUMBER(SEARCH("faculty",B159))),"Teacher / Trainer",OR(ISNUMBER(SEARCH("doctor",B159)),ISNUMBER(SEARCH("nurse",B159)),ISNUMBER(SEARCH("medical",B159)),ISNUMBER(SEARCH("pharma",B159)),ISNUMBER(SEARCH("clinical",B159))),"Healthcare",TRUE,"Other")</f>
        <v/>
      </c>
      <c r="Q159" s="48">
        <f>IF(COUNTIFS($B$11:B159,B159,$C$11:C159,C159,$D$11:D159,D159,$L$11:L159,L159)&gt;1,"Duplicate","Unique")</f>
        <v/>
      </c>
    </row>
    <row r="160">
      <c r="A160" s="48">
        <f>Raw_Data!A151</f>
        <v/>
      </c>
      <c r="B160" s="48">
        <f>PROPER(TRIM(Raw_Data!B151))</f>
        <v/>
      </c>
      <c r="C160" s="48">
        <f>TRIM(Raw_Data!C151)</f>
        <v/>
      </c>
      <c r="D160" s="48">
        <f>IF(PROPER(TRIM(Raw_Data!D151))="Bangalore","Bengaluru",IF(PROPER(TRIM(Raw_Data!D151))="Gurgaon","Gurugram",IF(OR(PROPER(TRIM(Raw_Data!D151))="New Delhi",PROPER(TRIM(Raw_Data!D151))="Delhi"),"Delhi",PROPER(TRIM(Raw_Data!D151)))))</f>
        <v/>
      </c>
      <c r="E160" s="48">
        <f>Raw_Data!E151</f>
        <v/>
      </c>
      <c r="F160" s="48">
        <f>IF(TRIM(Raw_Data!F151&amp;"")="","Not Specified",Raw_Data!F151)</f>
        <v/>
      </c>
      <c r="G160" s="48">
        <f>Raw_Data!G151</f>
        <v/>
      </c>
      <c r="H160" s="48">
        <f>Raw_Data!H151</f>
        <v/>
      </c>
      <c r="I160" s="49">
        <f>IF(Raw_Data!I151="","",Raw_Data!I151)</f>
        <v/>
      </c>
      <c r="J160" s="49">
        <f>IF(Raw_Data!J151="","",Raw_Data!J151)</f>
        <v/>
      </c>
      <c r="K160" s="48">
        <f>IF(TRIM(Raw_Data!K151&amp;"")="","Not Specified",Raw_Data!K151)</f>
        <v/>
      </c>
      <c r="L160" s="56">
        <f>Raw_Data!L151</f>
        <v/>
      </c>
      <c r="M160" s="49">
        <f>IF(OR(I160="",J160=""),"",(I160+J160)/2)</f>
        <v/>
      </c>
      <c r="N160" s="49">
        <f>IF(OR(I160="",J160=""),"",J160-I160)</f>
        <v/>
      </c>
      <c r="O160" s="48">
        <f>TEXT(L160,"mmm-yyyy")</f>
        <v/>
      </c>
      <c r="P160" s="48">
        <f>_xlfn.IFS(ISNUMBER(SEARCH("data analy",B160)),"Data Analyst",ISNUMBER(SEARCH("business analy",B160)),"Business Analyst",OR(ISNUMBER(SEARCH("developer",B160)),ISNUMBER(SEARCH("software engineer",B160)),ISNUMBER(SEARCH("programmer",B160))),"Software Developer",ISNUMBER(SEARCH("business development",B160)),"Business Development",ISNUMBER(SEARCH("sales",B160)),"Sales Executive",ISNUMBER(SEARCH("marketing",B160)),"Marketing Executive",OR(ISNUMBER(SEARCH("hr ",B160)),ISNUMBER(SEARCH("recruit",B160)),ISNUMBER(SEARCH("human resource",B160))),"HR / Recruiter",OR(ISNUMBER(SEARCH("account",B160)),ISNUMBER(SEARCH("finance",B160)),ISNUMBER(SEARCH("tax",B160)),ISNUMBER(SEARCH("audit",B160))),"Accountant / Finance",OR(ISNUMBER(SEARCH("customer service",B160)),ISNUMBER(SEARCH("customer support",B160)),ISNUMBER(SEARCH("customer care",B160)),ISNUMBER(SEARCH("voice process",B160)),ISNUMBER(SEARCH("bpo",B160))),"Customer Support",ISNUMBER(SEARCH("engineer",B160)),"Engineer (Technical)",ISNUMBER(SEARCH("manager",B160)),"Manager",OR(ISNUMBER(SEARCH("teacher",B160)),ISNUMBER(SEARCH("trainer",B160)),ISNUMBER(SEARCH("faculty",B160))),"Teacher / Trainer",OR(ISNUMBER(SEARCH("doctor",B160)),ISNUMBER(SEARCH("nurse",B160)),ISNUMBER(SEARCH("medical",B160)),ISNUMBER(SEARCH("pharma",B160)),ISNUMBER(SEARCH("clinical",B160))),"Healthcare",TRUE,"Other")</f>
        <v/>
      </c>
      <c r="Q160" s="48">
        <f>IF(COUNTIFS($B$11:B160,B160,$C$11:C160,C160,$D$11:D160,D160,$L$11:L160,L160)&gt;1,"Duplicate","Unique")</f>
        <v/>
      </c>
    </row>
    <row r="161">
      <c r="A161" s="48">
        <f>Raw_Data!A152</f>
        <v/>
      </c>
      <c r="B161" s="48">
        <f>PROPER(TRIM(Raw_Data!B152))</f>
        <v/>
      </c>
      <c r="C161" s="48">
        <f>TRIM(Raw_Data!C152)</f>
        <v/>
      </c>
      <c r="D161" s="48">
        <f>IF(PROPER(TRIM(Raw_Data!D152))="Bangalore","Bengaluru",IF(PROPER(TRIM(Raw_Data!D152))="Gurgaon","Gurugram",IF(OR(PROPER(TRIM(Raw_Data!D152))="New Delhi",PROPER(TRIM(Raw_Data!D152))="Delhi"),"Delhi",PROPER(TRIM(Raw_Data!D152)))))</f>
        <v/>
      </c>
      <c r="E161" s="48">
        <f>Raw_Data!E152</f>
        <v/>
      </c>
      <c r="F161" s="48">
        <f>IF(TRIM(Raw_Data!F152&amp;"")="","Not Specified",Raw_Data!F152)</f>
        <v/>
      </c>
      <c r="G161" s="48">
        <f>Raw_Data!G152</f>
        <v/>
      </c>
      <c r="H161" s="48">
        <f>Raw_Data!H152</f>
        <v/>
      </c>
      <c r="I161" s="49">
        <f>IF(Raw_Data!I152="","",Raw_Data!I152)</f>
        <v/>
      </c>
      <c r="J161" s="49">
        <f>IF(Raw_Data!J152="","",Raw_Data!J152)</f>
        <v/>
      </c>
      <c r="K161" s="48">
        <f>IF(TRIM(Raw_Data!K152&amp;"")="","Not Specified",Raw_Data!K152)</f>
        <v/>
      </c>
      <c r="L161" s="56">
        <f>Raw_Data!L152</f>
        <v/>
      </c>
      <c r="M161" s="49">
        <f>IF(OR(I161="",J161=""),"",(I161+J161)/2)</f>
        <v/>
      </c>
      <c r="N161" s="49">
        <f>IF(OR(I161="",J161=""),"",J161-I161)</f>
        <v/>
      </c>
      <c r="O161" s="48">
        <f>TEXT(L161,"mmm-yyyy")</f>
        <v/>
      </c>
      <c r="P161" s="48">
        <f>_xlfn.IFS(ISNUMBER(SEARCH("data analy",B161)),"Data Analyst",ISNUMBER(SEARCH("business analy",B161)),"Business Analyst",OR(ISNUMBER(SEARCH("developer",B161)),ISNUMBER(SEARCH("software engineer",B161)),ISNUMBER(SEARCH("programmer",B161))),"Software Developer",ISNUMBER(SEARCH("business development",B161)),"Business Development",ISNUMBER(SEARCH("sales",B161)),"Sales Executive",ISNUMBER(SEARCH("marketing",B161)),"Marketing Executive",OR(ISNUMBER(SEARCH("hr ",B161)),ISNUMBER(SEARCH("recruit",B161)),ISNUMBER(SEARCH("human resource",B161))),"HR / Recruiter",OR(ISNUMBER(SEARCH("account",B161)),ISNUMBER(SEARCH("finance",B161)),ISNUMBER(SEARCH("tax",B161)),ISNUMBER(SEARCH("audit",B161))),"Accountant / Finance",OR(ISNUMBER(SEARCH("customer service",B161)),ISNUMBER(SEARCH("customer support",B161)),ISNUMBER(SEARCH("customer care",B161)),ISNUMBER(SEARCH("voice process",B161)),ISNUMBER(SEARCH("bpo",B161))),"Customer Support",ISNUMBER(SEARCH("engineer",B161)),"Engineer (Technical)",ISNUMBER(SEARCH("manager",B161)),"Manager",OR(ISNUMBER(SEARCH("teacher",B161)),ISNUMBER(SEARCH("trainer",B161)),ISNUMBER(SEARCH("faculty",B161))),"Teacher / Trainer",OR(ISNUMBER(SEARCH("doctor",B161)),ISNUMBER(SEARCH("nurse",B161)),ISNUMBER(SEARCH("medical",B161)),ISNUMBER(SEARCH("pharma",B161)),ISNUMBER(SEARCH("clinical",B161))),"Healthcare",TRUE,"Other")</f>
        <v/>
      </c>
      <c r="Q161" s="48">
        <f>IF(COUNTIFS($B$11:B161,B161,$C$11:C161,C161,$D$11:D161,D161,$L$11:L161,L161)&gt;1,"Duplicate","Unique")</f>
        <v/>
      </c>
    </row>
    <row r="162">
      <c r="A162" s="48">
        <f>Raw_Data!A153</f>
        <v/>
      </c>
      <c r="B162" s="48">
        <f>PROPER(TRIM(Raw_Data!B153))</f>
        <v/>
      </c>
      <c r="C162" s="48">
        <f>TRIM(Raw_Data!C153)</f>
        <v/>
      </c>
      <c r="D162" s="48">
        <f>IF(PROPER(TRIM(Raw_Data!D153))="Bangalore","Bengaluru",IF(PROPER(TRIM(Raw_Data!D153))="Gurgaon","Gurugram",IF(OR(PROPER(TRIM(Raw_Data!D153))="New Delhi",PROPER(TRIM(Raw_Data!D153))="Delhi"),"Delhi",PROPER(TRIM(Raw_Data!D153)))))</f>
        <v/>
      </c>
      <c r="E162" s="48">
        <f>Raw_Data!E153</f>
        <v/>
      </c>
      <c r="F162" s="48">
        <f>IF(TRIM(Raw_Data!F153&amp;"")="","Not Specified",Raw_Data!F153)</f>
        <v/>
      </c>
      <c r="G162" s="48">
        <f>Raw_Data!G153</f>
        <v/>
      </c>
      <c r="H162" s="48">
        <f>Raw_Data!H153</f>
        <v/>
      </c>
      <c r="I162" s="49">
        <f>IF(Raw_Data!I153="","",Raw_Data!I153)</f>
        <v/>
      </c>
      <c r="J162" s="49">
        <f>IF(Raw_Data!J153="","",Raw_Data!J153)</f>
        <v/>
      </c>
      <c r="K162" s="48">
        <f>IF(TRIM(Raw_Data!K153&amp;"")="","Not Specified",Raw_Data!K153)</f>
        <v/>
      </c>
      <c r="L162" s="56">
        <f>Raw_Data!L153</f>
        <v/>
      </c>
      <c r="M162" s="49">
        <f>IF(OR(I162="",J162=""),"",(I162+J162)/2)</f>
        <v/>
      </c>
      <c r="N162" s="49">
        <f>IF(OR(I162="",J162=""),"",J162-I162)</f>
        <v/>
      </c>
      <c r="O162" s="48">
        <f>TEXT(L162,"mmm-yyyy")</f>
        <v/>
      </c>
      <c r="P162" s="48">
        <f>_xlfn.IFS(ISNUMBER(SEARCH("data analy",B162)),"Data Analyst",ISNUMBER(SEARCH("business analy",B162)),"Business Analyst",OR(ISNUMBER(SEARCH("developer",B162)),ISNUMBER(SEARCH("software engineer",B162)),ISNUMBER(SEARCH("programmer",B162))),"Software Developer",ISNUMBER(SEARCH("business development",B162)),"Business Development",ISNUMBER(SEARCH("sales",B162)),"Sales Executive",ISNUMBER(SEARCH("marketing",B162)),"Marketing Executive",OR(ISNUMBER(SEARCH("hr ",B162)),ISNUMBER(SEARCH("recruit",B162)),ISNUMBER(SEARCH("human resource",B162))),"HR / Recruiter",OR(ISNUMBER(SEARCH("account",B162)),ISNUMBER(SEARCH("finance",B162)),ISNUMBER(SEARCH("tax",B162)),ISNUMBER(SEARCH("audit",B162))),"Accountant / Finance",OR(ISNUMBER(SEARCH("customer service",B162)),ISNUMBER(SEARCH("customer support",B162)),ISNUMBER(SEARCH("customer care",B162)),ISNUMBER(SEARCH("voice process",B162)),ISNUMBER(SEARCH("bpo",B162))),"Customer Support",ISNUMBER(SEARCH("engineer",B162)),"Engineer (Technical)",ISNUMBER(SEARCH("manager",B162)),"Manager",OR(ISNUMBER(SEARCH("teacher",B162)),ISNUMBER(SEARCH("trainer",B162)),ISNUMBER(SEARCH("faculty",B162))),"Teacher / Trainer",OR(ISNUMBER(SEARCH("doctor",B162)),ISNUMBER(SEARCH("nurse",B162)),ISNUMBER(SEARCH("medical",B162)),ISNUMBER(SEARCH("pharma",B162)),ISNUMBER(SEARCH("clinical",B162))),"Healthcare",TRUE,"Other")</f>
        <v/>
      </c>
      <c r="Q162" s="48">
        <f>IF(COUNTIFS($B$11:B162,B162,$C$11:C162,C162,$D$11:D162,D162,$L$11:L162,L162)&gt;1,"Duplicate","Unique")</f>
        <v/>
      </c>
    </row>
    <row r="163">
      <c r="A163" s="48">
        <f>Raw_Data!A154</f>
        <v/>
      </c>
      <c r="B163" s="48">
        <f>PROPER(TRIM(Raw_Data!B154))</f>
        <v/>
      </c>
      <c r="C163" s="48">
        <f>TRIM(Raw_Data!C154)</f>
        <v/>
      </c>
      <c r="D163" s="48">
        <f>IF(PROPER(TRIM(Raw_Data!D154))="Bangalore","Bengaluru",IF(PROPER(TRIM(Raw_Data!D154))="Gurgaon","Gurugram",IF(OR(PROPER(TRIM(Raw_Data!D154))="New Delhi",PROPER(TRIM(Raw_Data!D154))="Delhi"),"Delhi",PROPER(TRIM(Raw_Data!D154)))))</f>
        <v/>
      </c>
      <c r="E163" s="48">
        <f>Raw_Data!E154</f>
        <v/>
      </c>
      <c r="F163" s="48">
        <f>IF(TRIM(Raw_Data!F154&amp;"")="","Not Specified",Raw_Data!F154)</f>
        <v/>
      </c>
      <c r="G163" s="48">
        <f>Raw_Data!G154</f>
        <v/>
      </c>
      <c r="H163" s="48">
        <f>Raw_Data!H154</f>
        <v/>
      </c>
      <c r="I163" s="49">
        <f>IF(Raw_Data!I154="","",Raw_Data!I154)</f>
        <v/>
      </c>
      <c r="J163" s="49">
        <f>IF(Raw_Data!J154="","",Raw_Data!J154)</f>
        <v/>
      </c>
      <c r="K163" s="48">
        <f>IF(TRIM(Raw_Data!K154&amp;"")="","Not Specified",Raw_Data!K154)</f>
        <v/>
      </c>
      <c r="L163" s="56">
        <f>Raw_Data!L154</f>
        <v/>
      </c>
      <c r="M163" s="49">
        <f>IF(OR(I163="",J163=""),"",(I163+J163)/2)</f>
        <v/>
      </c>
      <c r="N163" s="49">
        <f>IF(OR(I163="",J163=""),"",J163-I163)</f>
        <v/>
      </c>
      <c r="O163" s="48">
        <f>TEXT(L163,"mmm-yyyy")</f>
        <v/>
      </c>
      <c r="P163" s="48">
        <f>_xlfn.IFS(ISNUMBER(SEARCH("data analy",B163)),"Data Analyst",ISNUMBER(SEARCH("business analy",B163)),"Business Analyst",OR(ISNUMBER(SEARCH("developer",B163)),ISNUMBER(SEARCH("software engineer",B163)),ISNUMBER(SEARCH("programmer",B163))),"Software Developer",ISNUMBER(SEARCH("business development",B163)),"Business Development",ISNUMBER(SEARCH("sales",B163)),"Sales Executive",ISNUMBER(SEARCH("marketing",B163)),"Marketing Executive",OR(ISNUMBER(SEARCH("hr ",B163)),ISNUMBER(SEARCH("recruit",B163)),ISNUMBER(SEARCH("human resource",B163))),"HR / Recruiter",OR(ISNUMBER(SEARCH("account",B163)),ISNUMBER(SEARCH("finance",B163)),ISNUMBER(SEARCH("tax",B163)),ISNUMBER(SEARCH("audit",B163))),"Accountant / Finance",OR(ISNUMBER(SEARCH("customer service",B163)),ISNUMBER(SEARCH("customer support",B163)),ISNUMBER(SEARCH("customer care",B163)),ISNUMBER(SEARCH("voice process",B163)),ISNUMBER(SEARCH("bpo",B163))),"Customer Support",ISNUMBER(SEARCH("engineer",B163)),"Engineer (Technical)",ISNUMBER(SEARCH("manager",B163)),"Manager",OR(ISNUMBER(SEARCH("teacher",B163)),ISNUMBER(SEARCH("trainer",B163)),ISNUMBER(SEARCH("faculty",B163))),"Teacher / Trainer",OR(ISNUMBER(SEARCH("doctor",B163)),ISNUMBER(SEARCH("nurse",B163)),ISNUMBER(SEARCH("medical",B163)),ISNUMBER(SEARCH("pharma",B163)),ISNUMBER(SEARCH("clinical",B163))),"Healthcare",TRUE,"Other")</f>
        <v/>
      </c>
      <c r="Q163" s="48">
        <f>IF(COUNTIFS($B$11:B163,B163,$C$11:C163,C163,$D$11:D163,D163,$L$11:L163,L163)&gt;1,"Duplicate","Unique")</f>
        <v/>
      </c>
    </row>
    <row r="164">
      <c r="A164" s="48">
        <f>Raw_Data!A155</f>
        <v/>
      </c>
      <c r="B164" s="48">
        <f>PROPER(TRIM(Raw_Data!B155))</f>
        <v/>
      </c>
      <c r="C164" s="48">
        <f>TRIM(Raw_Data!C155)</f>
        <v/>
      </c>
      <c r="D164" s="48">
        <f>IF(PROPER(TRIM(Raw_Data!D155))="Bangalore","Bengaluru",IF(PROPER(TRIM(Raw_Data!D155))="Gurgaon","Gurugram",IF(OR(PROPER(TRIM(Raw_Data!D155))="New Delhi",PROPER(TRIM(Raw_Data!D155))="Delhi"),"Delhi",PROPER(TRIM(Raw_Data!D155)))))</f>
        <v/>
      </c>
      <c r="E164" s="48">
        <f>Raw_Data!E155</f>
        <v/>
      </c>
      <c r="F164" s="48">
        <f>IF(TRIM(Raw_Data!F155&amp;"")="","Not Specified",Raw_Data!F155)</f>
        <v/>
      </c>
      <c r="G164" s="48">
        <f>Raw_Data!G155</f>
        <v/>
      </c>
      <c r="H164" s="48">
        <f>Raw_Data!H155</f>
        <v/>
      </c>
      <c r="I164" s="49">
        <f>IF(Raw_Data!I155="","",Raw_Data!I155)</f>
        <v/>
      </c>
      <c r="J164" s="49">
        <f>IF(Raw_Data!J155="","",Raw_Data!J155)</f>
        <v/>
      </c>
      <c r="K164" s="48">
        <f>IF(TRIM(Raw_Data!K155&amp;"")="","Not Specified",Raw_Data!K155)</f>
        <v/>
      </c>
      <c r="L164" s="56">
        <f>Raw_Data!L155</f>
        <v/>
      </c>
      <c r="M164" s="49">
        <f>IF(OR(I164="",J164=""),"",(I164+J164)/2)</f>
        <v/>
      </c>
      <c r="N164" s="49">
        <f>IF(OR(I164="",J164=""),"",J164-I164)</f>
        <v/>
      </c>
      <c r="O164" s="48">
        <f>TEXT(L164,"mmm-yyyy")</f>
        <v/>
      </c>
      <c r="P164" s="48">
        <f>_xlfn.IFS(ISNUMBER(SEARCH("data analy",B164)),"Data Analyst",ISNUMBER(SEARCH("business analy",B164)),"Business Analyst",OR(ISNUMBER(SEARCH("developer",B164)),ISNUMBER(SEARCH("software engineer",B164)),ISNUMBER(SEARCH("programmer",B164))),"Software Developer",ISNUMBER(SEARCH("business development",B164)),"Business Development",ISNUMBER(SEARCH("sales",B164)),"Sales Executive",ISNUMBER(SEARCH("marketing",B164)),"Marketing Executive",OR(ISNUMBER(SEARCH("hr ",B164)),ISNUMBER(SEARCH("recruit",B164)),ISNUMBER(SEARCH("human resource",B164))),"HR / Recruiter",OR(ISNUMBER(SEARCH("account",B164)),ISNUMBER(SEARCH("finance",B164)),ISNUMBER(SEARCH("tax",B164)),ISNUMBER(SEARCH("audit",B164))),"Accountant / Finance",OR(ISNUMBER(SEARCH("customer service",B164)),ISNUMBER(SEARCH("customer support",B164)),ISNUMBER(SEARCH("customer care",B164)),ISNUMBER(SEARCH("voice process",B164)),ISNUMBER(SEARCH("bpo",B164))),"Customer Support",ISNUMBER(SEARCH("engineer",B164)),"Engineer (Technical)",ISNUMBER(SEARCH("manager",B164)),"Manager",OR(ISNUMBER(SEARCH("teacher",B164)),ISNUMBER(SEARCH("trainer",B164)),ISNUMBER(SEARCH("faculty",B164))),"Teacher / Trainer",OR(ISNUMBER(SEARCH("doctor",B164)),ISNUMBER(SEARCH("nurse",B164)),ISNUMBER(SEARCH("medical",B164)),ISNUMBER(SEARCH("pharma",B164)),ISNUMBER(SEARCH("clinical",B164))),"Healthcare",TRUE,"Other")</f>
        <v/>
      </c>
      <c r="Q164" s="48">
        <f>IF(COUNTIFS($B$11:B164,B164,$C$11:C164,C164,$D$11:D164,D164,$L$11:L164,L164)&gt;1,"Duplicate","Unique")</f>
        <v/>
      </c>
    </row>
    <row r="165">
      <c r="A165" s="48">
        <f>Raw_Data!A156</f>
        <v/>
      </c>
      <c r="B165" s="48">
        <f>PROPER(TRIM(Raw_Data!B156))</f>
        <v/>
      </c>
      <c r="C165" s="48">
        <f>TRIM(Raw_Data!C156)</f>
        <v/>
      </c>
      <c r="D165" s="48">
        <f>IF(PROPER(TRIM(Raw_Data!D156))="Bangalore","Bengaluru",IF(PROPER(TRIM(Raw_Data!D156))="Gurgaon","Gurugram",IF(OR(PROPER(TRIM(Raw_Data!D156))="New Delhi",PROPER(TRIM(Raw_Data!D156))="Delhi"),"Delhi",PROPER(TRIM(Raw_Data!D156)))))</f>
        <v/>
      </c>
      <c r="E165" s="48">
        <f>Raw_Data!E156</f>
        <v/>
      </c>
      <c r="F165" s="48">
        <f>IF(TRIM(Raw_Data!F156&amp;"")="","Not Specified",Raw_Data!F156)</f>
        <v/>
      </c>
      <c r="G165" s="48">
        <f>Raw_Data!G156</f>
        <v/>
      </c>
      <c r="H165" s="48">
        <f>Raw_Data!H156</f>
        <v/>
      </c>
      <c r="I165" s="49">
        <f>IF(Raw_Data!I156="","",Raw_Data!I156)</f>
        <v/>
      </c>
      <c r="J165" s="49">
        <f>IF(Raw_Data!J156="","",Raw_Data!J156)</f>
        <v/>
      </c>
      <c r="K165" s="48">
        <f>IF(TRIM(Raw_Data!K156&amp;"")="","Not Specified",Raw_Data!K156)</f>
        <v/>
      </c>
      <c r="L165" s="56">
        <f>Raw_Data!L156</f>
        <v/>
      </c>
      <c r="M165" s="49">
        <f>IF(OR(I165="",J165=""),"",(I165+J165)/2)</f>
        <v/>
      </c>
      <c r="N165" s="49">
        <f>IF(OR(I165="",J165=""),"",J165-I165)</f>
        <v/>
      </c>
      <c r="O165" s="48">
        <f>TEXT(L165,"mmm-yyyy")</f>
        <v/>
      </c>
      <c r="P165" s="48">
        <f>_xlfn.IFS(ISNUMBER(SEARCH("data analy",B165)),"Data Analyst",ISNUMBER(SEARCH("business analy",B165)),"Business Analyst",OR(ISNUMBER(SEARCH("developer",B165)),ISNUMBER(SEARCH("software engineer",B165)),ISNUMBER(SEARCH("programmer",B165))),"Software Developer",ISNUMBER(SEARCH("business development",B165)),"Business Development",ISNUMBER(SEARCH("sales",B165)),"Sales Executive",ISNUMBER(SEARCH("marketing",B165)),"Marketing Executive",OR(ISNUMBER(SEARCH("hr ",B165)),ISNUMBER(SEARCH("recruit",B165)),ISNUMBER(SEARCH("human resource",B165))),"HR / Recruiter",OR(ISNUMBER(SEARCH("account",B165)),ISNUMBER(SEARCH("finance",B165)),ISNUMBER(SEARCH("tax",B165)),ISNUMBER(SEARCH("audit",B165))),"Accountant / Finance",OR(ISNUMBER(SEARCH("customer service",B165)),ISNUMBER(SEARCH("customer support",B165)),ISNUMBER(SEARCH("customer care",B165)),ISNUMBER(SEARCH("voice process",B165)),ISNUMBER(SEARCH("bpo",B165))),"Customer Support",ISNUMBER(SEARCH("engineer",B165)),"Engineer (Technical)",ISNUMBER(SEARCH("manager",B165)),"Manager",OR(ISNUMBER(SEARCH("teacher",B165)),ISNUMBER(SEARCH("trainer",B165)),ISNUMBER(SEARCH("faculty",B165))),"Teacher / Trainer",OR(ISNUMBER(SEARCH("doctor",B165)),ISNUMBER(SEARCH("nurse",B165)),ISNUMBER(SEARCH("medical",B165)),ISNUMBER(SEARCH("pharma",B165)),ISNUMBER(SEARCH("clinical",B165))),"Healthcare",TRUE,"Other")</f>
        <v/>
      </c>
      <c r="Q165" s="48">
        <f>IF(COUNTIFS($B$11:B165,B165,$C$11:C165,C165,$D$11:D165,D165,$L$11:L165,L165)&gt;1,"Duplicate","Unique")</f>
        <v/>
      </c>
    </row>
    <row r="166">
      <c r="A166" s="48">
        <f>Raw_Data!A157</f>
        <v/>
      </c>
      <c r="B166" s="48">
        <f>PROPER(TRIM(Raw_Data!B157))</f>
        <v/>
      </c>
      <c r="C166" s="48">
        <f>TRIM(Raw_Data!C157)</f>
        <v/>
      </c>
      <c r="D166" s="48">
        <f>IF(PROPER(TRIM(Raw_Data!D157))="Bangalore","Bengaluru",IF(PROPER(TRIM(Raw_Data!D157))="Gurgaon","Gurugram",IF(OR(PROPER(TRIM(Raw_Data!D157))="New Delhi",PROPER(TRIM(Raw_Data!D157))="Delhi"),"Delhi",PROPER(TRIM(Raw_Data!D157)))))</f>
        <v/>
      </c>
      <c r="E166" s="48">
        <f>Raw_Data!E157</f>
        <v/>
      </c>
      <c r="F166" s="48">
        <f>IF(TRIM(Raw_Data!F157&amp;"")="","Not Specified",Raw_Data!F157)</f>
        <v/>
      </c>
      <c r="G166" s="48">
        <f>Raw_Data!G157</f>
        <v/>
      </c>
      <c r="H166" s="48">
        <f>Raw_Data!H157</f>
        <v/>
      </c>
      <c r="I166" s="49">
        <f>IF(Raw_Data!I157="","",Raw_Data!I157)</f>
        <v/>
      </c>
      <c r="J166" s="49">
        <f>IF(Raw_Data!J157="","",Raw_Data!J157)</f>
        <v/>
      </c>
      <c r="K166" s="48">
        <f>IF(TRIM(Raw_Data!K157&amp;"")="","Not Specified",Raw_Data!K157)</f>
        <v/>
      </c>
      <c r="L166" s="56">
        <f>Raw_Data!L157</f>
        <v/>
      </c>
      <c r="M166" s="49">
        <f>IF(OR(I166="",J166=""),"",(I166+J166)/2)</f>
        <v/>
      </c>
      <c r="N166" s="49">
        <f>IF(OR(I166="",J166=""),"",J166-I166)</f>
        <v/>
      </c>
      <c r="O166" s="48">
        <f>TEXT(L166,"mmm-yyyy")</f>
        <v/>
      </c>
      <c r="P166" s="48">
        <f>_xlfn.IFS(ISNUMBER(SEARCH("data analy",B166)),"Data Analyst",ISNUMBER(SEARCH("business analy",B166)),"Business Analyst",OR(ISNUMBER(SEARCH("developer",B166)),ISNUMBER(SEARCH("software engineer",B166)),ISNUMBER(SEARCH("programmer",B166))),"Software Developer",ISNUMBER(SEARCH("business development",B166)),"Business Development",ISNUMBER(SEARCH("sales",B166)),"Sales Executive",ISNUMBER(SEARCH("marketing",B166)),"Marketing Executive",OR(ISNUMBER(SEARCH("hr ",B166)),ISNUMBER(SEARCH("recruit",B166)),ISNUMBER(SEARCH("human resource",B166))),"HR / Recruiter",OR(ISNUMBER(SEARCH("account",B166)),ISNUMBER(SEARCH("finance",B166)),ISNUMBER(SEARCH("tax",B166)),ISNUMBER(SEARCH("audit",B166))),"Accountant / Finance",OR(ISNUMBER(SEARCH("customer service",B166)),ISNUMBER(SEARCH("customer support",B166)),ISNUMBER(SEARCH("customer care",B166)),ISNUMBER(SEARCH("voice process",B166)),ISNUMBER(SEARCH("bpo",B166))),"Customer Support",ISNUMBER(SEARCH("engineer",B166)),"Engineer (Technical)",ISNUMBER(SEARCH("manager",B166)),"Manager",OR(ISNUMBER(SEARCH("teacher",B166)),ISNUMBER(SEARCH("trainer",B166)),ISNUMBER(SEARCH("faculty",B166))),"Teacher / Trainer",OR(ISNUMBER(SEARCH("doctor",B166)),ISNUMBER(SEARCH("nurse",B166)),ISNUMBER(SEARCH("medical",B166)),ISNUMBER(SEARCH("pharma",B166)),ISNUMBER(SEARCH("clinical",B166))),"Healthcare",TRUE,"Other")</f>
        <v/>
      </c>
      <c r="Q166" s="48">
        <f>IF(COUNTIFS($B$11:B166,B166,$C$11:C166,C166,$D$11:D166,D166,$L$11:L166,L166)&gt;1,"Duplicate","Unique")</f>
        <v/>
      </c>
    </row>
    <row r="167">
      <c r="A167" s="48">
        <f>Raw_Data!A158</f>
        <v/>
      </c>
      <c r="B167" s="48">
        <f>PROPER(TRIM(Raw_Data!B158))</f>
        <v/>
      </c>
      <c r="C167" s="48">
        <f>TRIM(Raw_Data!C158)</f>
        <v/>
      </c>
      <c r="D167" s="48">
        <f>IF(PROPER(TRIM(Raw_Data!D158))="Bangalore","Bengaluru",IF(PROPER(TRIM(Raw_Data!D158))="Gurgaon","Gurugram",IF(OR(PROPER(TRIM(Raw_Data!D158))="New Delhi",PROPER(TRIM(Raw_Data!D158))="Delhi"),"Delhi",PROPER(TRIM(Raw_Data!D158)))))</f>
        <v/>
      </c>
      <c r="E167" s="48">
        <f>Raw_Data!E158</f>
        <v/>
      </c>
      <c r="F167" s="48">
        <f>IF(TRIM(Raw_Data!F158&amp;"")="","Not Specified",Raw_Data!F158)</f>
        <v/>
      </c>
      <c r="G167" s="48">
        <f>Raw_Data!G158</f>
        <v/>
      </c>
      <c r="H167" s="48">
        <f>Raw_Data!H158</f>
        <v/>
      </c>
      <c r="I167" s="49">
        <f>IF(Raw_Data!I158="","",Raw_Data!I158)</f>
        <v/>
      </c>
      <c r="J167" s="49">
        <f>IF(Raw_Data!J158="","",Raw_Data!J158)</f>
        <v/>
      </c>
      <c r="K167" s="48">
        <f>IF(TRIM(Raw_Data!K158&amp;"")="","Not Specified",Raw_Data!K158)</f>
        <v/>
      </c>
      <c r="L167" s="56">
        <f>Raw_Data!L158</f>
        <v/>
      </c>
      <c r="M167" s="49">
        <f>IF(OR(I167="",J167=""),"",(I167+J167)/2)</f>
        <v/>
      </c>
      <c r="N167" s="49">
        <f>IF(OR(I167="",J167=""),"",J167-I167)</f>
        <v/>
      </c>
      <c r="O167" s="48">
        <f>TEXT(L167,"mmm-yyyy")</f>
        <v/>
      </c>
      <c r="P167" s="48">
        <f>_xlfn.IFS(ISNUMBER(SEARCH("data analy",B167)),"Data Analyst",ISNUMBER(SEARCH("business analy",B167)),"Business Analyst",OR(ISNUMBER(SEARCH("developer",B167)),ISNUMBER(SEARCH("software engineer",B167)),ISNUMBER(SEARCH("programmer",B167))),"Software Developer",ISNUMBER(SEARCH("business development",B167)),"Business Development",ISNUMBER(SEARCH("sales",B167)),"Sales Executive",ISNUMBER(SEARCH("marketing",B167)),"Marketing Executive",OR(ISNUMBER(SEARCH("hr ",B167)),ISNUMBER(SEARCH("recruit",B167)),ISNUMBER(SEARCH("human resource",B167))),"HR / Recruiter",OR(ISNUMBER(SEARCH("account",B167)),ISNUMBER(SEARCH("finance",B167)),ISNUMBER(SEARCH("tax",B167)),ISNUMBER(SEARCH("audit",B167))),"Accountant / Finance",OR(ISNUMBER(SEARCH("customer service",B167)),ISNUMBER(SEARCH("customer support",B167)),ISNUMBER(SEARCH("customer care",B167)),ISNUMBER(SEARCH("voice process",B167)),ISNUMBER(SEARCH("bpo",B167))),"Customer Support",ISNUMBER(SEARCH("engineer",B167)),"Engineer (Technical)",ISNUMBER(SEARCH("manager",B167)),"Manager",OR(ISNUMBER(SEARCH("teacher",B167)),ISNUMBER(SEARCH("trainer",B167)),ISNUMBER(SEARCH("faculty",B167))),"Teacher / Trainer",OR(ISNUMBER(SEARCH("doctor",B167)),ISNUMBER(SEARCH("nurse",B167)),ISNUMBER(SEARCH("medical",B167)),ISNUMBER(SEARCH("pharma",B167)),ISNUMBER(SEARCH("clinical",B167))),"Healthcare",TRUE,"Other")</f>
        <v/>
      </c>
      <c r="Q167" s="48">
        <f>IF(COUNTIFS($B$11:B167,B167,$C$11:C167,C167,$D$11:D167,D167,$L$11:L167,L167)&gt;1,"Duplicate","Unique")</f>
        <v/>
      </c>
    </row>
    <row r="168">
      <c r="A168" s="48">
        <f>Raw_Data!A159</f>
        <v/>
      </c>
      <c r="B168" s="48">
        <f>PROPER(TRIM(Raw_Data!B159))</f>
        <v/>
      </c>
      <c r="C168" s="48">
        <f>TRIM(Raw_Data!C159)</f>
        <v/>
      </c>
      <c r="D168" s="48">
        <f>IF(PROPER(TRIM(Raw_Data!D159))="Bangalore","Bengaluru",IF(PROPER(TRIM(Raw_Data!D159))="Gurgaon","Gurugram",IF(OR(PROPER(TRIM(Raw_Data!D159))="New Delhi",PROPER(TRIM(Raw_Data!D159))="Delhi"),"Delhi",PROPER(TRIM(Raw_Data!D159)))))</f>
        <v/>
      </c>
      <c r="E168" s="48">
        <f>Raw_Data!E159</f>
        <v/>
      </c>
      <c r="F168" s="48">
        <f>IF(TRIM(Raw_Data!F159&amp;"")="","Not Specified",Raw_Data!F159)</f>
        <v/>
      </c>
      <c r="G168" s="48">
        <f>Raw_Data!G159</f>
        <v/>
      </c>
      <c r="H168" s="48">
        <f>Raw_Data!H159</f>
        <v/>
      </c>
      <c r="I168" s="49">
        <f>IF(Raw_Data!I159="","",Raw_Data!I159)</f>
        <v/>
      </c>
      <c r="J168" s="49">
        <f>IF(Raw_Data!J159="","",Raw_Data!J159)</f>
        <v/>
      </c>
      <c r="K168" s="48">
        <f>IF(TRIM(Raw_Data!K159&amp;"")="","Not Specified",Raw_Data!K159)</f>
        <v/>
      </c>
      <c r="L168" s="56">
        <f>Raw_Data!L159</f>
        <v/>
      </c>
      <c r="M168" s="49">
        <f>IF(OR(I168="",J168=""),"",(I168+J168)/2)</f>
        <v/>
      </c>
      <c r="N168" s="49">
        <f>IF(OR(I168="",J168=""),"",J168-I168)</f>
        <v/>
      </c>
      <c r="O168" s="48">
        <f>TEXT(L168,"mmm-yyyy")</f>
        <v/>
      </c>
      <c r="P168" s="48">
        <f>_xlfn.IFS(ISNUMBER(SEARCH("data analy",B168)),"Data Analyst",ISNUMBER(SEARCH("business analy",B168)),"Business Analyst",OR(ISNUMBER(SEARCH("developer",B168)),ISNUMBER(SEARCH("software engineer",B168)),ISNUMBER(SEARCH("programmer",B168))),"Software Developer",ISNUMBER(SEARCH("business development",B168)),"Business Development",ISNUMBER(SEARCH("sales",B168)),"Sales Executive",ISNUMBER(SEARCH("marketing",B168)),"Marketing Executive",OR(ISNUMBER(SEARCH("hr ",B168)),ISNUMBER(SEARCH("recruit",B168)),ISNUMBER(SEARCH("human resource",B168))),"HR / Recruiter",OR(ISNUMBER(SEARCH("account",B168)),ISNUMBER(SEARCH("finance",B168)),ISNUMBER(SEARCH("tax",B168)),ISNUMBER(SEARCH("audit",B168))),"Accountant / Finance",OR(ISNUMBER(SEARCH("customer service",B168)),ISNUMBER(SEARCH("customer support",B168)),ISNUMBER(SEARCH("customer care",B168)),ISNUMBER(SEARCH("voice process",B168)),ISNUMBER(SEARCH("bpo",B168))),"Customer Support",ISNUMBER(SEARCH("engineer",B168)),"Engineer (Technical)",ISNUMBER(SEARCH("manager",B168)),"Manager",OR(ISNUMBER(SEARCH("teacher",B168)),ISNUMBER(SEARCH("trainer",B168)),ISNUMBER(SEARCH("faculty",B168))),"Teacher / Trainer",OR(ISNUMBER(SEARCH("doctor",B168)),ISNUMBER(SEARCH("nurse",B168)),ISNUMBER(SEARCH("medical",B168)),ISNUMBER(SEARCH("pharma",B168)),ISNUMBER(SEARCH("clinical",B168))),"Healthcare",TRUE,"Other")</f>
        <v/>
      </c>
      <c r="Q168" s="48">
        <f>IF(COUNTIFS($B$11:B168,B168,$C$11:C168,C168,$D$11:D168,D168,$L$11:L168,L168)&gt;1,"Duplicate","Unique")</f>
        <v/>
      </c>
    </row>
    <row r="169">
      <c r="A169" s="48">
        <f>Raw_Data!A160</f>
        <v/>
      </c>
      <c r="B169" s="48">
        <f>PROPER(TRIM(Raw_Data!B160))</f>
        <v/>
      </c>
      <c r="C169" s="48">
        <f>TRIM(Raw_Data!C160)</f>
        <v/>
      </c>
      <c r="D169" s="48">
        <f>IF(PROPER(TRIM(Raw_Data!D160))="Bangalore","Bengaluru",IF(PROPER(TRIM(Raw_Data!D160))="Gurgaon","Gurugram",IF(OR(PROPER(TRIM(Raw_Data!D160))="New Delhi",PROPER(TRIM(Raw_Data!D160))="Delhi"),"Delhi",PROPER(TRIM(Raw_Data!D160)))))</f>
        <v/>
      </c>
      <c r="E169" s="48">
        <f>Raw_Data!E160</f>
        <v/>
      </c>
      <c r="F169" s="48">
        <f>IF(TRIM(Raw_Data!F160&amp;"")="","Not Specified",Raw_Data!F160)</f>
        <v/>
      </c>
      <c r="G169" s="48">
        <f>Raw_Data!G160</f>
        <v/>
      </c>
      <c r="H169" s="48">
        <f>Raw_Data!H160</f>
        <v/>
      </c>
      <c r="I169" s="49">
        <f>IF(Raw_Data!I160="","",Raw_Data!I160)</f>
        <v/>
      </c>
      <c r="J169" s="49">
        <f>IF(Raw_Data!J160="","",Raw_Data!J160)</f>
        <v/>
      </c>
      <c r="K169" s="48">
        <f>IF(TRIM(Raw_Data!K160&amp;"")="","Not Specified",Raw_Data!K160)</f>
        <v/>
      </c>
      <c r="L169" s="56">
        <f>Raw_Data!L160</f>
        <v/>
      </c>
      <c r="M169" s="49">
        <f>IF(OR(I169="",J169=""),"",(I169+J169)/2)</f>
        <v/>
      </c>
      <c r="N169" s="49">
        <f>IF(OR(I169="",J169=""),"",J169-I169)</f>
        <v/>
      </c>
      <c r="O169" s="48">
        <f>TEXT(L169,"mmm-yyyy")</f>
        <v/>
      </c>
      <c r="P169" s="48">
        <f>_xlfn.IFS(ISNUMBER(SEARCH("data analy",B169)),"Data Analyst",ISNUMBER(SEARCH("business analy",B169)),"Business Analyst",OR(ISNUMBER(SEARCH("developer",B169)),ISNUMBER(SEARCH("software engineer",B169)),ISNUMBER(SEARCH("programmer",B169))),"Software Developer",ISNUMBER(SEARCH("business development",B169)),"Business Development",ISNUMBER(SEARCH("sales",B169)),"Sales Executive",ISNUMBER(SEARCH("marketing",B169)),"Marketing Executive",OR(ISNUMBER(SEARCH("hr ",B169)),ISNUMBER(SEARCH("recruit",B169)),ISNUMBER(SEARCH("human resource",B169))),"HR / Recruiter",OR(ISNUMBER(SEARCH("account",B169)),ISNUMBER(SEARCH("finance",B169)),ISNUMBER(SEARCH("tax",B169)),ISNUMBER(SEARCH("audit",B169))),"Accountant / Finance",OR(ISNUMBER(SEARCH("customer service",B169)),ISNUMBER(SEARCH("customer support",B169)),ISNUMBER(SEARCH("customer care",B169)),ISNUMBER(SEARCH("voice process",B169)),ISNUMBER(SEARCH("bpo",B169))),"Customer Support",ISNUMBER(SEARCH("engineer",B169)),"Engineer (Technical)",ISNUMBER(SEARCH("manager",B169)),"Manager",OR(ISNUMBER(SEARCH("teacher",B169)),ISNUMBER(SEARCH("trainer",B169)),ISNUMBER(SEARCH("faculty",B169))),"Teacher / Trainer",OR(ISNUMBER(SEARCH("doctor",B169)),ISNUMBER(SEARCH("nurse",B169)),ISNUMBER(SEARCH("medical",B169)),ISNUMBER(SEARCH("pharma",B169)),ISNUMBER(SEARCH("clinical",B169))),"Healthcare",TRUE,"Other")</f>
        <v/>
      </c>
      <c r="Q169" s="48">
        <f>IF(COUNTIFS($B$11:B169,B169,$C$11:C169,C169,$D$11:D169,D169,$L$11:L169,L169)&gt;1,"Duplicate","Unique")</f>
        <v/>
      </c>
    </row>
    <row r="170">
      <c r="A170" s="48">
        <f>Raw_Data!A161</f>
        <v/>
      </c>
      <c r="B170" s="48">
        <f>PROPER(TRIM(Raw_Data!B161))</f>
        <v/>
      </c>
      <c r="C170" s="48">
        <f>TRIM(Raw_Data!C161)</f>
        <v/>
      </c>
      <c r="D170" s="48">
        <f>IF(PROPER(TRIM(Raw_Data!D161))="Bangalore","Bengaluru",IF(PROPER(TRIM(Raw_Data!D161))="Gurgaon","Gurugram",IF(OR(PROPER(TRIM(Raw_Data!D161))="New Delhi",PROPER(TRIM(Raw_Data!D161))="Delhi"),"Delhi",PROPER(TRIM(Raw_Data!D161)))))</f>
        <v/>
      </c>
      <c r="E170" s="48">
        <f>Raw_Data!E161</f>
        <v/>
      </c>
      <c r="F170" s="48">
        <f>IF(TRIM(Raw_Data!F161&amp;"")="","Not Specified",Raw_Data!F161)</f>
        <v/>
      </c>
      <c r="G170" s="48">
        <f>Raw_Data!G161</f>
        <v/>
      </c>
      <c r="H170" s="48">
        <f>Raw_Data!H161</f>
        <v/>
      </c>
      <c r="I170" s="49">
        <f>IF(Raw_Data!I161="","",Raw_Data!I161)</f>
        <v/>
      </c>
      <c r="J170" s="49">
        <f>IF(Raw_Data!J161="","",Raw_Data!J161)</f>
        <v/>
      </c>
      <c r="K170" s="48">
        <f>IF(TRIM(Raw_Data!K161&amp;"")="","Not Specified",Raw_Data!K161)</f>
        <v/>
      </c>
      <c r="L170" s="56">
        <f>Raw_Data!L161</f>
        <v/>
      </c>
      <c r="M170" s="49">
        <f>IF(OR(I170="",J170=""),"",(I170+J170)/2)</f>
        <v/>
      </c>
      <c r="N170" s="49">
        <f>IF(OR(I170="",J170=""),"",J170-I170)</f>
        <v/>
      </c>
      <c r="O170" s="48">
        <f>TEXT(L170,"mmm-yyyy")</f>
        <v/>
      </c>
      <c r="P170" s="48">
        <f>_xlfn.IFS(ISNUMBER(SEARCH("data analy",B170)),"Data Analyst",ISNUMBER(SEARCH("business analy",B170)),"Business Analyst",OR(ISNUMBER(SEARCH("developer",B170)),ISNUMBER(SEARCH("software engineer",B170)),ISNUMBER(SEARCH("programmer",B170))),"Software Developer",ISNUMBER(SEARCH("business development",B170)),"Business Development",ISNUMBER(SEARCH("sales",B170)),"Sales Executive",ISNUMBER(SEARCH("marketing",B170)),"Marketing Executive",OR(ISNUMBER(SEARCH("hr ",B170)),ISNUMBER(SEARCH("recruit",B170)),ISNUMBER(SEARCH("human resource",B170))),"HR / Recruiter",OR(ISNUMBER(SEARCH("account",B170)),ISNUMBER(SEARCH("finance",B170)),ISNUMBER(SEARCH("tax",B170)),ISNUMBER(SEARCH("audit",B170))),"Accountant / Finance",OR(ISNUMBER(SEARCH("customer service",B170)),ISNUMBER(SEARCH("customer support",B170)),ISNUMBER(SEARCH("customer care",B170)),ISNUMBER(SEARCH("voice process",B170)),ISNUMBER(SEARCH("bpo",B170))),"Customer Support",ISNUMBER(SEARCH("engineer",B170)),"Engineer (Technical)",ISNUMBER(SEARCH("manager",B170)),"Manager",OR(ISNUMBER(SEARCH("teacher",B170)),ISNUMBER(SEARCH("trainer",B170)),ISNUMBER(SEARCH("faculty",B170))),"Teacher / Trainer",OR(ISNUMBER(SEARCH("doctor",B170)),ISNUMBER(SEARCH("nurse",B170)),ISNUMBER(SEARCH("medical",B170)),ISNUMBER(SEARCH("pharma",B170)),ISNUMBER(SEARCH("clinical",B170))),"Healthcare",TRUE,"Other")</f>
        <v/>
      </c>
      <c r="Q170" s="48">
        <f>IF(COUNTIFS($B$11:B170,B170,$C$11:C170,C170,$D$11:D170,D170,$L$11:L170,L170)&gt;1,"Duplicate","Unique")</f>
        <v/>
      </c>
    </row>
    <row r="171">
      <c r="A171" s="48">
        <f>Raw_Data!A162</f>
        <v/>
      </c>
      <c r="B171" s="48">
        <f>PROPER(TRIM(Raw_Data!B162))</f>
        <v/>
      </c>
      <c r="C171" s="48">
        <f>TRIM(Raw_Data!C162)</f>
        <v/>
      </c>
      <c r="D171" s="48">
        <f>IF(PROPER(TRIM(Raw_Data!D162))="Bangalore","Bengaluru",IF(PROPER(TRIM(Raw_Data!D162))="Gurgaon","Gurugram",IF(OR(PROPER(TRIM(Raw_Data!D162))="New Delhi",PROPER(TRIM(Raw_Data!D162))="Delhi"),"Delhi",PROPER(TRIM(Raw_Data!D162)))))</f>
        <v/>
      </c>
      <c r="E171" s="48">
        <f>Raw_Data!E162</f>
        <v/>
      </c>
      <c r="F171" s="48">
        <f>IF(TRIM(Raw_Data!F162&amp;"")="","Not Specified",Raw_Data!F162)</f>
        <v/>
      </c>
      <c r="G171" s="48">
        <f>Raw_Data!G162</f>
        <v/>
      </c>
      <c r="H171" s="48">
        <f>Raw_Data!H162</f>
        <v/>
      </c>
      <c r="I171" s="49">
        <f>IF(Raw_Data!I162="","",Raw_Data!I162)</f>
        <v/>
      </c>
      <c r="J171" s="49">
        <f>IF(Raw_Data!J162="","",Raw_Data!J162)</f>
        <v/>
      </c>
      <c r="K171" s="48">
        <f>IF(TRIM(Raw_Data!K162&amp;"")="","Not Specified",Raw_Data!K162)</f>
        <v/>
      </c>
      <c r="L171" s="56">
        <f>Raw_Data!L162</f>
        <v/>
      </c>
      <c r="M171" s="49">
        <f>IF(OR(I171="",J171=""),"",(I171+J171)/2)</f>
        <v/>
      </c>
      <c r="N171" s="49">
        <f>IF(OR(I171="",J171=""),"",J171-I171)</f>
        <v/>
      </c>
      <c r="O171" s="48">
        <f>TEXT(L171,"mmm-yyyy")</f>
        <v/>
      </c>
      <c r="P171" s="48">
        <f>_xlfn.IFS(ISNUMBER(SEARCH("data analy",B171)),"Data Analyst",ISNUMBER(SEARCH("business analy",B171)),"Business Analyst",OR(ISNUMBER(SEARCH("developer",B171)),ISNUMBER(SEARCH("software engineer",B171)),ISNUMBER(SEARCH("programmer",B171))),"Software Developer",ISNUMBER(SEARCH("business development",B171)),"Business Development",ISNUMBER(SEARCH("sales",B171)),"Sales Executive",ISNUMBER(SEARCH("marketing",B171)),"Marketing Executive",OR(ISNUMBER(SEARCH("hr ",B171)),ISNUMBER(SEARCH("recruit",B171)),ISNUMBER(SEARCH("human resource",B171))),"HR / Recruiter",OR(ISNUMBER(SEARCH("account",B171)),ISNUMBER(SEARCH("finance",B171)),ISNUMBER(SEARCH("tax",B171)),ISNUMBER(SEARCH("audit",B171))),"Accountant / Finance",OR(ISNUMBER(SEARCH("customer service",B171)),ISNUMBER(SEARCH("customer support",B171)),ISNUMBER(SEARCH("customer care",B171)),ISNUMBER(SEARCH("voice process",B171)),ISNUMBER(SEARCH("bpo",B171))),"Customer Support",ISNUMBER(SEARCH("engineer",B171)),"Engineer (Technical)",ISNUMBER(SEARCH("manager",B171)),"Manager",OR(ISNUMBER(SEARCH("teacher",B171)),ISNUMBER(SEARCH("trainer",B171)),ISNUMBER(SEARCH("faculty",B171))),"Teacher / Trainer",OR(ISNUMBER(SEARCH("doctor",B171)),ISNUMBER(SEARCH("nurse",B171)),ISNUMBER(SEARCH("medical",B171)),ISNUMBER(SEARCH("pharma",B171)),ISNUMBER(SEARCH("clinical",B171))),"Healthcare",TRUE,"Other")</f>
        <v/>
      </c>
      <c r="Q171" s="48">
        <f>IF(COUNTIFS($B$11:B171,B171,$C$11:C171,C171,$D$11:D171,D171,$L$11:L171,L171)&gt;1,"Duplicate","Unique")</f>
        <v/>
      </c>
    </row>
    <row r="172">
      <c r="A172" s="48">
        <f>Raw_Data!A163</f>
        <v/>
      </c>
      <c r="B172" s="48">
        <f>PROPER(TRIM(Raw_Data!B163))</f>
        <v/>
      </c>
      <c r="C172" s="48">
        <f>TRIM(Raw_Data!C163)</f>
        <v/>
      </c>
      <c r="D172" s="48">
        <f>IF(PROPER(TRIM(Raw_Data!D163))="Bangalore","Bengaluru",IF(PROPER(TRIM(Raw_Data!D163))="Gurgaon","Gurugram",IF(OR(PROPER(TRIM(Raw_Data!D163))="New Delhi",PROPER(TRIM(Raw_Data!D163))="Delhi"),"Delhi",PROPER(TRIM(Raw_Data!D163)))))</f>
        <v/>
      </c>
      <c r="E172" s="48">
        <f>Raw_Data!E163</f>
        <v/>
      </c>
      <c r="F172" s="48">
        <f>IF(TRIM(Raw_Data!F163&amp;"")="","Not Specified",Raw_Data!F163)</f>
        <v/>
      </c>
      <c r="G172" s="48">
        <f>Raw_Data!G163</f>
        <v/>
      </c>
      <c r="H172" s="48">
        <f>Raw_Data!H163</f>
        <v/>
      </c>
      <c r="I172" s="49">
        <f>IF(Raw_Data!I163="","",Raw_Data!I163)</f>
        <v/>
      </c>
      <c r="J172" s="49">
        <f>IF(Raw_Data!J163="","",Raw_Data!J163)</f>
        <v/>
      </c>
      <c r="K172" s="48">
        <f>IF(TRIM(Raw_Data!K163&amp;"")="","Not Specified",Raw_Data!K163)</f>
        <v/>
      </c>
      <c r="L172" s="56">
        <f>Raw_Data!L163</f>
        <v/>
      </c>
      <c r="M172" s="49">
        <f>IF(OR(I172="",J172=""),"",(I172+J172)/2)</f>
        <v/>
      </c>
      <c r="N172" s="49">
        <f>IF(OR(I172="",J172=""),"",J172-I172)</f>
        <v/>
      </c>
      <c r="O172" s="48">
        <f>TEXT(L172,"mmm-yyyy")</f>
        <v/>
      </c>
      <c r="P172" s="48">
        <f>_xlfn.IFS(ISNUMBER(SEARCH("data analy",B172)),"Data Analyst",ISNUMBER(SEARCH("business analy",B172)),"Business Analyst",OR(ISNUMBER(SEARCH("developer",B172)),ISNUMBER(SEARCH("software engineer",B172)),ISNUMBER(SEARCH("programmer",B172))),"Software Developer",ISNUMBER(SEARCH("business development",B172)),"Business Development",ISNUMBER(SEARCH("sales",B172)),"Sales Executive",ISNUMBER(SEARCH("marketing",B172)),"Marketing Executive",OR(ISNUMBER(SEARCH("hr ",B172)),ISNUMBER(SEARCH("recruit",B172)),ISNUMBER(SEARCH("human resource",B172))),"HR / Recruiter",OR(ISNUMBER(SEARCH("account",B172)),ISNUMBER(SEARCH("finance",B172)),ISNUMBER(SEARCH("tax",B172)),ISNUMBER(SEARCH("audit",B172))),"Accountant / Finance",OR(ISNUMBER(SEARCH("customer service",B172)),ISNUMBER(SEARCH("customer support",B172)),ISNUMBER(SEARCH("customer care",B172)),ISNUMBER(SEARCH("voice process",B172)),ISNUMBER(SEARCH("bpo",B172))),"Customer Support",ISNUMBER(SEARCH("engineer",B172)),"Engineer (Technical)",ISNUMBER(SEARCH("manager",B172)),"Manager",OR(ISNUMBER(SEARCH("teacher",B172)),ISNUMBER(SEARCH("trainer",B172)),ISNUMBER(SEARCH("faculty",B172))),"Teacher / Trainer",OR(ISNUMBER(SEARCH("doctor",B172)),ISNUMBER(SEARCH("nurse",B172)),ISNUMBER(SEARCH("medical",B172)),ISNUMBER(SEARCH("pharma",B172)),ISNUMBER(SEARCH("clinical",B172))),"Healthcare",TRUE,"Other")</f>
        <v/>
      </c>
      <c r="Q172" s="48">
        <f>IF(COUNTIFS($B$11:B172,B172,$C$11:C172,C172,$D$11:D172,D172,$L$11:L172,L172)&gt;1,"Duplicate","Unique")</f>
        <v/>
      </c>
    </row>
    <row r="173">
      <c r="A173" s="48">
        <f>Raw_Data!A164</f>
        <v/>
      </c>
      <c r="B173" s="48">
        <f>PROPER(TRIM(Raw_Data!B164))</f>
        <v/>
      </c>
      <c r="C173" s="48">
        <f>TRIM(Raw_Data!C164)</f>
        <v/>
      </c>
      <c r="D173" s="48">
        <f>IF(PROPER(TRIM(Raw_Data!D164))="Bangalore","Bengaluru",IF(PROPER(TRIM(Raw_Data!D164))="Gurgaon","Gurugram",IF(OR(PROPER(TRIM(Raw_Data!D164))="New Delhi",PROPER(TRIM(Raw_Data!D164))="Delhi"),"Delhi",PROPER(TRIM(Raw_Data!D164)))))</f>
        <v/>
      </c>
      <c r="E173" s="48">
        <f>Raw_Data!E164</f>
        <v/>
      </c>
      <c r="F173" s="48">
        <f>IF(TRIM(Raw_Data!F164&amp;"")="","Not Specified",Raw_Data!F164)</f>
        <v/>
      </c>
      <c r="G173" s="48">
        <f>Raw_Data!G164</f>
        <v/>
      </c>
      <c r="H173" s="48">
        <f>Raw_Data!H164</f>
        <v/>
      </c>
      <c r="I173" s="49">
        <f>IF(Raw_Data!I164="","",Raw_Data!I164)</f>
        <v/>
      </c>
      <c r="J173" s="49">
        <f>IF(Raw_Data!J164="","",Raw_Data!J164)</f>
        <v/>
      </c>
      <c r="K173" s="48">
        <f>IF(TRIM(Raw_Data!K164&amp;"")="","Not Specified",Raw_Data!K164)</f>
        <v/>
      </c>
      <c r="L173" s="56">
        <f>Raw_Data!L164</f>
        <v/>
      </c>
      <c r="M173" s="49">
        <f>IF(OR(I173="",J173=""),"",(I173+J173)/2)</f>
        <v/>
      </c>
      <c r="N173" s="49">
        <f>IF(OR(I173="",J173=""),"",J173-I173)</f>
        <v/>
      </c>
      <c r="O173" s="48">
        <f>TEXT(L173,"mmm-yyyy")</f>
        <v/>
      </c>
      <c r="P173" s="48">
        <f>_xlfn.IFS(ISNUMBER(SEARCH("data analy",B173)),"Data Analyst",ISNUMBER(SEARCH("business analy",B173)),"Business Analyst",OR(ISNUMBER(SEARCH("developer",B173)),ISNUMBER(SEARCH("software engineer",B173)),ISNUMBER(SEARCH("programmer",B173))),"Software Developer",ISNUMBER(SEARCH("business development",B173)),"Business Development",ISNUMBER(SEARCH("sales",B173)),"Sales Executive",ISNUMBER(SEARCH("marketing",B173)),"Marketing Executive",OR(ISNUMBER(SEARCH("hr ",B173)),ISNUMBER(SEARCH("recruit",B173)),ISNUMBER(SEARCH("human resource",B173))),"HR / Recruiter",OR(ISNUMBER(SEARCH("account",B173)),ISNUMBER(SEARCH("finance",B173)),ISNUMBER(SEARCH("tax",B173)),ISNUMBER(SEARCH("audit",B173))),"Accountant / Finance",OR(ISNUMBER(SEARCH("customer service",B173)),ISNUMBER(SEARCH("customer support",B173)),ISNUMBER(SEARCH("customer care",B173)),ISNUMBER(SEARCH("voice process",B173)),ISNUMBER(SEARCH("bpo",B173))),"Customer Support",ISNUMBER(SEARCH("engineer",B173)),"Engineer (Technical)",ISNUMBER(SEARCH("manager",B173)),"Manager",OR(ISNUMBER(SEARCH("teacher",B173)),ISNUMBER(SEARCH("trainer",B173)),ISNUMBER(SEARCH("faculty",B173))),"Teacher / Trainer",OR(ISNUMBER(SEARCH("doctor",B173)),ISNUMBER(SEARCH("nurse",B173)),ISNUMBER(SEARCH("medical",B173)),ISNUMBER(SEARCH("pharma",B173)),ISNUMBER(SEARCH("clinical",B173))),"Healthcare",TRUE,"Other")</f>
        <v/>
      </c>
      <c r="Q173" s="48">
        <f>IF(COUNTIFS($B$11:B173,B173,$C$11:C173,C173,$D$11:D173,D173,$L$11:L173,L173)&gt;1,"Duplicate","Unique")</f>
        <v/>
      </c>
    </row>
    <row r="174">
      <c r="A174" s="48">
        <f>Raw_Data!A165</f>
        <v/>
      </c>
      <c r="B174" s="48">
        <f>PROPER(TRIM(Raw_Data!B165))</f>
        <v/>
      </c>
      <c r="C174" s="48">
        <f>TRIM(Raw_Data!C165)</f>
        <v/>
      </c>
      <c r="D174" s="48">
        <f>IF(PROPER(TRIM(Raw_Data!D165))="Bangalore","Bengaluru",IF(PROPER(TRIM(Raw_Data!D165))="Gurgaon","Gurugram",IF(OR(PROPER(TRIM(Raw_Data!D165))="New Delhi",PROPER(TRIM(Raw_Data!D165))="Delhi"),"Delhi",PROPER(TRIM(Raw_Data!D165)))))</f>
        <v/>
      </c>
      <c r="E174" s="48">
        <f>Raw_Data!E165</f>
        <v/>
      </c>
      <c r="F174" s="48">
        <f>IF(TRIM(Raw_Data!F165&amp;"")="","Not Specified",Raw_Data!F165)</f>
        <v/>
      </c>
      <c r="G174" s="48">
        <f>Raw_Data!G165</f>
        <v/>
      </c>
      <c r="H174" s="48">
        <f>Raw_Data!H165</f>
        <v/>
      </c>
      <c r="I174" s="49">
        <f>IF(Raw_Data!I165="","",Raw_Data!I165)</f>
        <v/>
      </c>
      <c r="J174" s="49">
        <f>IF(Raw_Data!J165="","",Raw_Data!J165)</f>
        <v/>
      </c>
      <c r="K174" s="48">
        <f>IF(TRIM(Raw_Data!K165&amp;"")="","Not Specified",Raw_Data!K165)</f>
        <v/>
      </c>
      <c r="L174" s="56">
        <f>Raw_Data!L165</f>
        <v/>
      </c>
      <c r="M174" s="49">
        <f>IF(OR(I174="",J174=""),"",(I174+J174)/2)</f>
        <v/>
      </c>
      <c r="N174" s="49">
        <f>IF(OR(I174="",J174=""),"",J174-I174)</f>
        <v/>
      </c>
      <c r="O174" s="48">
        <f>TEXT(L174,"mmm-yyyy")</f>
        <v/>
      </c>
      <c r="P174" s="48">
        <f>_xlfn.IFS(ISNUMBER(SEARCH("data analy",B174)),"Data Analyst",ISNUMBER(SEARCH("business analy",B174)),"Business Analyst",OR(ISNUMBER(SEARCH("developer",B174)),ISNUMBER(SEARCH("software engineer",B174)),ISNUMBER(SEARCH("programmer",B174))),"Software Developer",ISNUMBER(SEARCH("business development",B174)),"Business Development",ISNUMBER(SEARCH("sales",B174)),"Sales Executive",ISNUMBER(SEARCH("marketing",B174)),"Marketing Executive",OR(ISNUMBER(SEARCH("hr ",B174)),ISNUMBER(SEARCH("recruit",B174)),ISNUMBER(SEARCH("human resource",B174))),"HR / Recruiter",OR(ISNUMBER(SEARCH("account",B174)),ISNUMBER(SEARCH("finance",B174)),ISNUMBER(SEARCH("tax",B174)),ISNUMBER(SEARCH("audit",B174))),"Accountant / Finance",OR(ISNUMBER(SEARCH("customer service",B174)),ISNUMBER(SEARCH("customer support",B174)),ISNUMBER(SEARCH("customer care",B174)),ISNUMBER(SEARCH("voice process",B174)),ISNUMBER(SEARCH("bpo",B174))),"Customer Support",ISNUMBER(SEARCH("engineer",B174)),"Engineer (Technical)",ISNUMBER(SEARCH("manager",B174)),"Manager",OR(ISNUMBER(SEARCH("teacher",B174)),ISNUMBER(SEARCH("trainer",B174)),ISNUMBER(SEARCH("faculty",B174))),"Teacher / Trainer",OR(ISNUMBER(SEARCH("doctor",B174)),ISNUMBER(SEARCH("nurse",B174)),ISNUMBER(SEARCH("medical",B174)),ISNUMBER(SEARCH("pharma",B174)),ISNUMBER(SEARCH("clinical",B174))),"Healthcare",TRUE,"Other")</f>
        <v/>
      </c>
      <c r="Q174" s="48">
        <f>IF(COUNTIFS($B$11:B174,B174,$C$11:C174,C174,$D$11:D174,D174,$L$11:L174,L174)&gt;1,"Duplicate","Unique")</f>
        <v/>
      </c>
    </row>
    <row r="175">
      <c r="A175" s="48">
        <f>Raw_Data!A166</f>
        <v/>
      </c>
      <c r="B175" s="48">
        <f>PROPER(TRIM(Raw_Data!B166))</f>
        <v/>
      </c>
      <c r="C175" s="48">
        <f>TRIM(Raw_Data!C166)</f>
        <v/>
      </c>
      <c r="D175" s="48">
        <f>IF(PROPER(TRIM(Raw_Data!D166))="Bangalore","Bengaluru",IF(PROPER(TRIM(Raw_Data!D166))="Gurgaon","Gurugram",IF(OR(PROPER(TRIM(Raw_Data!D166))="New Delhi",PROPER(TRIM(Raw_Data!D166))="Delhi"),"Delhi",PROPER(TRIM(Raw_Data!D166)))))</f>
        <v/>
      </c>
      <c r="E175" s="48">
        <f>Raw_Data!E166</f>
        <v/>
      </c>
      <c r="F175" s="48">
        <f>IF(TRIM(Raw_Data!F166&amp;"")="","Not Specified",Raw_Data!F166)</f>
        <v/>
      </c>
      <c r="G175" s="48">
        <f>Raw_Data!G166</f>
        <v/>
      </c>
      <c r="H175" s="48">
        <f>Raw_Data!H166</f>
        <v/>
      </c>
      <c r="I175" s="49">
        <f>IF(Raw_Data!I166="","",Raw_Data!I166)</f>
        <v/>
      </c>
      <c r="J175" s="49">
        <f>IF(Raw_Data!J166="","",Raw_Data!J166)</f>
        <v/>
      </c>
      <c r="K175" s="48">
        <f>IF(TRIM(Raw_Data!K166&amp;"")="","Not Specified",Raw_Data!K166)</f>
        <v/>
      </c>
      <c r="L175" s="56">
        <f>Raw_Data!L166</f>
        <v/>
      </c>
      <c r="M175" s="49">
        <f>IF(OR(I175="",J175=""),"",(I175+J175)/2)</f>
        <v/>
      </c>
      <c r="N175" s="49">
        <f>IF(OR(I175="",J175=""),"",J175-I175)</f>
        <v/>
      </c>
      <c r="O175" s="48">
        <f>TEXT(L175,"mmm-yyyy")</f>
        <v/>
      </c>
      <c r="P175" s="48">
        <f>_xlfn.IFS(ISNUMBER(SEARCH("data analy",B175)),"Data Analyst",ISNUMBER(SEARCH("business analy",B175)),"Business Analyst",OR(ISNUMBER(SEARCH("developer",B175)),ISNUMBER(SEARCH("software engineer",B175)),ISNUMBER(SEARCH("programmer",B175))),"Software Developer",ISNUMBER(SEARCH("business development",B175)),"Business Development",ISNUMBER(SEARCH("sales",B175)),"Sales Executive",ISNUMBER(SEARCH("marketing",B175)),"Marketing Executive",OR(ISNUMBER(SEARCH("hr ",B175)),ISNUMBER(SEARCH("recruit",B175)),ISNUMBER(SEARCH("human resource",B175))),"HR / Recruiter",OR(ISNUMBER(SEARCH("account",B175)),ISNUMBER(SEARCH("finance",B175)),ISNUMBER(SEARCH("tax",B175)),ISNUMBER(SEARCH("audit",B175))),"Accountant / Finance",OR(ISNUMBER(SEARCH("customer service",B175)),ISNUMBER(SEARCH("customer support",B175)),ISNUMBER(SEARCH("customer care",B175)),ISNUMBER(SEARCH("voice process",B175)),ISNUMBER(SEARCH("bpo",B175))),"Customer Support",ISNUMBER(SEARCH("engineer",B175)),"Engineer (Technical)",ISNUMBER(SEARCH("manager",B175)),"Manager",OR(ISNUMBER(SEARCH("teacher",B175)),ISNUMBER(SEARCH("trainer",B175)),ISNUMBER(SEARCH("faculty",B175))),"Teacher / Trainer",OR(ISNUMBER(SEARCH("doctor",B175)),ISNUMBER(SEARCH("nurse",B175)),ISNUMBER(SEARCH("medical",B175)),ISNUMBER(SEARCH("pharma",B175)),ISNUMBER(SEARCH("clinical",B175))),"Healthcare",TRUE,"Other")</f>
        <v/>
      </c>
      <c r="Q175" s="48">
        <f>IF(COUNTIFS($B$11:B175,B175,$C$11:C175,C175,$D$11:D175,D175,$L$11:L175,L175)&gt;1,"Duplicate","Unique")</f>
        <v/>
      </c>
    </row>
    <row r="176">
      <c r="A176" s="48">
        <f>Raw_Data!A167</f>
        <v/>
      </c>
      <c r="B176" s="48">
        <f>PROPER(TRIM(Raw_Data!B167))</f>
        <v/>
      </c>
      <c r="C176" s="48">
        <f>TRIM(Raw_Data!C167)</f>
        <v/>
      </c>
      <c r="D176" s="48">
        <f>IF(PROPER(TRIM(Raw_Data!D167))="Bangalore","Bengaluru",IF(PROPER(TRIM(Raw_Data!D167))="Gurgaon","Gurugram",IF(OR(PROPER(TRIM(Raw_Data!D167))="New Delhi",PROPER(TRIM(Raw_Data!D167))="Delhi"),"Delhi",PROPER(TRIM(Raw_Data!D167)))))</f>
        <v/>
      </c>
      <c r="E176" s="48">
        <f>Raw_Data!E167</f>
        <v/>
      </c>
      <c r="F176" s="48">
        <f>IF(TRIM(Raw_Data!F167&amp;"")="","Not Specified",Raw_Data!F167)</f>
        <v/>
      </c>
      <c r="G176" s="48">
        <f>Raw_Data!G167</f>
        <v/>
      </c>
      <c r="H176" s="48">
        <f>Raw_Data!H167</f>
        <v/>
      </c>
      <c r="I176" s="49">
        <f>IF(Raw_Data!I167="","",Raw_Data!I167)</f>
        <v/>
      </c>
      <c r="J176" s="49">
        <f>IF(Raw_Data!J167="","",Raw_Data!J167)</f>
        <v/>
      </c>
      <c r="K176" s="48">
        <f>IF(TRIM(Raw_Data!K167&amp;"")="","Not Specified",Raw_Data!K167)</f>
        <v/>
      </c>
      <c r="L176" s="56">
        <f>Raw_Data!L167</f>
        <v/>
      </c>
      <c r="M176" s="49">
        <f>IF(OR(I176="",J176=""),"",(I176+J176)/2)</f>
        <v/>
      </c>
      <c r="N176" s="49">
        <f>IF(OR(I176="",J176=""),"",J176-I176)</f>
        <v/>
      </c>
      <c r="O176" s="48">
        <f>TEXT(L176,"mmm-yyyy")</f>
        <v/>
      </c>
      <c r="P176" s="48">
        <f>_xlfn.IFS(ISNUMBER(SEARCH("data analy",B176)),"Data Analyst",ISNUMBER(SEARCH("business analy",B176)),"Business Analyst",OR(ISNUMBER(SEARCH("developer",B176)),ISNUMBER(SEARCH("software engineer",B176)),ISNUMBER(SEARCH("programmer",B176))),"Software Developer",ISNUMBER(SEARCH("business development",B176)),"Business Development",ISNUMBER(SEARCH("sales",B176)),"Sales Executive",ISNUMBER(SEARCH("marketing",B176)),"Marketing Executive",OR(ISNUMBER(SEARCH("hr ",B176)),ISNUMBER(SEARCH("recruit",B176)),ISNUMBER(SEARCH("human resource",B176))),"HR / Recruiter",OR(ISNUMBER(SEARCH("account",B176)),ISNUMBER(SEARCH("finance",B176)),ISNUMBER(SEARCH("tax",B176)),ISNUMBER(SEARCH("audit",B176))),"Accountant / Finance",OR(ISNUMBER(SEARCH("customer service",B176)),ISNUMBER(SEARCH("customer support",B176)),ISNUMBER(SEARCH("customer care",B176)),ISNUMBER(SEARCH("voice process",B176)),ISNUMBER(SEARCH("bpo",B176))),"Customer Support",ISNUMBER(SEARCH("engineer",B176)),"Engineer (Technical)",ISNUMBER(SEARCH("manager",B176)),"Manager",OR(ISNUMBER(SEARCH("teacher",B176)),ISNUMBER(SEARCH("trainer",B176)),ISNUMBER(SEARCH("faculty",B176))),"Teacher / Trainer",OR(ISNUMBER(SEARCH("doctor",B176)),ISNUMBER(SEARCH("nurse",B176)),ISNUMBER(SEARCH("medical",B176)),ISNUMBER(SEARCH("pharma",B176)),ISNUMBER(SEARCH("clinical",B176))),"Healthcare",TRUE,"Other")</f>
        <v/>
      </c>
      <c r="Q176" s="48">
        <f>IF(COUNTIFS($B$11:B176,B176,$C$11:C176,C176,$D$11:D176,D176,$L$11:L176,L176)&gt;1,"Duplicate","Unique")</f>
        <v/>
      </c>
    </row>
    <row r="177">
      <c r="A177" s="48">
        <f>Raw_Data!A168</f>
        <v/>
      </c>
      <c r="B177" s="48">
        <f>PROPER(TRIM(Raw_Data!B168))</f>
        <v/>
      </c>
      <c r="C177" s="48">
        <f>TRIM(Raw_Data!C168)</f>
        <v/>
      </c>
      <c r="D177" s="48">
        <f>IF(PROPER(TRIM(Raw_Data!D168))="Bangalore","Bengaluru",IF(PROPER(TRIM(Raw_Data!D168))="Gurgaon","Gurugram",IF(OR(PROPER(TRIM(Raw_Data!D168))="New Delhi",PROPER(TRIM(Raw_Data!D168))="Delhi"),"Delhi",PROPER(TRIM(Raw_Data!D168)))))</f>
        <v/>
      </c>
      <c r="E177" s="48">
        <f>Raw_Data!E168</f>
        <v/>
      </c>
      <c r="F177" s="48">
        <f>IF(TRIM(Raw_Data!F168&amp;"")="","Not Specified",Raw_Data!F168)</f>
        <v/>
      </c>
      <c r="G177" s="48">
        <f>Raw_Data!G168</f>
        <v/>
      </c>
      <c r="H177" s="48">
        <f>Raw_Data!H168</f>
        <v/>
      </c>
      <c r="I177" s="49">
        <f>IF(Raw_Data!I168="","",Raw_Data!I168)</f>
        <v/>
      </c>
      <c r="J177" s="49">
        <f>IF(Raw_Data!J168="","",Raw_Data!J168)</f>
        <v/>
      </c>
      <c r="K177" s="48">
        <f>IF(TRIM(Raw_Data!K168&amp;"")="","Not Specified",Raw_Data!K168)</f>
        <v/>
      </c>
      <c r="L177" s="56">
        <f>Raw_Data!L168</f>
        <v/>
      </c>
      <c r="M177" s="49">
        <f>IF(OR(I177="",J177=""),"",(I177+J177)/2)</f>
        <v/>
      </c>
      <c r="N177" s="49">
        <f>IF(OR(I177="",J177=""),"",J177-I177)</f>
        <v/>
      </c>
      <c r="O177" s="48">
        <f>TEXT(L177,"mmm-yyyy")</f>
        <v/>
      </c>
      <c r="P177" s="48">
        <f>_xlfn.IFS(ISNUMBER(SEARCH("data analy",B177)),"Data Analyst",ISNUMBER(SEARCH("business analy",B177)),"Business Analyst",OR(ISNUMBER(SEARCH("developer",B177)),ISNUMBER(SEARCH("software engineer",B177)),ISNUMBER(SEARCH("programmer",B177))),"Software Developer",ISNUMBER(SEARCH("business development",B177)),"Business Development",ISNUMBER(SEARCH("sales",B177)),"Sales Executive",ISNUMBER(SEARCH("marketing",B177)),"Marketing Executive",OR(ISNUMBER(SEARCH("hr ",B177)),ISNUMBER(SEARCH("recruit",B177)),ISNUMBER(SEARCH("human resource",B177))),"HR / Recruiter",OR(ISNUMBER(SEARCH("account",B177)),ISNUMBER(SEARCH("finance",B177)),ISNUMBER(SEARCH("tax",B177)),ISNUMBER(SEARCH("audit",B177))),"Accountant / Finance",OR(ISNUMBER(SEARCH("customer service",B177)),ISNUMBER(SEARCH("customer support",B177)),ISNUMBER(SEARCH("customer care",B177)),ISNUMBER(SEARCH("voice process",B177)),ISNUMBER(SEARCH("bpo",B177))),"Customer Support",ISNUMBER(SEARCH("engineer",B177)),"Engineer (Technical)",ISNUMBER(SEARCH("manager",B177)),"Manager",OR(ISNUMBER(SEARCH("teacher",B177)),ISNUMBER(SEARCH("trainer",B177)),ISNUMBER(SEARCH("faculty",B177))),"Teacher / Trainer",OR(ISNUMBER(SEARCH("doctor",B177)),ISNUMBER(SEARCH("nurse",B177)),ISNUMBER(SEARCH("medical",B177)),ISNUMBER(SEARCH("pharma",B177)),ISNUMBER(SEARCH("clinical",B177))),"Healthcare",TRUE,"Other")</f>
        <v/>
      </c>
      <c r="Q177" s="48">
        <f>IF(COUNTIFS($B$11:B177,B177,$C$11:C177,C177,$D$11:D177,D177,$L$11:L177,L177)&gt;1,"Duplicate","Unique")</f>
        <v/>
      </c>
    </row>
    <row r="178">
      <c r="A178" s="48">
        <f>Raw_Data!A169</f>
        <v/>
      </c>
      <c r="B178" s="48">
        <f>PROPER(TRIM(Raw_Data!B169))</f>
        <v/>
      </c>
      <c r="C178" s="48">
        <f>TRIM(Raw_Data!C169)</f>
        <v/>
      </c>
      <c r="D178" s="48">
        <f>IF(PROPER(TRIM(Raw_Data!D169))="Bangalore","Bengaluru",IF(PROPER(TRIM(Raw_Data!D169))="Gurgaon","Gurugram",IF(OR(PROPER(TRIM(Raw_Data!D169))="New Delhi",PROPER(TRIM(Raw_Data!D169))="Delhi"),"Delhi",PROPER(TRIM(Raw_Data!D169)))))</f>
        <v/>
      </c>
      <c r="E178" s="48">
        <f>Raw_Data!E169</f>
        <v/>
      </c>
      <c r="F178" s="48">
        <f>IF(TRIM(Raw_Data!F169&amp;"")="","Not Specified",Raw_Data!F169)</f>
        <v/>
      </c>
      <c r="G178" s="48">
        <f>Raw_Data!G169</f>
        <v/>
      </c>
      <c r="H178" s="48">
        <f>Raw_Data!H169</f>
        <v/>
      </c>
      <c r="I178" s="49">
        <f>IF(Raw_Data!I169="","",Raw_Data!I169)</f>
        <v/>
      </c>
      <c r="J178" s="49">
        <f>IF(Raw_Data!J169="","",Raw_Data!J169)</f>
        <v/>
      </c>
      <c r="K178" s="48">
        <f>IF(TRIM(Raw_Data!K169&amp;"")="","Not Specified",Raw_Data!K169)</f>
        <v/>
      </c>
      <c r="L178" s="56">
        <f>Raw_Data!L169</f>
        <v/>
      </c>
      <c r="M178" s="49">
        <f>IF(OR(I178="",J178=""),"",(I178+J178)/2)</f>
        <v/>
      </c>
      <c r="N178" s="49">
        <f>IF(OR(I178="",J178=""),"",J178-I178)</f>
        <v/>
      </c>
      <c r="O178" s="48">
        <f>TEXT(L178,"mmm-yyyy")</f>
        <v/>
      </c>
      <c r="P178" s="48">
        <f>_xlfn.IFS(ISNUMBER(SEARCH("data analy",B178)),"Data Analyst",ISNUMBER(SEARCH("business analy",B178)),"Business Analyst",OR(ISNUMBER(SEARCH("developer",B178)),ISNUMBER(SEARCH("software engineer",B178)),ISNUMBER(SEARCH("programmer",B178))),"Software Developer",ISNUMBER(SEARCH("business development",B178)),"Business Development",ISNUMBER(SEARCH("sales",B178)),"Sales Executive",ISNUMBER(SEARCH("marketing",B178)),"Marketing Executive",OR(ISNUMBER(SEARCH("hr ",B178)),ISNUMBER(SEARCH("recruit",B178)),ISNUMBER(SEARCH("human resource",B178))),"HR / Recruiter",OR(ISNUMBER(SEARCH("account",B178)),ISNUMBER(SEARCH("finance",B178)),ISNUMBER(SEARCH("tax",B178)),ISNUMBER(SEARCH("audit",B178))),"Accountant / Finance",OR(ISNUMBER(SEARCH("customer service",B178)),ISNUMBER(SEARCH("customer support",B178)),ISNUMBER(SEARCH("customer care",B178)),ISNUMBER(SEARCH("voice process",B178)),ISNUMBER(SEARCH("bpo",B178))),"Customer Support",ISNUMBER(SEARCH("engineer",B178)),"Engineer (Technical)",ISNUMBER(SEARCH("manager",B178)),"Manager",OR(ISNUMBER(SEARCH("teacher",B178)),ISNUMBER(SEARCH("trainer",B178)),ISNUMBER(SEARCH("faculty",B178))),"Teacher / Trainer",OR(ISNUMBER(SEARCH("doctor",B178)),ISNUMBER(SEARCH("nurse",B178)),ISNUMBER(SEARCH("medical",B178)),ISNUMBER(SEARCH("pharma",B178)),ISNUMBER(SEARCH("clinical",B178))),"Healthcare",TRUE,"Other")</f>
        <v/>
      </c>
      <c r="Q178" s="48">
        <f>IF(COUNTIFS($B$11:B178,B178,$C$11:C178,C178,$D$11:D178,D178,$L$11:L178,L178)&gt;1,"Duplicate","Unique")</f>
        <v/>
      </c>
    </row>
    <row r="179">
      <c r="A179" s="48">
        <f>Raw_Data!A170</f>
        <v/>
      </c>
      <c r="B179" s="48">
        <f>PROPER(TRIM(Raw_Data!B170))</f>
        <v/>
      </c>
      <c r="C179" s="48">
        <f>TRIM(Raw_Data!C170)</f>
        <v/>
      </c>
      <c r="D179" s="48">
        <f>IF(PROPER(TRIM(Raw_Data!D170))="Bangalore","Bengaluru",IF(PROPER(TRIM(Raw_Data!D170))="Gurgaon","Gurugram",IF(OR(PROPER(TRIM(Raw_Data!D170))="New Delhi",PROPER(TRIM(Raw_Data!D170))="Delhi"),"Delhi",PROPER(TRIM(Raw_Data!D170)))))</f>
        <v/>
      </c>
      <c r="E179" s="48">
        <f>Raw_Data!E170</f>
        <v/>
      </c>
      <c r="F179" s="48">
        <f>IF(TRIM(Raw_Data!F170&amp;"")="","Not Specified",Raw_Data!F170)</f>
        <v/>
      </c>
      <c r="G179" s="48">
        <f>Raw_Data!G170</f>
        <v/>
      </c>
      <c r="H179" s="48">
        <f>Raw_Data!H170</f>
        <v/>
      </c>
      <c r="I179" s="49">
        <f>IF(Raw_Data!I170="","",Raw_Data!I170)</f>
        <v/>
      </c>
      <c r="J179" s="49">
        <f>IF(Raw_Data!J170="","",Raw_Data!J170)</f>
        <v/>
      </c>
      <c r="K179" s="48">
        <f>IF(TRIM(Raw_Data!K170&amp;"")="","Not Specified",Raw_Data!K170)</f>
        <v/>
      </c>
      <c r="L179" s="56">
        <f>Raw_Data!L170</f>
        <v/>
      </c>
      <c r="M179" s="49">
        <f>IF(OR(I179="",J179=""),"",(I179+J179)/2)</f>
        <v/>
      </c>
      <c r="N179" s="49">
        <f>IF(OR(I179="",J179=""),"",J179-I179)</f>
        <v/>
      </c>
      <c r="O179" s="48">
        <f>TEXT(L179,"mmm-yyyy")</f>
        <v/>
      </c>
      <c r="P179" s="48">
        <f>_xlfn.IFS(ISNUMBER(SEARCH("data analy",B179)),"Data Analyst",ISNUMBER(SEARCH("business analy",B179)),"Business Analyst",OR(ISNUMBER(SEARCH("developer",B179)),ISNUMBER(SEARCH("software engineer",B179)),ISNUMBER(SEARCH("programmer",B179))),"Software Developer",ISNUMBER(SEARCH("business development",B179)),"Business Development",ISNUMBER(SEARCH("sales",B179)),"Sales Executive",ISNUMBER(SEARCH("marketing",B179)),"Marketing Executive",OR(ISNUMBER(SEARCH("hr ",B179)),ISNUMBER(SEARCH("recruit",B179)),ISNUMBER(SEARCH("human resource",B179))),"HR / Recruiter",OR(ISNUMBER(SEARCH("account",B179)),ISNUMBER(SEARCH("finance",B179)),ISNUMBER(SEARCH("tax",B179)),ISNUMBER(SEARCH("audit",B179))),"Accountant / Finance",OR(ISNUMBER(SEARCH("customer service",B179)),ISNUMBER(SEARCH("customer support",B179)),ISNUMBER(SEARCH("customer care",B179)),ISNUMBER(SEARCH("voice process",B179)),ISNUMBER(SEARCH("bpo",B179))),"Customer Support",ISNUMBER(SEARCH("engineer",B179)),"Engineer (Technical)",ISNUMBER(SEARCH("manager",B179)),"Manager",OR(ISNUMBER(SEARCH("teacher",B179)),ISNUMBER(SEARCH("trainer",B179)),ISNUMBER(SEARCH("faculty",B179))),"Teacher / Trainer",OR(ISNUMBER(SEARCH("doctor",B179)),ISNUMBER(SEARCH("nurse",B179)),ISNUMBER(SEARCH("medical",B179)),ISNUMBER(SEARCH("pharma",B179)),ISNUMBER(SEARCH("clinical",B179))),"Healthcare",TRUE,"Other")</f>
        <v/>
      </c>
      <c r="Q179" s="48">
        <f>IF(COUNTIFS($B$11:B179,B179,$C$11:C179,C179,$D$11:D179,D179,$L$11:L179,L179)&gt;1,"Duplicate","Unique")</f>
        <v/>
      </c>
    </row>
    <row r="180">
      <c r="A180" s="48">
        <f>Raw_Data!A171</f>
        <v/>
      </c>
      <c r="B180" s="48">
        <f>PROPER(TRIM(Raw_Data!B171))</f>
        <v/>
      </c>
      <c r="C180" s="48">
        <f>TRIM(Raw_Data!C171)</f>
        <v/>
      </c>
      <c r="D180" s="48">
        <f>IF(PROPER(TRIM(Raw_Data!D171))="Bangalore","Bengaluru",IF(PROPER(TRIM(Raw_Data!D171))="Gurgaon","Gurugram",IF(OR(PROPER(TRIM(Raw_Data!D171))="New Delhi",PROPER(TRIM(Raw_Data!D171))="Delhi"),"Delhi",PROPER(TRIM(Raw_Data!D171)))))</f>
        <v/>
      </c>
      <c r="E180" s="48">
        <f>Raw_Data!E171</f>
        <v/>
      </c>
      <c r="F180" s="48">
        <f>IF(TRIM(Raw_Data!F171&amp;"")="","Not Specified",Raw_Data!F171)</f>
        <v/>
      </c>
      <c r="G180" s="48">
        <f>Raw_Data!G171</f>
        <v/>
      </c>
      <c r="H180" s="48">
        <f>Raw_Data!H171</f>
        <v/>
      </c>
      <c r="I180" s="49">
        <f>IF(Raw_Data!I171="","",Raw_Data!I171)</f>
        <v/>
      </c>
      <c r="J180" s="49">
        <f>IF(Raw_Data!J171="","",Raw_Data!J171)</f>
        <v/>
      </c>
      <c r="K180" s="48">
        <f>IF(TRIM(Raw_Data!K171&amp;"")="","Not Specified",Raw_Data!K171)</f>
        <v/>
      </c>
      <c r="L180" s="56">
        <f>Raw_Data!L171</f>
        <v/>
      </c>
      <c r="M180" s="49">
        <f>IF(OR(I180="",J180=""),"",(I180+J180)/2)</f>
        <v/>
      </c>
      <c r="N180" s="49">
        <f>IF(OR(I180="",J180=""),"",J180-I180)</f>
        <v/>
      </c>
      <c r="O180" s="48">
        <f>TEXT(L180,"mmm-yyyy")</f>
        <v/>
      </c>
      <c r="P180" s="48">
        <f>_xlfn.IFS(ISNUMBER(SEARCH("data analy",B180)),"Data Analyst",ISNUMBER(SEARCH("business analy",B180)),"Business Analyst",OR(ISNUMBER(SEARCH("developer",B180)),ISNUMBER(SEARCH("software engineer",B180)),ISNUMBER(SEARCH("programmer",B180))),"Software Developer",ISNUMBER(SEARCH("business development",B180)),"Business Development",ISNUMBER(SEARCH("sales",B180)),"Sales Executive",ISNUMBER(SEARCH("marketing",B180)),"Marketing Executive",OR(ISNUMBER(SEARCH("hr ",B180)),ISNUMBER(SEARCH("recruit",B180)),ISNUMBER(SEARCH("human resource",B180))),"HR / Recruiter",OR(ISNUMBER(SEARCH("account",B180)),ISNUMBER(SEARCH("finance",B180)),ISNUMBER(SEARCH("tax",B180)),ISNUMBER(SEARCH("audit",B180))),"Accountant / Finance",OR(ISNUMBER(SEARCH("customer service",B180)),ISNUMBER(SEARCH("customer support",B180)),ISNUMBER(SEARCH("customer care",B180)),ISNUMBER(SEARCH("voice process",B180)),ISNUMBER(SEARCH("bpo",B180))),"Customer Support",ISNUMBER(SEARCH("engineer",B180)),"Engineer (Technical)",ISNUMBER(SEARCH("manager",B180)),"Manager",OR(ISNUMBER(SEARCH("teacher",B180)),ISNUMBER(SEARCH("trainer",B180)),ISNUMBER(SEARCH("faculty",B180))),"Teacher / Trainer",OR(ISNUMBER(SEARCH("doctor",B180)),ISNUMBER(SEARCH("nurse",B180)),ISNUMBER(SEARCH("medical",B180)),ISNUMBER(SEARCH("pharma",B180)),ISNUMBER(SEARCH("clinical",B180))),"Healthcare",TRUE,"Other")</f>
        <v/>
      </c>
      <c r="Q180" s="48">
        <f>IF(COUNTIFS($B$11:B180,B180,$C$11:C180,C180,$D$11:D180,D180,$L$11:L180,L180)&gt;1,"Duplicate","Unique")</f>
        <v/>
      </c>
    </row>
    <row r="181">
      <c r="A181" s="48">
        <f>Raw_Data!A172</f>
        <v/>
      </c>
      <c r="B181" s="48">
        <f>PROPER(TRIM(Raw_Data!B172))</f>
        <v/>
      </c>
      <c r="C181" s="48">
        <f>TRIM(Raw_Data!C172)</f>
        <v/>
      </c>
      <c r="D181" s="48">
        <f>IF(PROPER(TRIM(Raw_Data!D172))="Bangalore","Bengaluru",IF(PROPER(TRIM(Raw_Data!D172))="Gurgaon","Gurugram",IF(OR(PROPER(TRIM(Raw_Data!D172))="New Delhi",PROPER(TRIM(Raw_Data!D172))="Delhi"),"Delhi",PROPER(TRIM(Raw_Data!D172)))))</f>
        <v/>
      </c>
      <c r="E181" s="48">
        <f>Raw_Data!E172</f>
        <v/>
      </c>
      <c r="F181" s="48">
        <f>IF(TRIM(Raw_Data!F172&amp;"")="","Not Specified",Raw_Data!F172)</f>
        <v/>
      </c>
      <c r="G181" s="48">
        <f>Raw_Data!G172</f>
        <v/>
      </c>
      <c r="H181" s="48">
        <f>Raw_Data!H172</f>
        <v/>
      </c>
      <c r="I181" s="49">
        <f>IF(Raw_Data!I172="","",Raw_Data!I172)</f>
        <v/>
      </c>
      <c r="J181" s="49">
        <f>IF(Raw_Data!J172="","",Raw_Data!J172)</f>
        <v/>
      </c>
      <c r="K181" s="48">
        <f>IF(TRIM(Raw_Data!K172&amp;"")="","Not Specified",Raw_Data!K172)</f>
        <v/>
      </c>
      <c r="L181" s="56">
        <f>Raw_Data!L172</f>
        <v/>
      </c>
      <c r="M181" s="49">
        <f>IF(OR(I181="",J181=""),"",(I181+J181)/2)</f>
        <v/>
      </c>
      <c r="N181" s="49">
        <f>IF(OR(I181="",J181=""),"",J181-I181)</f>
        <v/>
      </c>
      <c r="O181" s="48">
        <f>TEXT(L181,"mmm-yyyy")</f>
        <v/>
      </c>
      <c r="P181" s="48">
        <f>_xlfn.IFS(ISNUMBER(SEARCH("data analy",B181)),"Data Analyst",ISNUMBER(SEARCH("business analy",B181)),"Business Analyst",OR(ISNUMBER(SEARCH("developer",B181)),ISNUMBER(SEARCH("software engineer",B181)),ISNUMBER(SEARCH("programmer",B181))),"Software Developer",ISNUMBER(SEARCH("business development",B181)),"Business Development",ISNUMBER(SEARCH("sales",B181)),"Sales Executive",ISNUMBER(SEARCH("marketing",B181)),"Marketing Executive",OR(ISNUMBER(SEARCH("hr ",B181)),ISNUMBER(SEARCH("recruit",B181)),ISNUMBER(SEARCH("human resource",B181))),"HR / Recruiter",OR(ISNUMBER(SEARCH("account",B181)),ISNUMBER(SEARCH("finance",B181)),ISNUMBER(SEARCH("tax",B181)),ISNUMBER(SEARCH("audit",B181))),"Accountant / Finance",OR(ISNUMBER(SEARCH("customer service",B181)),ISNUMBER(SEARCH("customer support",B181)),ISNUMBER(SEARCH("customer care",B181)),ISNUMBER(SEARCH("voice process",B181)),ISNUMBER(SEARCH("bpo",B181))),"Customer Support",ISNUMBER(SEARCH("engineer",B181)),"Engineer (Technical)",ISNUMBER(SEARCH("manager",B181)),"Manager",OR(ISNUMBER(SEARCH("teacher",B181)),ISNUMBER(SEARCH("trainer",B181)),ISNUMBER(SEARCH("faculty",B181))),"Teacher / Trainer",OR(ISNUMBER(SEARCH("doctor",B181)),ISNUMBER(SEARCH("nurse",B181)),ISNUMBER(SEARCH("medical",B181)),ISNUMBER(SEARCH("pharma",B181)),ISNUMBER(SEARCH("clinical",B181))),"Healthcare",TRUE,"Other")</f>
        <v/>
      </c>
      <c r="Q181" s="48">
        <f>IF(COUNTIFS($B$11:B181,B181,$C$11:C181,C181,$D$11:D181,D181,$L$11:L181,L181)&gt;1,"Duplicate","Unique")</f>
        <v/>
      </c>
    </row>
    <row r="182">
      <c r="A182" s="48">
        <f>Raw_Data!A173</f>
        <v/>
      </c>
      <c r="B182" s="48">
        <f>PROPER(TRIM(Raw_Data!B173))</f>
        <v/>
      </c>
      <c r="C182" s="48">
        <f>TRIM(Raw_Data!C173)</f>
        <v/>
      </c>
      <c r="D182" s="48">
        <f>IF(PROPER(TRIM(Raw_Data!D173))="Bangalore","Bengaluru",IF(PROPER(TRIM(Raw_Data!D173))="Gurgaon","Gurugram",IF(OR(PROPER(TRIM(Raw_Data!D173))="New Delhi",PROPER(TRIM(Raw_Data!D173))="Delhi"),"Delhi",PROPER(TRIM(Raw_Data!D173)))))</f>
        <v/>
      </c>
      <c r="E182" s="48">
        <f>Raw_Data!E173</f>
        <v/>
      </c>
      <c r="F182" s="48">
        <f>IF(TRIM(Raw_Data!F173&amp;"")="","Not Specified",Raw_Data!F173)</f>
        <v/>
      </c>
      <c r="G182" s="48">
        <f>Raw_Data!G173</f>
        <v/>
      </c>
      <c r="H182" s="48">
        <f>Raw_Data!H173</f>
        <v/>
      </c>
      <c r="I182" s="49">
        <f>IF(Raw_Data!I173="","",Raw_Data!I173)</f>
        <v/>
      </c>
      <c r="J182" s="49">
        <f>IF(Raw_Data!J173="","",Raw_Data!J173)</f>
        <v/>
      </c>
      <c r="K182" s="48">
        <f>IF(TRIM(Raw_Data!K173&amp;"")="","Not Specified",Raw_Data!K173)</f>
        <v/>
      </c>
      <c r="L182" s="56">
        <f>Raw_Data!L173</f>
        <v/>
      </c>
      <c r="M182" s="49">
        <f>IF(OR(I182="",J182=""),"",(I182+J182)/2)</f>
        <v/>
      </c>
      <c r="N182" s="49">
        <f>IF(OR(I182="",J182=""),"",J182-I182)</f>
        <v/>
      </c>
      <c r="O182" s="48">
        <f>TEXT(L182,"mmm-yyyy")</f>
        <v/>
      </c>
      <c r="P182" s="48">
        <f>_xlfn.IFS(ISNUMBER(SEARCH("data analy",B182)),"Data Analyst",ISNUMBER(SEARCH("business analy",B182)),"Business Analyst",OR(ISNUMBER(SEARCH("developer",B182)),ISNUMBER(SEARCH("software engineer",B182)),ISNUMBER(SEARCH("programmer",B182))),"Software Developer",ISNUMBER(SEARCH("business development",B182)),"Business Development",ISNUMBER(SEARCH("sales",B182)),"Sales Executive",ISNUMBER(SEARCH("marketing",B182)),"Marketing Executive",OR(ISNUMBER(SEARCH("hr ",B182)),ISNUMBER(SEARCH("recruit",B182)),ISNUMBER(SEARCH("human resource",B182))),"HR / Recruiter",OR(ISNUMBER(SEARCH("account",B182)),ISNUMBER(SEARCH("finance",B182)),ISNUMBER(SEARCH("tax",B182)),ISNUMBER(SEARCH("audit",B182))),"Accountant / Finance",OR(ISNUMBER(SEARCH("customer service",B182)),ISNUMBER(SEARCH("customer support",B182)),ISNUMBER(SEARCH("customer care",B182)),ISNUMBER(SEARCH("voice process",B182)),ISNUMBER(SEARCH("bpo",B182))),"Customer Support",ISNUMBER(SEARCH("engineer",B182)),"Engineer (Technical)",ISNUMBER(SEARCH("manager",B182)),"Manager",OR(ISNUMBER(SEARCH("teacher",B182)),ISNUMBER(SEARCH("trainer",B182)),ISNUMBER(SEARCH("faculty",B182))),"Teacher / Trainer",OR(ISNUMBER(SEARCH("doctor",B182)),ISNUMBER(SEARCH("nurse",B182)),ISNUMBER(SEARCH("medical",B182)),ISNUMBER(SEARCH("pharma",B182)),ISNUMBER(SEARCH("clinical",B182))),"Healthcare",TRUE,"Other")</f>
        <v/>
      </c>
      <c r="Q182" s="48">
        <f>IF(COUNTIFS($B$11:B182,B182,$C$11:C182,C182,$D$11:D182,D182,$L$11:L182,L182)&gt;1,"Duplicate","Unique")</f>
        <v/>
      </c>
    </row>
    <row r="183">
      <c r="A183" s="48">
        <f>Raw_Data!A174</f>
        <v/>
      </c>
      <c r="B183" s="48">
        <f>PROPER(TRIM(Raw_Data!B174))</f>
        <v/>
      </c>
      <c r="C183" s="48">
        <f>TRIM(Raw_Data!C174)</f>
        <v/>
      </c>
      <c r="D183" s="48">
        <f>IF(PROPER(TRIM(Raw_Data!D174))="Bangalore","Bengaluru",IF(PROPER(TRIM(Raw_Data!D174))="Gurgaon","Gurugram",IF(OR(PROPER(TRIM(Raw_Data!D174))="New Delhi",PROPER(TRIM(Raw_Data!D174))="Delhi"),"Delhi",PROPER(TRIM(Raw_Data!D174)))))</f>
        <v/>
      </c>
      <c r="E183" s="48">
        <f>Raw_Data!E174</f>
        <v/>
      </c>
      <c r="F183" s="48">
        <f>IF(TRIM(Raw_Data!F174&amp;"")="","Not Specified",Raw_Data!F174)</f>
        <v/>
      </c>
      <c r="G183" s="48">
        <f>Raw_Data!G174</f>
        <v/>
      </c>
      <c r="H183" s="48">
        <f>Raw_Data!H174</f>
        <v/>
      </c>
      <c r="I183" s="49">
        <f>IF(Raw_Data!I174="","",Raw_Data!I174)</f>
        <v/>
      </c>
      <c r="J183" s="49">
        <f>IF(Raw_Data!J174="","",Raw_Data!J174)</f>
        <v/>
      </c>
      <c r="K183" s="48">
        <f>IF(TRIM(Raw_Data!K174&amp;"")="","Not Specified",Raw_Data!K174)</f>
        <v/>
      </c>
      <c r="L183" s="56">
        <f>Raw_Data!L174</f>
        <v/>
      </c>
      <c r="M183" s="49">
        <f>IF(OR(I183="",J183=""),"",(I183+J183)/2)</f>
        <v/>
      </c>
      <c r="N183" s="49">
        <f>IF(OR(I183="",J183=""),"",J183-I183)</f>
        <v/>
      </c>
      <c r="O183" s="48">
        <f>TEXT(L183,"mmm-yyyy")</f>
        <v/>
      </c>
      <c r="P183" s="48">
        <f>_xlfn.IFS(ISNUMBER(SEARCH("data analy",B183)),"Data Analyst",ISNUMBER(SEARCH("business analy",B183)),"Business Analyst",OR(ISNUMBER(SEARCH("developer",B183)),ISNUMBER(SEARCH("software engineer",B183)),ISNUMBER(SEARCH("programmer",B183))),"Software Developer",ISNUMBER(SEARCH("business development",B183)),"Business Development",ISNUMBER(SEARCH("sales",B183)),"Sales Executive",ISNUMBER(SEARCH("marketing",B183)),"Marketing Executive",OR(ISNUMBER(SEARCH("hr ",B183)),ISNUMBER(SEARCH("recruit",B183)),ISNUMBER(SEARCH("human resource",B183))),"HR / Recruiter",OR(ISNUMBER(SEARCH("account",B183)),ISNUMBER(SEARCH("finance",B183)),ISNUMBER(SEARCH("tax",B183)),ISNUMBER(SEARCH("audit",B183))),"Accountant / Finance",OR(ISNUMBER(SEARCH("customer service",B183)),ISNUMBER(SEARCH("customer support",B183)),ISNUMBER(SEARCH("customer care",B183)),ISNUMBER(SEARCH("voice process",B183)),ISNUMBER(SEARCH("bpo",B183))),"Customer Support",ISNUMBER(SEARCH("engineer",B183)),"Engineer (Technical)",ISNUMBER(SEARCH("manager",B183)),"Manager",OR(ISNUMBER(SEARCH("teacher",B183)),ISNUMBER(SEARCH("trainer",B183)),ISNUMBER(SEARCH("faculty",B183))),"Teacher / Trainer",OR(ISNUMBER(SEARCH("doctor",B183)),ISNUMBER(SEARCH("nurse",B183)),ISNUMBER(SEARCH("medical",B183)),ISNUMBER(SEARCH("pharma",B183)),ISNUMBER(SEARCH("clinical",B183))),"Healthcare",TRUE,"Other")</f>
        <v/>
      </c>
      <c r="Q183" s="48">
        <f>IF(COUNTIFS($B$11:B183,B183,$C$11:C183,C183,$D$11:D183,D183,$L$11:L183,L183)&gt;1,"Duplicate","Unique")</f>
        <v/>
      </c>
    </row>
    <row r="184">
      <c r="A184" s="48">
        <f>Raw_Data!A175</f>
        <v/>
      </c>
      <c r="B184" s="48">
        <f>PROPER(TRIM(Raw_Data!B175))</f>
        <v/>
      </c>
      <c r="C184" s="48">
        <f>TRIM(Raw_Data!C175)</f>
        <v/>
      </c>
      <c r="D184" s="48">
        <f>IF(PROPER(TRIM(Raw_Data!D175))="Bangalore","Bengaluru",IF(PROPER(TRIM(Raw_Data!D175))="Gurgaon","Gurugram",IF(OR(PROPER(TRIM(Raw_Data!D175))="New Delhi",PROPER(TRIM(Raw_Data!D175))="Delhi"),"Delhi",PROPER(TRIM(Raw_Data!D175)))))</f>
        <v/>
      </c>
      <c r="E184" s="48">
        <f>Raw_Data!E175</f>
        <v/>
      </c>
      <c r="F184" s="48">
        <f>IF(TRIM(Raw_Data!F175&amp;"")="","Not Specified",Raw_Data!F175)</f>
        <v/>
      </c>
      <c r="G184" s="48">
        <f>Raw_Data!G175</f>
        <v/>
      </c>
      <c r="H184" s="48">
        <f>Raw_Data!H175</f>
        <v/>
      </c>
      <c r="I184" s="49">
        <f>IF(Raw_Data!I175="","",Raw_Data!I175)</f>
        <v/>
      </c>
      <c r="J184" s="49">
        <f>IF(Raw_Data!J175="","",Raw_Data!J175)</f>
        <v/>
      </c>
      <c r="K184" s="48">
        <f>IF(TRIM(Raw_Data!K175&amp;"")="","Not Specified",Raw_Data!K175)</f>
        <v/>
      </c>
      <c r="L184" s="56">
        <f>Raw_Data!L175</f>
        <v/>
      </c>
      <c r="M184" s="49">
        <f>IF(OR(I184="",J184=""),"",(I184+J184)/2)</f>
        <v/>
      </c>
      <c r="N184" s="49">
        <f>IF(OR(I184="",J184=""),"",J184-I184)</f>
        <v/>
      </c>
      <c r="O184" s="48">
        <f>TEXT(L184,"mmm-yyyy")</f>
        <v/>
      </c>
      <c r="P184" s="48">
        <f>_xlfn.IFS(ISNUMBER(SEARCH("data analy",B184)),"Data Analyst",ISNUMBER(SEARCH("business analy",B184)),"Business Analyst",OR(ISNUMBER(SEARCH("developer",B184)),ISNUMBER(SEARCH("software engineer",B184)),ISNUMBER(SEARCH("programmer",B184))),"Software Developer",ISNUMBER(SEARCH("business development",B184)),"Business Development",ISNUMBER(SEARCH("sales",B184)),"Sales Executive",ISNUMBER(SEARCH("marketing",B184)),"Marketing Executive",OR(ISNUMBER(SEARCH("hr ",B184)),ISNUMBER(SEARCH("recruit",B184)),ISNUMBER(SEARCH("human resource",B184))),"HR / Recruiter",OR(ISNUMBER(SEARCH("account",B184)),ISNUMBER(SEARCH("finance",B184)),ISNUMBER(SEARCH("tax",B184)),ISNUMBER(SEARCH("audit",B184))),"Accountant / Finance",OR(ISNUMBER(SEARCH("customer service",B184)),ISNUMBER(SEARCH("customer support",B184)),ISNUMBER(SEARCH("customer care",B184)),ISNUMBER(SEARCH("voice process",B184)),ISNUMBER(SEARCH("bpo",B184))),"Customer Support",ISNUMBER(SEARCH("engineer",B184)),"Engineer (Technical)",ISNUMBER(SEARCH("manager",B184)),"Manager",OR(ISNUMBER(SEARCH("teacher",B184)),ISNUMBER(SEARCH("trainer",B184)),ISNUMBER(SEARCH("faculty",B184))),"Teacher / Trainer",OR(ISNUMBER(SEARCH("doctor",B184)),ISNUMBER(SEARCH("nurse",B184)),ISNUMBER(SEARCH("medical",B184)),ISNUMBER(SEARCH("pharma",B184)),ISNUMBER(SEARCH("clinical",B184))),"Healthcare",TRUE,"Other")</f>
        <v/>
      </c>
      <c r="Q184" s="48">
        <f>IF(COUNTIFS($B$11:B184,B184,$C$11:C184,C184,$D$11:D184,D184,$L$11:L184,L184)&gt;1,"Duplicate","Unique")</f>
        <v/>
      </c>
    </row>
    <row r="185">
      <c r="A185" s="48">
        <f>Raw_Data!A176</f>
        <v/>
      </c>
      <c r="B185" s="48">
        <f>PROPER(TRIM(Raw_Data!B176))</f>
        <v/>
      </c>
      <c r="C185" s="48">
        <f>TRIM(Raw_Data!C176)</f>
        <v/>
      </c>
      <c r="D185" s="48">
        <f>IF(PROPER(TRIM(Raw_Data!D176))="Bangalore","Bengaluru",IF(PROPER(TRIM(Raw_Data!D176))="Gurgaon","Gurugram",IF(OR(PROPER(TRIM(Raw_Data!D176))="New Delhi",PROPER(TRIM(Raw_Data!D176))="Delhi"),"Delhi",PROPER(TRIM(Raw_Data!D176)))))</f>
        <v/>
      </c>
      <c r="E185" s="48">
        <f>Raw_Data!E176</f>
        <v/>
      </c>
      <c r="F185" s="48">
        <f>IF(TRIM(Raw_Data!F176&amp;"")="","Not Specified",Raw_Data!F176)</f>
        <v/>
      </c>
      <c r="G185" s="48">
        <f>Raw_Data!G176</f>
        <v/>
      </c>
      <c r="H185" s="48">
        <f>Raw_Data!H176</f>
        <v/>
      </c>
      <c r="I185" s="49">
        <f>IF(Raw_Data!I176="","",Raw_Data!I176)</f>
        <v/>
      </c>
      <c r="J185" s="49">
        <f>IF(Raw_Data!J176="","",Raw_Data!J176)</f>
        <v/>
      </c>
      <c r="K185" s="48">
        <f>IF(TRIM(Raw_Data!K176&amp;"")="","Not Specified",Raw_Data!K176)</f>
        <v/>
      </c>
      <c r="L185" s="56">
        <f>Raw_Data!L176</f>
        <v/>
      </c>
      <c r="M185" s="49">
        <f>IF(OR(I185="",J185=""),"",(I185+J185)/2)</f>
        <v/>
      </c>
      <c r="N185" s="49">
        <f>IF(OR(I185="",J185=""),"",J185-I185)</f>
        <v/>
      </c>
      <c r="O185" s="48">
        <f>TEXT(L185,"mmm-yyyy")</f>
        <v/>
      </c>
      <c r="P185" s="48">
        <f>_xlfn.IFS(ISNUMBER(SEARCH("data analy",B185)),"Data Analyst",ISNUMBER(SEARCH("business analy",B185)),"Business Analyst",OR(ISNUMBER(SEARCH("developer",B185)),ISNUMBER(SEARCH("software engineer",B185)),ISNUMBER(SEARCH("programmer",B185))),"Software Developer",ISNUMBER(SEARCH("business development",B185)),"Business Development",ISNUMBER(SEARCH("sales",B185)),"Sales Executive",ISNUMBER(SEARCH("marketing",B185)),"Marketing Executive",OR(ISNUMBER(SEARCH("hr ",B185)),ISNUMBER(SEARCH("recruit",B185)),ISNUMBER(SEARCH("human resource",B185))),"HR / Recruiter",OR(ISNUMBER(SEARCH("account",B185)),ISNUMBER(SEARCH("finance",B185)),ISNUMBER(SEARCH("tax",B185)),ISNUMBER(SEARCH("audit",B185))),"Accountant / Finance",OR(ISNUMBER(SEARCH("customer service",B185)),ISNUMBER(SEARCH("customer support",B185)),ISNUMBER(SEARCH("customer care",B185)),ISNUMBER(SEARCH("voice process",B185)),ISNUMBER(SEARCH("bpo",B185))),"Customer Support",ISNUMBER(SEARCH("engineer",B185)),"Engineer (Technical)",ISNUMBER(SEARCH("manager",B185)),"Manager",OR(ISNUMBER(SEARCH("teacher",B185)),ISNUMBER(SEARCH("trainer",B185)),ISNUMBER(SEARCH("faculty",B185))),"Teacher / Trainer",OR(ISNUMBER(SEARCH("doctor",B185)),ISNUMBER(SEARCH("nurse",B185)),ISNUMBER(SEARCH("medical",B185)),ISNUMBER(SEARCH("pharma",B185)),ISNUMBER(SEARCH("clinical",B185))),"Healthcare",TRUE,"Other")</f>
        <v/>
      </c>
      <c r="Q185" s="48">
        <f>IF(COUNTIFS($B$11:B185,B185,$C$11:C185,C185,$D$11:D185,D185,$L$11:L185,L185)&gt;1,"Duplicate","Unique")</f>
        <v/>
      </c>
    </row>
    <row r="186">
      <c r="A186" s="48">
        <f>Raw_Data!A177</f>
        <v/>
      </c>
      <c r="B186" s="48">
        <f>PROPER(TRIM(Raw_Data!B177))</f>
        <v/>
      </c>
      <c r="C186" s="48">
        <f>TRIM(Raw_Data!C177)</f>
        <v/>
      </c>
      <c r="D186" s="48">
        <f>IF(PROPER(TRIM(Raw_Data!D177))="Bangalore","Bengaluru",IF(PROPER(TRIM(Raw_Data!D177))="Gurgaon","Gurugram",IF(OR(PROPER(TRIM(Raw_Data!D177))="New Delhi",PROPER(TRIM(Raw_Data!D177))="Delhi"),"Delhi",PROPER(TRIM(Raw_Data!D177)))))</f>
        <v/>
      </c>
      <c r="E186" s="48">
        <f>Raw_Data!E177</f>
        <v/>
      </c>
      <c r="F186" s="48">
        <f>IF(TRIM(Raw_Data!F177&amp;"")="","Not Specified",Raw_Data!F177)</f>
        <v/>
      </c>
      <c r="G186" s="48">
        <f>Raw_Data!G177</f>
        <v/>
      </c>
      <c r="H186" s="48">
        <f>Raw_Data!H177</f>
        <v/>
      </c>
      <c r="I186" s="49">
        <f>IF(Raw_Data!I177="","",Raw_Data!I177)</f>
        <v/>
      </c>
      <c r="J186" s="49">
        <f>IF(Raw_Data!J177="","",Raw_Data!J177)</f>
        <v/>
      </c>
      <c r="K186" s="48">
        <f>IF(TRIM(Raw_Data!K177&amp;"")="","Not Specified",Raw_Data!K177)</f>
        <v/>
      </c>
      <c r="L186" s="56">
        <f>Raw_Data!L177</f>
        <v/>
      </c>
      <c r="M186" s="49">
        <f>IF(OR(I186="",J186=""),"",(I186+J186)/2)</f>
        <v/>
      </c>
      <c r="N186" s="49">
        <f>IF(OR(I186="",J186=""),"",J186-I186)</f>
        <v/>
      </c>
      <c r="O186" s="48">
        <f>TEXT(L186,"mmm-yyyy")</f>
        <v/>
      </c>
      <c r="P186" s="48">
        <f>_xlfn.IFS(ISNUMBER(SEARCH("data analy",B186)),"Data Analyst",ISNUMBER(SEARCH("business analy",B186)),"Business Analyst",OR(ISNUMBER(SEARCH("developer",B186)),ISNUMBER(SEARCH("software engineer",B186)),ISNUMBER(SEARCH("programmer",B186))),"Software Developer",ISNUMBER(SEARCH("business development",B186)),"Business Development",ISNUMBER(SEARCH("sales",B186)),"Sales Executive",ISNUMBER(SEARCH("marketing",B186)),"Marketing Executive",OR(ISNUMBER(SEARCH("hr ",B186)),ISNUMBER(SEARCH("recruit",B186)),ISNUMBER(SEARCH("human resource",B186))),"HR / Recruiter",OR(ISNUMBER(SEARCH("account",B186)),ISNUMBER(SEARCH("finance",B186)),ISNUMBER(SEARCH("tax",B186)),ISNUMBER(SEARCH("audit",B186))),"Accountant / Finance",OR(ISNUMBER(SEARCH("customer service",B186)),ISNUMBER(SEARCH("customer support",B186)),ISNUMBER(SEARCH("customer care",B186)),ISNUMBER(SEARCH("voice process",B186)),ISNUMBER(SEARCH("bpo",B186))),"Customer Support",ISNUMBER(SEARCH("engineer",B186)),"Engineer (Technical)",ISNUMBER(SEARCH("manager",B186)),"Manager",OR(ISNUMBER(SEARCH("teacher",B186)),ISNUMBER(SEARCH("trainer",B186)),ISNUMBER(SEARCH("faculty",B186))),"Teacher / Trainer",OR(ISNUMBER(SEARCH("doctor",B186)),ISNUMBER(SEARCH("nurse",B186)),ISNUMBER(SEARCH("medical",B186)),ISNUMBER(SEARCH("pharma",B186)),ISNUMBER(SEARCH("clinical",B186))),"Healthcare",TRUE,"Other")</f>
        <v/>
      </c>
      <c r="Q186" s="48">
        <f>IF(COUNTIFS($B$11:B186,B186,$C$11:C186,C186,$D$11:D186,D186,$L$11:L186,L186)&gt;1,"Duplicate","Unique")</f>
        <v/>
      </c>
    </row>
    <row r="187">
      <c r="A187" s="48">
        <f>Raw_Data!A178</f>
        <v/>
      </c>
      <c r="B187" s="48">
        <f>PROPER(TRIM(Raw_Data!B178))</f>
        <v/>
      </c>
      <c r="C187" s="48">
        <f>TRIM(Raw_Data!C178)</f>
        <v/>
      </c>
      <c r="D187" s="48">
        <f>IF(PROPER(TRIM(Raw_Data!D178))="Bangalore","Bengaluru",IF(PROPER(TRIM(Raw_Data!D178))="Gurgaon","Gurugram",IF(OR(PROPER(TRIM(Raw_Data!D178))="New Delhi",PROPER(TRIM(Raw_Data!D178))="Delhi"),"Delhi",PROPER(TRIM(Raw_Data!D178)))))</f>
        <v/>
      </c>
      <c r="E187" s="48">
        <f>Raw_Data!E178</f>
        <v/>
      </c>
      <c r="F187" s="48">
        <f>IF(TRIM(Raw_Data!F178&amp;"")="","Not Specified",Raw_Data!F178)</f>
        <v/>
      </c>
      <c r="G187" s="48">
        <f>Raw_Data!G178</f>
        <v/>
      </c>
      <c r="H187" s="48">
        <f>Raw_Data!H178</f>
        <v/>
      </c>
      <c r="I187" s="49">
        <f>IF(Raw_Data!I178="","",Raw_Data!I178)</f>
        <v/>
      </c>
      <c r="J187" s="49">
        <f>IF(Raw_Data!J178="","",Raw_Data!J178)</f>
        <v/>
      </c>
      <c r="K187" s="48">
        <f>IF(TRIM(Raw_Data!K178&amp;"")="","Not Specified",Raw_Data!K178)</f>
        <v/>
      </c>
      <c r="L187" s="56">
        <f>Raw_Data!L178</f>
        <v/>
      </c>
      <c r="M187" s="49">
        <f>IF(OR(I187="",J187=""),"",(I187+J187)/2)</f>
        <v/>
      </c>
      <c r="N187" s="49">
        <f>IF(OR(I187="",J187=""),"",J187-I187)</f>
        <v/>
      </c>
      <c r="O187" s="48">
        <f>TEXT(L187,"mmm-yyyy")</f>
        <v/>
      </c>
      <c r="P187" s="48">
        <f>_xlfn.IFS(ISNUMBER(SEARCH("data analy",B187)),"Data Analyst",ISNUMBER(SEARCH("business analy",B187)),"Business Analyst",OR(ISNUMBER(SEARCH("developer",B187)),ISNUMBER(SEARCH("software engineer",B187)),ISNUMBER(SEARCH("programmer",B187))),"Software Developer",ISNUMBER(SEARCH("business development",B187)),"Business Development",ISNUMBER(SEARCH("sales",B187)),"Sales Executive",ISNUMBER(SEARCH("marketing",B187)),"Marketing Executive",OR(ISNUMBER(SEARCH("hr ",B187)),ISNUMBER(SEARCH("recruit",B187)),ISNUMBER(SEARCH("human resource",B187))),"HR / Recruiter",OR(ISNUMBER(SEARCH("account",B187)),ISNUMBER(SEARCH("finance",B187)),ISNUMBER(SEARCH("tax",B187)),ISNUMBER(SEARCH("audit",B187))),"Accountant / Finance",OR(ISNUMBER(SEARCH("customer service",B187)),ISNUMBER(SEARCH("customer support",B187)),ISNUMBER(SEARCH("customer care",B187)),ISNUMBER(SEARCH("voice process",B187)),ISNUMBER(SEARCH("bpo",B187))),"Customer Support",ISNUMBER(SEARCH("engineer",B187)),"Engineer (Technical)",ISNUMBER(SEARCH("manager",B187)),"Manager",OR(ISNUMBER(SEARCH("teacher",B187)),ISNUMBER(SEARCH("trainer",B187)),ISNUMBER(SEARCH("faculty",B187))),"Teacher / Trainer",OR(ISNUMBER(SEARCH("doctor",B187)),ISNUMBER(SEARCH("nurse",B187)),ISNUMBER(SEARCH("medical",B187)),ISNUMBER(SEARCH("pharma",B187)),ISNUMBER(SEARCH("clinical",B187))),"Healthcare",TRUE,"Other")</f>
        <v/>
      </c>
      <c r="Q187" s="48">
        <f>IF(COUNTIFS($B$11:B187,B187,$C$11:C187,C187,$D$11:D187,D187,$L$11:L187,L187)&gt;1,"Duplicate","Unique")</f>
        <v/>
      </c>
    </row>
    <row r="188">
      <c r="A188" s="48">
        <f>Raw_Data!A179</f>
        <v/>
      </c>
      <c r="B188" s="48">
        <f>PROPER(TRIM(Raw_Data!B179))</f>
        <v/>
      </c>
      <c r="C188" s="48">
        <f>TRIM(Raw_Data!C179)</f>
        <v/>
      </c>
      <c r="D188" s="48">
        <f>IF(PROPER(TRIM(Raw_Data!D179))="Bangalore","Bengaluru",IF(PROPER(TRIM(Raw_Data!D179))="Gurgaon","Gurugram",IF(OR(PROPER(TRIM(Raw_Data!D179))="New Delhi",PROPER(TRIM(Raw_Data!D179))="Delhi"),"Delhi",PROPER(TRIM(Raw_Data!D179)))))</f>
        <v/>
      </c>
      <c r="E188" s="48">
        <f>Raw_Data!E179</f>
        <v/>
      </c>
      <c r="F188" s="48">
        <f>IF(TRIM(Raw_Data!F179&amp;"")="","Not Specified",Raw_Data!F179)</f>
        <v/>
      </c>
      <c r="G188" s="48">
        <f>Raw_Data!G179</f>
        <v/>
      </c>
      <c r="H188" s="48">
        <f>Raw_Data!H179</f>
        <v/>
      </c>
      <c r="I188" s="49">
        <f>IF(Raw_Data!I179="","",Raw_Data!I179)</f>
        <v/>
      </c>
      <c r="J188" s="49">
        <f>IF(Raw_Data!J179="","",Raw_Data!J179)</f>
        <v/>
      </c>
      <c r="K188" s="48">
        <f>IF(TRIM(Raw_Data!K179&amp;"")="","Not Specified",Raw_Data!K179)</f>
        <v/>
      </c>
      <c r="L188" s="56">
        <f>Raw_Data!L179</f>
        <v/>
      </c>
      <c r="M188" s="49">
        <f>IF(OR(I188="",J188=""),"",(I188+J188)/2)</f>
        <v/>
      </c>
      <c r="N188" s="49">
        <f>IF(OR(I188="",J188=""),"",J188-I188)</f>
        <v/>
      </c>
      <c r="O188" s="48">
        <f>TEXT(L188,"mmm-yyyy")</f>
        <v/>
      </c>
      <c r="P188" s="48">
        <f>_xlfn.IFS(ISNUMBER(SEARCH("data analy",B188)),"Data Analyst",ISNUMBER(SEARCH("business analy",B188)),"Business Analyst",OR(ISNUMBER(SEARCH("developer",B188)),ISNUMBER(SEARCH("software engineer",B188)),ISNUMBER(SEARCH("programmer",B188))),"Software Developer",ISNUMBER(SEARCH("business development",B188)),"Business Development",ISNUMBER(SEARCH("sales",B188)),"Sales Executive",ISNUMBER(SEARCH("marketing",B188)),"Marketing Executive",OR(ISNUMBER(SEARCH("hr ",B188)),ISNUMBER(SEARCH("recruit",B188)),ISNUMBER(SEARCH("human resource",B188))),"HR / Recruiter",OR(ISNUMBER(SEARCH("account",B188)),ISNUMBER(SEARCH("finance",B188)),ISNUMBER(SEARCH("tax",B188)),ISNUMBER(SEARCH("audit",B188))),"Accountant / Finance",OR(ISNUMBER(SEARCH("customer service",B188)),ISNUMBER(SEARCH("customer support",B188)),ISNUMBER(SEARCH("customer care",B188)),ISNUMBER(SEARCH("voice process",B188)),ISNUMBER(SEARCH("bpo",B188))),"Customer Support",ISNUMBER(SEARCH("engineer",B188)),"Engineer (Technical)",ISNUMBER(SEARCH("manager",B188)),"Manager",OR(ISNUMBER(SEARCH("teacher",B188)),ISNUMBER(SEARCH("trainer",B188)),ISNUMBER(SEARCH("faculty",B188))),"Teacher / Trainer",OR(ISNUMBER(SEARCH("doctor",B188)),ISNUMBER(SEARCH("nurse",B188)),ISNUMBER(SEARCH("medical",B188)),ISNUMBER(SEARCH("pharma",B188)),ISNUMBER(SEARCH("clinical",B188))),"Healthcare",TRUE,"Other")</f>
        <v/>
      </c>
      <c r="Q188" s="48">
        <f>IF(COUNTIFS($B$11:B188,B188,$C$11:C188,C188,$D$11:D188,D188,$L$11:L188,L188)&gt;1,"Duplicate","Unique")</f>
        <v/>
      </c>
    </row>
    <row r="189">
      <c r="A189" s="48">
        <f>Raw_Data!A180</f>
        <v/>
      </c>
      <c r="B189" s="48">
        <f>PROPER(TRIM(Raw_Data!B180))</f>
        <v/>
      </c>
      <c r="C189" s="48">
        <f>TRIM(Raw_Data!C180)</f>
        <v/>
      </c>
      <c r="D189" s="48">
        <f>IF(PROPER(TRIM(Raw_Data!D180))="Bangalore","Bengaluru",IF(PROPER(TRIM(Raw_Data!D180))="Gurgaon","Gurugram",IF(OR(PROPER(TRIM(Raw_Data!D180))="New Delhi",PROPER(TRIM(Raw_Data!D180))="Delhi"),"Delhi",PROPER(TRIM(Raw_Data!D180)))))</f>
        <v/>
      </c>
      <c r="E189" s="48">
        <f>Raw_Data!E180</f>
        <v/>
      </c>
      <c r="F189" s="48">
        <f>IF(TRIM(Raw_Data!F180&amp;"")="","Not Specified",Raw_Data!F180)</f>
        <v/>
      </c>
      <c r="G189" s="48">
        <f>Raw_Data!G180</f>
        <v/>
      </c>
      <c r="H189" s="48">
        <f>Raw_Data!H180</f>
        <v/>
      </c>
      <c r="I189" s="49">
        <f>IF(Raw_Data!I180="","",Raw_Data!I180)</f>
        <v/>
      </c>
      <c r="J189" s="49">
        <f>IF(Raw_Data!J180="","",Raw_Data!J180)</f>
        <v/>
      </c>
      <c r="K189" s="48">
        <f>IF(TRIM(Raw_Data!K180&amp;"")="","Not Specified",Raw_Data!K180)</f>
        <v/>
      </c>
      <c r="L189" s="56">
        <f>Raw_Data!L180</f>
        <v/>
      </c>
      <c r="M189" s="49">
        <f>IF(OR(I189="",J189=""),"",(I189+J189)/2)</f>
        <v/>
      </c>
      <c r="N189" s="49">
        <f>IF(OR(I189="",J189=""),"",J189-I189)</f>
        <v/>
      </c>
      <c r="O189" s="48">
        <f>TEXT(L189,"mmm-yyyy")</f>
        <v/>
      </c>
      <c r="P189" s="48">
        <f>_xlfn.IFS(ISNUMBER(SEARCH("data analy",B189)),"Data Analyst",ISNUMBER(SEARCH("business analy",B189)),"Business Analyst",OR(ISNUMBER(SEARCH("developer",B189)),ISNUMBER(SEARCH("software engineer",B189)),ISNUMBER(SEARCH("programmer",B189))),"Software Developer",ISNUMBER(SEARCH("business development",B189)),"Business Development",ISNUMBER(SEARCH("sales",B189)),"Sales Executive",ISNUMBER(SEARCH("marketing",B189)),"Marketing Executive",OR(ISNUMBER(SEARCH("hr ",B189)),ISNUMBER(SEARCH("recruit",B189)),ISNUMBER(SEARCH("human resource",B189))),"HR / Recruiter",OR(ISNUMBER(SEARCH("account",B189)),ISNUMBER(SEARCH("finance",B189)),ISNUMBER(SEARCH("tax",B189)),ISNUMBER(SEARCH("audit",B189))),"Accountant / Finance",OR(ISNUMBER(SEARCH("customer service",B189)),ISNUMBER(SEARCH("customer support",B189)),ISNUMBER(SEARCH("customer care",B189)),ISNUMBER(SEARCH("voice process",B189)),ISNUMBER(SEARCH("bpo",B189))),"Customer Support",ISNUMBER(SEARCH("engineer",B189)),"Engineer (Technical)",ISNUMBER(SEARCH("manager",B189)),"Manager",OR(ISNUMBER(SEARCH("teacher",B189)),ISNUMBER(SEARCH("trainer",B189)),ISNUMBER(SEARCH("faculty",B189))),"Teacher / Trainer",OR(ISNUMBER(SEARCH("doctor",B189)),ISNUMBER(SEARCH("nurse",B189)),ISNUMBER(SEARCH("medical",B189)),ISNUMBER(SEARCH("pharma",B189)),ISNUMBER(SEARCH("clinical",B189))),"Healthcare",TRUE,"Other")</f>
        <v/>
      </c>
      <c r="Q189" s="48">
        <f>IF(COUNTIFS($B$11:B189,B189,$C$11:C189,C189,$D$11:D189,D189,$L$11:L189,L189)&gt;1,"Duplicate","Unique")</f>
        <v/>
      </c>
    </row>
    <row r="190">
      <c r="A190" s="48">
        <f>Raw_Data!A181</f>
        <v/>
      </c>
      <c r="B190" s="48">
        <f>PROPER(TRIM(Raw_Data!B181))</f>
        <v/>
      </c>
      <c r="C190" s="48">
        <f>TRIM(Raw_Data!C181)</f>
        <v/>
      </c>
      <c r="D190" s="48">
        <f>IF(PROPER(TRIM(Raw_Data!D181))="Bangalore","Bengaluru",IF(PROPER(TRIM(Raw_Data!D181))="Gurgaon","Gurugram",IF(OR(PROPER(TRIM(Raw_Data!D181))="New Delhi",PROPER(TRIM(Raw_Data!D181))="Delhi"),"Delhi",PROPER(TRIM(Raw_Data!D181)))))</f>
        <v/>
      </c>
      <c r="E190" s="48">
        <f>Raw_Data!E181</f>
        <v/>
      </c>
      <c r="F190" s="48">
        <f>IF(TRIM(Raw_Data!F181&amp;"")="","Not Specified",Raw_Data!F181)</f>
        <v/>
      </c>
      <c r="G190" s="48">
        <f>Raw_Data!G181</f>
        <v/>
      </c>
      <c r="H190" s="48">
        <f>Raw_Data!H181</f>
        <v/>
      </c>
      <c r="I190" s="49">
        <f>IF(Raw_Data!I181="","",Raw_Data!I181)</f>
        <v/>
      </c>
      <c r="J190" s="49">
        <f>IF(Raw_Data!J181="","",Raw_Data!J181)</f>
        <v/>
      </c>
      <c r="K190" s="48">
        <f>IF(TRIM(Raw_Data!K181&amp;"")="","Not Specified",Raw_Data!K181)</f>
        <v/>
      </c>
      <c r="L190" s="56">
        <f>Raw_Data!L181</f>
        <v/>
      </c>
      <c r="M190" s="49">
        <f>IF(OR(I190="",J190=""),"",(I190+J190)/2)</f>
        <v/>
      </c>
      <c r="N190" s="49">
        <f>IF(OR(I190="",J190=""),"",J190-I190)</f>
        <v/>
      </c>
      <c r="O190" s="48">
        <f>TEXT(L190,"mmm-yyyy")</f>
        <v/>
      </c>
      <c r="P190" s="48">
        <f>_xlfn.IFS(ISNUMBER(SEARCH("data analy",B190)),"Data Analyst",ISNUMBER(SEARCH("business analy",B190)),"Business Analyst",OR(ISNUMBER(SEARCH("developer",B190)),ISNUMBER(SEARCH("software engineer",B190)),ISNUMBER(SEARCH("programmer",B190))),"Software Developer",ISNUMBER(SEARCH("business development",B190)),"Business Development",ISNUMBER(SEARCH("sales",B190)),"Sales Executive",ISNUMBER(SEARCH("marketing",B190)),"Marketing Executive",OR(ISNUMBER(SEARCH("hr ",B190)),ISNUMBER(SEARCH("recruit",B190)),ISNUMBER(SEARCH("human resource",B190))),"HR / Recruiter",OR(ISNUMBER(SEARCH("account",B190)),ISNUMBER(SEARCH("finance",B190)),ISNUMBER(SEARCH("tax",B190)),ISNUMBER(SEARCH("audit",B190))),"Accountant / Finance",OR(ISNUMBER(SEARCH("customer service",B190)),ISNUMBER(SEARCH("customer support",B190)),ISNUMBER(SEARCH("customer care",B190)),ISNUMBER(SEARCH("voice process",B190)),ISNUMBER(SEARCH("bpo",B190))),"Customer Support",ISNUMBER(SEARCH("engineer",B190)),"Engineer (Technical)",ISNUMBER(SEARCH("manager",B190)),"Manager",OR(ISNUMBER(SEARCH("teacher",B190)),ISNUMBER(SEARCH("trainer",B190)),ISNUMBER(SEARCH("faculty",B190))),"Teacher / Trainer",OR(ISNUMBER(SEARCH("doctor",B190)),ISNUMBER(SEARCH("nurse",B190)),ISNUMBER(SEARCH("medical",B190)),ISNUMBER(SEARCH("pharma",B190)),ISNUMBER(SEARCH("clinical",B190))),"Healthcare",TRUE,"Other")</f>
        <v/>
      </c>
      <c r="Q190" s="48">
        <f>IF(COUNTIFS($B$11:B190,B190,$C$11:C190,C190,$D$11:D190,D190,$L$11:L190,L190)&gt;1,"Duplicate","Unique")</f>
        <v/>
      </c>
    </row>
    <row r="191">
      <c r="A191" s="48">
        <f>Raw_Data!A182</f>
        <v/>
      </c>
      <c r="B191" s="48">
        <f>PROPER(TRIM(Raw_Data!B182))</f>
        <v/>
      </c>
      <c r="C191" s="48">
        <f>TRIM(Raw_Data!C182)</f>
        <v/>
      </c>
      <c r="D191" s="48">
        <f>IF(PROPER(TRIM(Raw_Data!D182))="Bangalore","Bengaluru",IF(PROPER(TRIM(Raw_Data!D182))="Gurgaon","Gurugram",IF(OR(PROPER(TRIM(Raw_Data!D182))="New Delhi",PROPER(TRIM(Raw_Data!D182))="Delhi"),"Delhi",PROPER(TRIM(Raw_Data!D182)))))</f>
        <v/>
      </c>
      <c r="E191" s="48">
        <f>Raw_Data!E182</f>
        <v/>
      </c>
      <c r="F191" s="48">
        <f>IF(TRIM(Raw_Data!F182&amp;"")="","Not Specified",Raw_Data!F182)</f>
        <v/>
      </c>
      <c r="G191" s="48">
        <f>Raw_Data!G182</f>
        <v/>
      </c>
      <c r="H191" s="48">
        <f>Raw_Data!H182</f>
        <v/>
      </c>
      <c r="I191" s="49">
        <f>IF(Raw_Data!I182="","",Raw_Data!I182)</f>
        <v/>
      </c>
      <c r="J191" s="49">
        <f>IF(Raw_Data!J182="","",Raw_Data!J182)</f>
        <v/>
      </c>
      <c r="K191" s="48">
        <f>IF(TRIM(Raw_Data!K182&amp;"")="","Not Specified",Raw_Data!K182)</f>
        <v/>
      </c>
      <c r="L191" s="56">
        <f>Raw_Data!L182</f>
        <v/>
      </c>
      <c r="M191" s="49">
        <f>IF(OR(I191="",J191=""),"",(I191+J191)/2)</f>
        <v/>
      </c>
      <c r="N191" s="49">
        <f>IF(OR(I191="",J191=""),"",J191-I191)</f>
        <v/>
      </c>
      <c r="O191" s="48">
        <f>TEXT(L191,"mmm-yyyy")</f>
        <v/>
      </c>
      <c r="P191" s="48">
        <f>_xlfn.IFS(ISNUMBER(SEARCH("data analy",B191)),"Data Analyst",ISNUMBER(SEARCH("business analy",B191)),"Business Analyst",OR(ISNUMBER(SEARCH("developer",B191)),ISNUMBER(SEARCH("software engineer",B191)),ISNUMBER(SEARCH("programmer",B191))),"Software Developer",ISNUMBER(SEARCH("business development",B191)),"Business Development",ISNUMBER(SEARCH("sales",B191)),"Sales Executive",ISNUMBER(SEARCH("marketing",B191)),"Marketing Executive",OR(ISNUMBER(SEARCH("hr ",B191)),ISNUMBER(SEARCH("recruit",B191)),ISNUMBER(SEARCH("human resource",B191))),"HR / Recruiter",OR(ISNUMBER(SEARCH("account",B191)),ISNUMBER(SEARCH("finance",B191)),ISNUMBER(SEARCH("tax",B191)),ISNUMBER(SEARCH("audit",B191))),"Accountant / Finance",OR(ISNUMBER(SEARCH("customer service",B191)),ISNUMBER(SEARCH("customer support",B191)),ISNUMBER(SEARCH("customer care",B191)),ISNUMBER(SEARCH("voice process",B191)),ISNUMBER(SEARCH("bpo",B191))),"Customer Support",ISNUMBER(SEARCH("engineer",B191)),"Engineer (Technical)",ISNUMBER(SEARCH("manager",B191)),"Manager",OR(ISNUMBER(SEARCH("teacher",B191)),ISNUMBER(SEARCH("trainer",B191)),ISNUMBER(SEARCH("faculty",B191))),"Teacher / Trainer",OR(ISNUMBER(SEARCH("doctor",B191)),ISNUMBER(SEARCH("nurse",B191)),ISNUMBER(SEARCH("medical",B191)),ISNUMBER(SEARCH("pharma",B191)),ISNUMBER(SEARCH("clinical",B191))),"Healthcare",TRUE,"Other")</f>
        <v/>
      </c>
      <c r="Q191" s="48">
        <f>IF(COUNTIFS($B$11:B191,B191,$C$11:C191,C191,$D$11:D191,D191,$L$11:L191,L191)&gt;1,"Duplicate","Unique")</f>
        <v/>
      </c>
    </row>
    <row r="192">
      <c r="A192" s="48">
        <f>Raw_Data!A183</f>
        <v/>
      </c>
      <c r="B192" s="48">
        <f>PROPER(TRIM(Raw_Data!B183))</f>
        <v/>
      </c>
      <c r="C192" s="48">
        <f>TRIM(Raw_Data!C183)</f>
        <v/>
      </c>
      <c r="D192" s="48">
        <f>IF(PROPER(TRIM(Raw_Data!D183))="Bangalore","Bengaluru",IF(PROPER(TRIM(Raw_Data!D183))="Gurgaon","Gurugram",IF(OR(PROPER(TRIM(Raw_Data!D183))="New Delhi",PROPER(TRIM(Raw_Data!D183))="Delhi"),"Delhi",PROPER(TRIM(Raw_Data!D183)))))</f>
        <v/>
      </c>
      <c r="E192" s="48">
        <f>Raw_Data!E183</f>
        <v/>
      </c>
      <c r="F192" s="48">
        <f>IF(TRIM(Raw_Data!F183&amp;"")="","Not Specified",Raw_Data!F183)</f>
        <v/>
      </c>
      <c r="G192" s="48">
        <f>Raw_Data!G183</f>
        <v/>
      </c>
      <c r="H192" s="48">
        <f>Raw_Data!H183</f>
        <v/>
      </c>
      <c r="I192" s="49">
        <f>IF(Raw_Data!I183="","",Raw_Data!I183)</f>
        <v/>
      </c>
      <c r="J192" s="49">
        <f>IF(Raw_Data!J183="","",Raw_Data!J183)</f>
        <v/>
      </c>
      <c r="K192" s="48">
        <f>IF(TRIM(Raw_Data!K183&amp;"")="","Not Specified",Raw_Data!K183)</f>
        <v/>
      </c>
      <c r="L192" s="56">
        <f>Raw_Data!L183</f>
        <v/>
      </c>
      <c r="M192" s="49">
        <f>IF(OR(I192="",J192=""),"",(I192+J192)/2)</f>
        <v/>
      </c>
      <c r="N192" s="49">
        <f>IF(OR(I192="",J192=""),"",J192-I192)</f>
        <v/>
      </c>
      <c r="O192" s="48">
        <f>TEXT(L192,"mmm-yyyy")</f>
        <v/>
      </c>
      <c r="P192" s="48">
        <f>_xlfn.IFS(ISNUMBER(SEARCH("data analy",B192)),"Data Analyst",ISNUMBER(SEARCH("business analy",B192)),"Business Analyst",OR(ISNUMBER(SEARCH("developer",B192)),ISNUMBER(SEARCH("software engineer",B192)),ISNUMBER(SEARCH("programmer",B192))),"Software Developer",ISNUMBER(SEARCH("business development",B192)),"Business Development",ISNUMBER(SEARCH("sales",B192)),"Sales Executive",ISNUMBER(SEARCH("marketing",B192)),"Marketing Executive",OR(ISNUMBER(SEARCH("hr ",B192)),ISNUMBER(SEARCH("recruit",B192)),ISNUMBER(SEARCH("human resource",B192))),"HR / Recruiter",OR(ISNUMBER(SEARCH("account",B192)),ISNUMBER(SEARCH("finance",B192)),ISNUMBER(SEARCH("tax",B192)),ISNUMBER(SEARCH("audit",B192))),"Accountant / Finance",OR(ISNUMBER(SEARCH("customer service",B192)),ISNUMBER(SEARCH("customer support",B192)),ISNUMBER(SEARCH("customer care",B192)),ISNUMBER(SEARCH("voice process",B192)),ISNUMBER(SEARCH("bpo",B192))),"Customer Support",ISNUMBER(SEARCH("engineer",B192)),"Engineer (Technical)",ISNUMBER(SEARCH("manager",B192)),"Manager",OR(ISNUMBER(SEARCH("teacher",B192)),ISNUMBER(SEARCH("trainer",B192)),ISNUMBER(SEARCH("faculty",B192))),"Teacher / Trainer",OR(ISNUMBER(SEARCH("doctor",B192)),ISNUMBER(SEARCH("nurse",B192)),ISNUMBER(SEARCH("medical",B192)),ISNUMBER(SEARCH("pharma",B192)),ISNUMBER(SEARCH("clinical",B192))),"Healthcare",TRUE,"Other")</f>
        <v/>
      </c>
      <c r="Q192" s="48">
        <f>IF(COUNTIFS($B$11:B192,B192,$C$11:C192,C192,$D$11:D192,D192,$L$11:L192,L192)&gt;1,"Duplicate","Unique")</f>
        <v/>
      </c>
    </row>
    <row r="193">
      <c r="A193" s="48">
        <f>Raw_Data!A184</f>
        <v/>
      </c>
      <c r="B193" s="48">
        <f>PROPER(TRIM(Raw_Data!B184))</f>
        <v/>
      </c>
      <c r="C193" s="48">
        <f>TRIM(Raw_Data!C184)</f>
        <v/>
      </c>
      <c r="D193" s="48">
        <f>IF(PROPER(TRIM(Raw_Data!D184))="Bangalore","Bengaluru",IF(PROPER(TRIM(Raw_Data!D184))="Gurgaon","Gurugram",IF(OR(PROPER(TRIM(Raw_Data!D184))="New Delhi",PROPER(TRIM(Raw_Data!D184))="Delhi"),"Delhi",PROPER(TRIM(Raw_Data!D184)))))</f>
        <v/>
      </c>
      <c r="E193" s="48">
        <f>Raw_Data!E184</f>
        <v/>
      </c>
      <c r="F193" s="48">
        <f>IF(TRIM(Raw_Data!F184&amp;"")="","Not Specified",Raw_Data!F184)</f>
        <v/>
      </c>
      <c r="G193" s="48">
        <f>Raw_Data!G184</f>
        <v/>
      </c>
      <c r="H193" s="48">
        <f>Raw_Data!H184</f>
        <v/>
      </c>
      <c r="I193" s="49">
        <f>IF(Raw_Data!I184="","",Raw_Data!I184)</f>
        <v/>
      </c>
      <c r="J193" s="49">
        <f>IF(Raw_Data!J184="","",Raw_Data!J184)</f>
        <v/>
      </c>
      <c r="K193" s="48">
        <f>IF(TRIM(Raw_Data!K184&amp;"")="","Not Specified",Raw_Data!K184)</f>
        <v/>
      </c>
      <c r="L193" s="56">
        <f>Raw_Data!L184</f>
        <v/>
      </c>
      <c r="M193" s="49">
        <f>IF(OR(I193="",J193=""),"",(I193+J193)/2)</f>
        <v/>
      </c>
      <c r="N193" s="49">
        <f>IF(OR(I193="",J193=""),"",J193-I193)</f>
        <v/>
      </c>
      <c r="O193" s="48">
        <f>TEXT(L193,"mmm-yyyy")</f>
        <v/>
      </c>
      <c r="P193" s="48">
        <f>_xlfn.IFS(ISNUMBER(SEARCH("data analy",B193)),"Data Analyst",ISNUMBER(SEARCH("business analy",B193)),"Business Analyst",OR(ISNUMBER(SEARCH("developer",B193)),ISNUMBER(SEARCH("software engineer",B193)),ISNUMBER(SEARCH("programmer",B193))),"Software Developer",ISNUMBER(SEARCH("business development",B193)),"Business Development",ISNUMBER(SEARCH("sales",B193)),"Sales Executive",ISNUMBER(SEARCH("marketing",B193)),"Marketing Executive",OR(ISNUMBER(SEARCH("hr ",B193)),ISNUMBER(SEARCH("recruit",B193)),ISNUMBER(SEARCH("human resource",B193))),"HR / Recruiter",OR(ISNUMBER(SEARCH("account",B193)),ISNUMBER(SEARCH("finance",B193)),ISNUMBER(SEARCH("tax",B193)),ISNUMBER(SEARCH("audit",B193))),"Accountant / Finance",OR(ISNUMBER(SEARCH("customer service",B193)),ISNUMBER(SEARCH("customer support",B193)),ISNUMBER(SEARCH("customer care",B193)),ISNUMBER(SEARCH("voice process",B193)),ISNUMBER(SEARCH("bpo",B193))),"Customer Support",ISNUMBER(SEARCH("engineer",B193)),"Engineer (Technical)",ISNUMBER(SEARCH("manager",B193)),"Manager",OR(ISNUMBER(SEARCH("teacher",B193)),ISNUMBER(SEARCH("trainer",B193)),ISNUMBER(SEARCH("faculty",B193))),"Teacher / Trainer",OR(ISNUMBER(SEARCH("doctor",B193)),ISNUMBER(SEARCH("nurse",B193)),ISNUMBER(SEARCH("medical",B193)),ISNUMBER(SEARCH("pharma",B193)),ISNUMBER(SEARCH("clinical",B193))),"Healthcare",TRUE,"Other")</f>
        <v/>
      </c>
      <c r="Q193" s="48">
        <f>IF(COUNTIFS($B$11:B193,B193,$C$11:C193,C193,$D$11:D193,D193,$L$11:L193,L193)&gt;1,"Duplicate","Unique")</f>
        <v/>
      </c>
    </row>
    <row r="194">
      <c r="A194" s="48">
        <f>Raw_Data!A185</f>
        <v/>
      </c>
      <c r="B194" s="48">
        <f>PROPER(TRIM(Raw_Data!B185))</f>
        <v/>
      </c>
      <c r="C194" s="48">
        <f>TRIM(Raw_Data!C185)</f>
        <v/>
      </c>
      <c r="D194" s="48">
        <f>IF(PROPER(TRIM(Raw_Data!D185))="Bangalore","Bengaluru",IF(PROPER(TRIM(Raw_Data!D185))="Gurgaon","Gurugram",IF(OR(PROPER(TRIM(Raw_Data!D185))="New Delhi",PROPER(TRIM(Raw_Data!D185))="Delhi"),"Delhi",PROPER(TRIM(Raw_Data!D185)))))</f>
        <v/>
      </c>
      <c r="E194" s="48">
        <f>Raw_Data!E185</f>
        <v/>
      </c>
      <c r="F194" s="48">
        <f>IF(TRIM(Raw_Data!F185&amp;"")="","Not Specified",Raw_Data!F185)</f>
        <v/>
      </c>
      <c r="G194" s="48">
        <f>Raw_Data!G185</f>
        <v/>
      </c>
      <c r="H194" s="48">
        <f>Raw_Data!H185</f>
        <v/>
      </c>
      <c r="I194" s="49">
        <f>IF(Raw_Data!I185="","",Raw_Data!I185)</f>
        <v/>
      </c>
      <c r="J194" s="49">
        <f>IF(Raw_Data!J185="","",Raw_Data!J185)</f>
        <v/>
      </c>
      <c r="K194" s="48">
        <f>IF(TRIM(Raw_Data!K185&amp;"")="","Not Specified",Raw_Data!K185)</f>
        <v/>
      </c>
      <c r="L194" s="56">
        <f>Raw_Data!L185</f>
        <v/>
      </c>
      <c r="M194" s="49">
        <f>IF(OR(I194="",J194=""),"",(I194+J194)/2)</f>
        <v/>
      </c>
      <c r="N194" s="49">
        <f>IF(OR(I194="",J194=""),"",J194-I194)</f>
        <v/>
      </c>
      <c r="O194" s="48">
        <f>TEXT(L194,"mmm-yyyy")</f>
        <v/>
      </c>
      <c r="P194" s="48">
        <f>_xlfn.IFS(ISNUMBER(SEARCH("data analy",B194)),"Data Analyst",ISNUMBER(SEARCH("business analy",B194)),"Business Analyst",OR(ISNUMBER(SEARCH("developer",B194)),ISNUMBER(SEARCH("software engineer",B194)),ISNUMBER(SEARCH("programmer",B194))),"Software Developer",ISNUMBER(SEARCH("business development",B194)),"Business Development",ISNUMBER(SEARCH("sales",B194)),"Sales Executive",ISNUMBER(SEARCH("marketing",B194)),"Marketing Executive",OR(ISNUMBER(SEARCH("hr ",B194)),ISNUMBER(SEARCH("recruit",B194)),ISNUMBER(SEARCH("human resource",B194))),"HR / Recruiter",OR(ISNUMBER(SEARCH("account",B194)),ISNUMBER(SEARCH("finance",B194)),ISNUMBER(SEARCH("tax",B194)),ISNUMBER(SEARCH("audit",B194))),"Accountant / Finance",OR(ISNUMBER(SEARCH("customer service",B194)),ISNUMBER(SEARCH("customer support",B194)),ISNUMBER(SEARCH("customer care",B194)),ISNUMBER(SEARCH("voice process",B194)),ISNUMBER(SEARCH("bpo",B194))),"Customer Support",ISNUMBER(SEARCH("engineer",B194)),"Engineer (Technical)",ISNUMBER(SEARCH("manager",B194)),"Manager",OR(ISNUMBER(SEARCH("teacher",B194)),ISNUMBER(SEARCH("trainer",B194)),ISNUMBER(SEARCH("faculty",B194))),"Teacher / Trainer",OR(ISNUMBER(SEARCH("doctor",B194)),ISNUMBER(SEARCH("nurse",B194)),ISNUMBER(SEARCH("medical",B194)),ISNUMBER(SEARCH("pharma",B194)),ISNUMBER(SEARCH("clinical",B194))),"Healthcare",TRUE,"Other")</f>
        <v/>
      </c>
      <c r="Q194" s="48">
        <f>IF(COUNTIFS($B$11:B194,B194,$C$11:C194,C194,$D$11:D194,D194,$L$11:L194,L194)&gt;1,"Duplicate","Unique")</f>
        <v/>
      </c>
    </row>
    <row r="195">
      <c r="A195" s="48">
        <f>Raw_Data!A186</f>
        <v/>
      </c>
      <c r="B195" s="48">
        <f>PROPER(TRIM(Raw_Data!B186))</f>
        <v/>
      </c>
      <c r="C195" s="48">
        <f>TRIM(Raw_Data!C186)</f>
        <v/>
      </c>
      <c r="D195" s="48">
        <f>IF(PROPER(TRIM(Raw_Data!D186))="Bangalore","Bengaluru",IF(PROPER(TRIM(Raw_Data!D186))="Gurgaon","Gurugram",IF(OR(PROPER(TRIM(Raw_Data!D186))="New Delhi",PROPER(TRIM(Raw_Data!D186))="Delhi"),"Delhi",PROPER(TRIM(Raw_Data!D186)))))</f>
        <v/>
      </c>
      <c r="E195" s="48">
        <f>Raw_Data!E186</f>
        <v/>
      </c>
      <c r="F195" s="48">
        <f>IF(TRIM(Raw_Data!F186&amp;"")="","Not Specified",Raw_Data!F186)</f>
        <v/>
      </c>
      <c r="G195" s="48">
        <f>Raw_Data!G186</f>
        <v/>
      </c>
      <c r="H195" s="48">
        <f>Raw_Data!H186</f>
        <v/>
      </c>
      <c r="I195" s="49">
        <f>IF(Raw_Data!I186="","",Raw_Data!I186)</f>
        <v/>
      </c>
      <c r="J195" s="49">
        <f>IF(Raw_Data!J186="","",Raw_Data!J186)</f>
        <v/>
      </c>
      <c r="K195" s="48">
        <f>IF(TRIM(Raw_Data!K186&amp;"")="","Not Specified",Raw_Data!K186)</f>
        <v/>
      </c>
      <c r="L195" s="56">
        <f>Raw_Data!L186</f>
        <v/>
      </c>
      <c r="M195" s="49">
        <f>IF(OR(I195="",J195=""),"",(I195+J195)/2)</f>
        <v/>
      </c>
      <c r="N195" s="49">
        <f>IF(OR(I195="",J195=""),"",J195-I195)</f>
        <v/>
      </c>
      <c r="O195" s="48">
        <f>TEXT(L195,"mmm-yyyy")</f>
        <v/>
      </c>
      <c r="P195" s="48">
        <f>_xlfn.IFS(ISNUMBER(SEARCH("data analy",B195)),"Data Analyst",ISNUMBER(SEARCH("business analy",B195)),"Business Analyst",OR(ISNUMBER(SEARCH("developer",B195)),ISNUMBER(SEARCH("software engineer",B195)),ISNUMBER(SEARCH("programmer",B195))),"Software Developer",ISNUMBER(SEARCH("business development",B195)),"Business Development",ISNUMBER(SEARCH("sales",B195)),"Sales Executive",ISNUMBER(SEARCH("marketing",B195)),"Marketing Executive",OR(ISNUMBER(SEARCH("hr ",B195)),ISNUMBER(SEARCH("recruit",B195)),ISNUMBER(SEARCH("human resource",B195))),"HR / Recruiter",OR(ISNUMBER(SEARCH("account",B195)),ISNUMBER(SEARCH("finance",B195)),ISNUMBER(SEARCH("tax",B195)),ISNUMBER(SEARCH("audit",B195))),"Accountant / Finance",OR(ISNUMBER(SEARCH("customer service",B195)),ISNUMBER(SEARCH("customer support",B195)),ISNUMBER(SEARCH("customer care",B195)),ISNUMBER(SEARCH("voice process",B195)),ISNUMBER(SEARCH("bpo",B195))),"Customer Support",ISNUMBER(SEARCH("engineer",B195)),"Engineer (Technical)",ISNUMBER(SEARCH("manager",B195)),"Manager",OR(ISNUMBER(SEARCH("teacher",B195)),ISNUMBER(SEARCH("trainer",B195)),ISNUMBER(SEARCH("faculty",B195))),"Teacher / Trainer",OR(ISNUMBER(SEARCH("doctor",B195)),ISNUMBER(SEARCH("nurse",B195)),ISNUMBER(SEARCH("medical",B195)),ISNUMBER(SEARCH("pharma",B195)),ISNUMBER(SEARCH("clinical",B195))),"Healthcare",TRUE,"Other")</f>
        <v/>
      </c>
      <c r="Q195" s="48">
        <f>IF(COUNTIFS($B$11:B195,B195,$C$11:C195,C195,$D$11:D195,D195,$L$11:L195,L195)&gt;1,"Duplicate","Unique")</f>
        <v/>
      </c>
    </row>
    <row r="196">
      <c r="A196" s="48">
        <f>Raw_Data!A187</f>
        <v/>
      </c>
      <c r="B196" s="48">
        <f>PROPER(TRIM(Raw_Data!B187))</f>
        <v/>
      </c>
      <c r="C196" s="48">
        <f>TRIM(Raw_Data!C187)</f>
        <v/>
      </c>
      <c r="D196" s="48">
        <f>IF(PROPER(TRIM(Raw_Data!D187))="Bangalore","Bengaluru",IF(PROPER(TRIM(Raw_Data!D187))="Gurgaon","Gurugram",IF(OR(PROPER(TRIM(Raw_Data!D187))="New Delhi",PROPER(TRIM(Raw_Data!D187))="Delhi"),"Delhi",PROPER(TRIM(Raw_Data!D187)))))</f>
        <v/>
      </c>
      <c r="E196" s="48">
        <f>Raw_Data!E187</f>
        <v/>
      </c>
      <c r="F196" s="48">
        <f>IF(TRIM(Raw_Data!F187&amp;"")="","Not Specified",Raw_Data!F187)</f>
        <v/>
      </c>
      <c r="G196" s="48">
        <f>Raw_Data!G187</f>
        <v/>
      </c>
      <c r="H196" s="48">
        <f>Raw_Data!H187</f>
        <v/>
      </c>
      <c r="I196" s="49">
        <f>IF(Raw_Data!I187="","",Raw_Data!I187)</f>
        <v/>
      </c>
      <c r="J196" s="49">
        <f>IF(Raw_Data!J187="","",Raw_Data!J187)</f>
        <v/>
      </c>
      <c r="K196" s="48">
        <f>IF(TRIM(Raw_Data!K187&amp;"")="","Not Specified",Raw_Data!K187)</f>
        <v/>
      </c>
      <c r="L196" s="56">
        <f>Raw_Data!L187</f>
        <v/>
      </c>
      <c r="M196" s="49">
        <f>IF(OR(I196="",J196=""),"",(I196+J196)/2)</f>
        <v/>
      </c>
      <c r="N196" s="49">
        <f>IF(OR(I196="",J196=""),"",J196-I196)</f>
        <v/>
      </c>
      <c r="O196" s="48">
        <f>TEXT(L196,"mmm-yyyy")</f>
        <v/>
      </c>
      <c r="P196" s="48">
        <f>_xlfn.IFS(ISNUMBER(SEARCH("data analy",B196)),"Data Analyst",ISNUMBER(SEARCH("business analy",B196)),"Business Analyst",OR(ISNUMBER(SEARCH("developer",B196)),ISNUMBER(SEARCH("software engineer",B196)),ISNUMBER(SEARCH("programmer",B196))),"Software Developer",ISNUMBER(SEARCH("business development",B196)),"Business Development",ISNUMBER(SEARCH("sales",B196)),"Sales Executive",ISNUMBER(SEARCH("marketing",B196)),"Marketing Executive",OR(ISNUMBER(SEARCH("hr ",B196)),ISNUMBER(SEARCH("recruit",B196)),ISNUMBER(SEARCH("human resource",B196))),"HR / Recruiter",OR(ISNUMBER(SEARCH("account",B196)),ISNUMBER(SEARCH("finance",B196)),ISNUMBER(SEARCH("tax",B196)),ISNUMBER(SEARCH("audit",B196))),"Accountant / Finance",OR(ISNUMBER(SEARCH("customer service",B196)),ISNUMBER(SEARCH("customer support",B196)),ISNUMBER(SEARCH("customer care",B196)),ISNUMBER(SEARCH("voice process",B196)),ISNUMBER(SEARCH("bpo",B196))),"Customer Support",ISNUMBER(SEARCH("engineer",B196)),"Engineer (Technical)",ISNUMBER(SEARCH("manager",B196)),"Manager",OR(ISNUMBER(SEARCH("teacher",B196)),ISNUMBER(SEARCH("trainer",B196)),ISNUMBER(SEARCH("faculty",B196))),"Teacher / Trainer",OR(ISNUMBER(SEARCH("doctor",B196)),ISNUMBER(SEARCH("nurse",B196)),ISNUMBER(SEARCH("medical",B196)),ISNUMBER(SEARCH("pharma",B196)),ISNUMBER(SEARCH("clinical",B196))),"Healthcare",TRUE,"Other")</f>
        <v/>
      </c>
      <c r="Q196" s="48">
        <f>IF(COUNTIFS($B$11:B196,B196,$C$11:C196,C196,$D$11:D196,D196,$L$11:L196,L196)&gt;1,"Duplicate","Unique")</f>
        <v/>
      </c>
    </row>
    <row r="197">
      <c r="A197" s="48">
        <f>Raw_Data!A188</f>
        <v/>
      </c>
      <c r="B197" s="48">
        <f>PROPER(TRIM(Raw_Data!B188))</f>
        <v/>
      </c>
      <c r="C197" s="48">
        <f>TRIM(Raw_Data!C188)</f>
        <v/>
      </c>
      <c r="D197" s="48">
        <f>IF(PROPER(TRIM(Raw_Data!D188))="Bangalore","Bengaluru",IF(PROPER(TRIM(Raw_Data!D188))="Gurgaon","Gurugram",IF(OR(PROPER(TRIM(Raw_Data!D188))="New Delhi",PROPER(TRIM(Raw_Data!D188))="Delhi"),"Delhi",PROPER(TRIM(Raw_Data!D188)))))</f>
        <v/>
      </c>
      <c r="E197" s="48">
        <f>Raw_Data!E188</f>
        <v/>
      </c>
      <c r="F197" s="48">
        <f>IF(TRIM(Raw_Data!F188&amp;"")="","Not Specified",Raw_Data!F188)</f>
        <v/>
      </c>
      <c r="G197" s="48">
        <f>Raw_Data!G188</f>
        <v/>
      </c>
      <c r="H197" s="48">
        <f>Raw_Data!H188</f>
        <v/>
      </c>
      <c r="I197" s="49">
        <f>IF(Raw_Data!I188="","",Raw_Data!I188)</f>
        <v/>
      </c>
      <c r="J197" s="49">
        <f>IF(Raw_Data!J188="","",Raw_Data!J188)</f>
        <v/>
      </c>
      <c r="K197" s="48">
        <f>IF(TRIM(Raw_Data!K188&amp;"")="","Not Specified",Raw_Data!K188)</f>
        <v/>
      </c>
      <c r="L197" s="56">
        <f>Raw_Data!L188</f>
        <v/>
      </c>
      <c r="M197" s="49">
        <f>IF(OR(I197="",J197=""),"",(I197+J197)/2)</f>
        <v/>
      </c>
      <c r="N197" s="49">
        <f>IF(OR(I197="",J197=""),"",J197-I197)</f>
        <v/>
      </c>
      <c r="O197" s="48">
        <f>TEXT(L197,"mmm-yyyy")</f>
        <v/>
      </c>
      <c r="P197" s="48">
        <f>_xlfn.IFS(ISNUMBER(SEARCH("data analy",B197)),"Data Analyst",ISNUMBER(SEARCH("business analy",B197)),"Business Analyst",OR(ISNUMBER(SEARCH("developer",B197)),ISNUMBER(SEARCH("software engineer",B197)),ISNUMBER(SEARCH("programmer",B197))),"Software Developer",ISNUMBER(SEARCH("business development",B197)),"Business Development",ISNUMBER(SEARCH("sales",B197)),"Sales Executive",ISNUMBER(SEARCH("marketing",B197)),"Marketing Executive",OR(ISNUMBER(SEARCH("hr ",B197)),ISNUMBER(SEARCH("recruit",B197)),ISNUMBER(SEARCH("human resource",B197))),"HR / Recruiter",OR(ISNUMBER(SEARCH("account",B197)),ISNUMBER(SEARCH("finance",B197)),ISNUMBER(SEARCH("tax",B197)),ISNUMBER(SEARCH("audit",B197))),"Accountant / Finance",OR(ISNUMBER(SEARCH("customer service",B197)),ISNUMBER(SEARCH("customer support",B197)),ISNUMBER(SEARCH("customer care",B197)),ISNUMBER(SEARCH("voice process",B197)),ISNUMBER(SEARCH("bpo",B197))),"Customer Support",ISNUMBER(SEARCH("engineer",B197)),"Engineer (Technical)",ISNUMBER(SEARCH("manager",B197)),"Manager",OR(ISNUMBER(SEARCH("teacher",B197)),ISNUMBER(SEARCH("trainer",B197)),ISNUMBER(SEARCH("faculty",B197))),"Teacher / Trainer",OR(ISNUMBER(SEARCH("doctor",B197)),ISNUMBER(SEARCH("nurse",B197)),ISNUMBER(SEARCH("medical",B197)),ISNUMBER(SEARCH("pharma",B197)),ISNUMBER(SEARCH("clinical",B197))),"Healthcare",TRUE,"Other")</f>
        <v/>
      </c>
      <c r="Q197" s="48">
        <f>IF(COUNTIFS($B$11:B197,B197,$C$11:C197,C197,$D$11:D197,D197,$L$11:L197,L197)&gt;1,"Duplicate","Unique")</f>
        <v/>
      </c>
    </row>
    <row r="198">
      <c r="A198" s="48">
        <f>Raw_Data!A189</f>
        <v/>
      </c>
      <c r="B198" s="48">
        <f>PROPER(TRIM(Raw_Data!B189))</f>
        <v/>
      </c>
      <c r="C198" s="48">
        <f>TRIM(Raw_Data!C189)</f>
        <v/>
      </c>
      <c r="D198" s="48">
        <f>IF(PROPER(TRIM(Raw_Data!D189))="Bangalore","Bengaluru",IF(PROPER(TRIM(Raw_Data!D189))="Gurgaon","Gurugram",IF(OR(PROPER(TRIM(Raw_Data!D189))="New Delhi",PROPER(TRIM(Raw_Data!D189))="Delhi"),"Delhi",PROPER(TRIM(Raw_Data!D189)))))</f>
        <v/>
      </c>
      <c r="E198" s="48">
        <f>Raw_Data!E189</f>
        <v/>
      </c>
      <c r="F198" s="48">
        <f>IF(TRIM(Raw_Data!F189&amp;"")="","Not Specified",Raw_Data!F189)</f>
        <v/>
      </c>
      <c r="G198" s="48">
        <f>Raw_Data!G189</f>
        <v/>
      </c>
      <c r="H198" s="48">
        <f>Raw_Data!H189</f>
        <v/>
      </c>
      <c r="I198" s="49">
        <f>IF(Raw_Data!I189="","",Raw_Data!I189)</f>
        <v/>
      </c>
      <c r="J198" s="49">
        <f>IF(Raw_Data!J189="","",Raw_Data!J189)</f>
        <v/>
      </c>
      <c r="K198" s="48">
        <f>IF(TRIM(Raw_Data!K189&amp;"")="","Not Specified",Raw_Data!K189)</f>
        <v/>
      </c>
      <c r="L198" s="56">
        <f>Raw_Data!L189</f>
        <v/>
      </c>
      <c r="M198" s="49">
        <f>IF(OR(I198="",J198=""),"",(I198+J198)/2)</f>
        <v/>
      </c>
      <c r="N198" s="49">
        <f>IF(OR(I198="",J198=""),"",J198-I198)</f>
        <v/>
      </c>
      <c r="O198" s="48">
        <f>TEXT(L198,"mmm-yyyy")</f>
        <v/>
      </c>
      <c r="P198" s="48">
        <f>_xlfn.IFS(ISNUMBER(SEARCH("data analy",B198)),"Data Analyst",ISNUMBER(SEARCH("business analy",B198)),"Business Analyst",OR(ISNUMBER(SEARCH("developer",B198)),ISNUMBER(SEARCH("software engineer",B198)),ISNUMBER(SEARCH("programmer",B198))),"Software Developer",ISNUMBER(SEARCH("business development",B198)),"Business Development",ISNUMBER(SEARCH("sales",B198)),"Sales Executive",ISNUMBER(SEARCH("marketing",B198)),"Marketing Executive",OR(ISNUMBER(SEARCH("hr ",B198)),ISNUMBER(SEARCH("recruit",B198)),ISNUMBER(SEARCH("human resource",B198))),"HR / Recruiter",OR(ISNUMBER(SEARCH("account",B198)),ISNUMBER(SEARCH("finance",B198)),ISNUMBER(SEARCH("tax",B198)),ISNUMBER(SEARCH("audit",B198))),"Accountant / Finance",OR(ISNUMBER(SEARCH("customer service",B198)),ISNUMBER(SEARCH("customer support",B198)),ISNUMBER(SEARCH("customer care",B198)),ISNUMBER(SEARCH("voice process",B198)),ISNUMBER(SEARCH("bpo",B198))),"Customer Support",ISNUMBER(SEARCH("engineer",B198)),"Engineer (Technical)",ISNUMBER(SEARCH("manager",B198)),"Manager",OR(ISNUMBER(SEARCH("teacher",B198)),ISNUMBER(SEARCH("trainer",B198)),ISNUMBER(SEARCH("faculty",B198))),"Teacher / Trainer",OR(ISNUMBER(SEARCH("doctor",B198)),ISNUMBER(SEARCH("nurse",B198)),ISNUMBER(SEARCH("medical",B198)),ISNUMBER(SEARCH("pharma",B198)),ISNUMBER(SEARCH("clinical",B198))),"Healthcare",TRUE,"Other")</f>
        <v/>
      </c>
      <c r="Q198" s="48">
        <f>IF(COUNTIFS($B$11:B198,B198,$C$11:C198,C198,$D$11:D198,D198,$L$11:L198,L198)&gt;1,"Duplicate","Unique")</f>
        <v/>
      </c>
    </row>
    <row r="199">
      <c r="A199" s="48">
        <f>Raw_Data!A190</f>
        <v/>
      </c>
      <c r="B199" s="48">
        <f>PROPER(TRIM(Raw_Data!B190))</f>
        <v/>
      </c>
      <c r="C199" s="48">
        <f>TRIM(Raw_Data!C190)</f>
        <v/>
      </c>
      <c r="D199" s="48">
        <f>IF(PROPER(TRIM(Raw_Data!D190))="Bangalore","Bengaluru",IF(PROPER(TRIM(Raw_Data!D190))="Gurgaon","Gurugram",IF(OR(PROPER(TRIM(Raw_Data!D190))="New Delhi",PROPER(TRIM(Raw_Data!D190))="Delhi"),"Delhi",PROPER(TRIM(Raw_Data!D190)))))</f>
        <v/>
      </c>
      <c r="E199" s="48">
        <f>Raw_Data!E190</f>
        <v/>
      </c>
      <c r="F199" s="48">
        <f>IF(TRIM(Raw_Data!F190&amp;"")="","Not Specified",Raw_Data!F190)</f>
        <v/>
      </c>
      <c r="G199" s="48">
        <f>Raw_Data!G190</f>
        <v/>
      </c>
      <c r="H199" s="48">
        <f>Raw_Data!H190</f>
        <v/>
      </c>
      <c r="I199" s="49">
        <f>IF(Raw_Data!I190="","",Raw_Data!I190)</f>
        <v/>
      </c>
      <c r="J199" s="49">
        <f>IF(Raw_Data!J190="","",Raw_Data!J190)</f>
        <v/>
      </c>
      <c r="K199" s="48">
        <f>IF(TRIM(Raw_Data!K190&amp;"")="","Not Specified",Raw_Data!K190)</f>
        <v/>
      </c>
      <c r="L199" s="56">
        <f>Raw_Data!L190</f>
        <v/>
      </c>
      <c r="M199" s="49">
        <f>IF(OR(I199="",J199=""),"",(I199+J199)/2)</f>
        <v/>
      </c>
      <c r="N199" s="49">
        <f>IF(OR(I199="",J199=""),"",J199-I199)</f>
        <v/>
      </c>
      <c r="O199" s="48">
        <f>TEXT(L199,"mmm-yyyy")</f>
        <v/>
      </c>
      <c r="P199" s="48">
        <f>_xlfn.IFS(ISNUMBER(SEARCH("data analy",B199)),"Data Analyst",ISNUMBER(SEARCH("business analy",B199)),"Business Analyst",OR(ISNUMBER(SEARCH("developer",B199)),ISNUMBER(SEARCH("software engineer",B199)),ISNUMBER(SEARCH("programmer",B199))),"Software Developer",ISNUMBER(SEARCH("business development",B199)),"Business Development",ISNUMBER(SEARCH("sales",B199)),"Sales Executive",ISNUMBER(SEARCH("marketing",B199)),"Marketing Executive",OR(ISNUMBER(SEARCH("hr ",B199)),ISNUMBER(SEARCH("recruit",B199)),ISNUMBER(SEARCH("human resource",B199))),"HR / Recruiter",OR(ISNUMBER(SEARCH("account",B199)),ISNUMBER(SEARCH("finance",B199)),ISNUMBER(SEARCH("tax",B199)),ISNUMBER(SEARCH("audit",B199))),"Accountant / Finance",OR(ISNUMBER(SEARCH("customer service",B199)),ISNUMBER(SEARCH("customer support",B199)),ISNUMBER(SEARCH("customer care",B199)),ISNUMBER(SEARCH("voice process",B199)),ISNUMBER(SEARCH("bpo",B199))),"Customer Support",ISNUMBER(SEARCH("engineer",B199)),"Engineer (Technical)",ISNUMBER(SEARCH("manager",B199)),"Manager",OR(ISNUMBER(SEARCH("teacher",B199)),ISNUMBER(SEARCH("trainer",B199)),ISNUMBER(SEARCH("faculty",B199))),"Teacher / Trainer",OR(ISNUMBER(SEARCH("doctor",B199)),ISNUMBER(SEARCH("nurse",B199)),ISNUMBER(SEARCH("medical",B199)),ISNUMBER(SEARCH("pharma",B199)),ISNUMBER(SEARCH("clinical",B199))),"Healthcare",TRUE,"Other")</f>
        <v/>
      </c>
      <c r="Q199" s="48">
        <f>IF(COUNTIFS($B$11:B199,B199,$C$11:C199,C199,$D$11:D199,D199,$L$11:L199,L199)&gt;1,"Duplicate","Unique")</f>
        <v/>
      </c>
    </row>
    <row r="200">
      <c r="A200" s="48">
        <f>Raw_Data!A191</f>
        <v/>
      </c>
      <c r="B200" s="48">
        <f>PROPER(TRIM(Raw_Data!B191))</f>
        <v/>
      </c>
      <c r="C200" s="48">
        <f>TRIM(Raw_Data!C191)</f>
        <v/>
      </c>
      <c r="D200" s="48">
        <f>IF(PROPER(TRIM(Raw_Data!D191))="Bangalore","Bengaluru",IF(PROPER(TRIM(Raw_Data!D191))="Gurgaon","Gurugram",IF(OR(PROPER(TRIM(Raw_Data!D191))="New Delhi",PROPER(TRIM(Raw_Data!D191))="Delhi"),"Delhi",PROPER(TRIM(Raw_Data!D191)))))</f>
        <v/>
      </c>
      <c r="E200" s="48">
        <f>Raw_Data!E191</f>
        <v/>
      </c>
      <c r="F200" s="48">
        <f>IF(TRIM(Raw_Data!F191&amp;"")="","Not Specified",Raw_Data!F191)</f>
        <v/>
      </c>
      <c r="G200" s="48">
        <f>Raw_Data!G191</f>
        <v/>
      </c>
      <c r="H200" s="48">
        <f>Raw_Data!H191</f>
        <v/>
      </c>
      <c r="I200" s="49">
        <f>IF(Raw_Data!I191="","",Raw_Data!I191)</f>
        <v/>
      </c>
      <c r="J200" s="49">
        <f>IF(Raw_Data!J191="","",Raw_Data!J191)</f>
        <v/>
      </c>
      <c r="K200" s="48">
        <f>IF(TRIM(Raw_Data!K191&amp;"")="","Not Specified",Raw_Data!K191)</f>
        <v/>
      </c>
      <c r="L200" s="56">
        <f>Raw_Data!L191</f>
        <v/>
      </c>
      <c r="M200" s="49">
        <f>IF(OR(I200="",J200=""),"",(I200+J200)/2)</f>
        <v/>
      </c>
      <c r="N200" s="49">
        <f>IF(OR(I200="",J200=""),"",J200-I200)</f>
        <v/>
      </c>
      <c r="O200" s="48">
        <f>TEXT(L200,"mmm-yyyy")</f>
        <v/>
      </c>
      <c r="P200" s="48">
        <f>_xlfn.IFS(ISNUMBER(SEARCH("data analy",B200)),"Data Analyst",ISNUMBER(SEARCH("business analy",B200)),"Business Analyst",OR(ISNUMBER(SEARCH("developer",B200)),ISNUMBER(SEARCH("software engineer",B200)),ISNUMBER(SEARCH("programmer",B200))),"Software Developer",ISNUMBER(SEARCH("business development",B200)),"Business Development",ISNUMBER(SEARCH("sales",B200)),"Sales Executive",ISNUMBER(SEARCH("marketing",B200)),"Marketing Executive",OR(ISNUMBER(SEARCH("hr ",B200)),ISNUMBER(SEARCH("recruit",B200)),ISNUMBER(SEARCH("human resource",B200))),"HR / Recruiter",OR(ISNUMBER(SEARCH("account",B200)),ISNUMBER(SEARCH("finance",B200)),ISNUMBER(SEARCH("tax",B200)),ISNUMBER(SEARCH("audit",B200))),"Accountant / Finance",OR(ISNUMBER(SEARCH("customer service",B200)),ISNUMBER(SEARCH("customer support",B200)),ISNUMBER(SEARCH("customer care",B200)),ISNUMBER(SEARCH("voice process",B200)),ISNUMBER(SEARCH("bpo",B200))),"Customer Support",ISNUMBER(SEARCH("engineer",B200)),"Engineer (Technical)",ISNUMBER(SEARCH("manager",B200)),"Manager",OR(ISNUMBER(SEARCH("teacher",B200)),ISNUMBER(SEARCH("trainer",B200)),ISNUMBER(SEARCH("faculty",B200))),"Teacher / Trainer",OR(ISNUMBER(SEARCH("doctor",B200)),ISNUMBER(SEARCH("nurse",B200)),ISNUMBER(SEARCH("medical",B200)),ISNUMBER(SEARCH("pharma",B200)),ISNUMBER(SEARCH("clinical",B200))),"Healthcare",TRUE,"Other")</f>
        <v/>
      </c>
      <c r="Q200" s="48">
        <f>IF(COUNTIFS($B$11:B200,B200,$C$11:C200,C200,$D$11:D200,D200,$L$11:L200,L200)&gt;1,"Duplicate","Unique")</f>
        <v/>
      </c>
    </row>
    <row r="201">
      <c r="A201" s="48">
        <f>Raw_Data!A192</f>
        <v/>
      </c>
      <c r="B201" s="48">
        <f>PROPER(TRIM(Raw_Data!B192))</f>
        <v/>
      </c>
      <c r="C201" s="48">
        <f>TRIM(Raw_Data!C192)</f>
        <v/>
      </c>
      <c r="D201" s="48">
        <f>IF(PROPER(TRIM(Raw_Data!D192))="Bangalore","Bengaluru",IF(PROPER(TRIM(Raw_Data!D192))="Gurgaon","Gurugram",IF(OR(PROPER(TRIM(Raw_Data!D192))="New Delhi",PROPER(TRIM(Raw_Data!D192))="Delhi"),"Delhi",PROPER(TRIM(Raw_Data!D192)))))</f>
        <v/>
      </c>
      <c r="E201" s="48">
        <f>Raw_Data!E192</f>
        <v/>
      </c>
      <c r="F201" s="48">
        <f>IF(TRIM(Raw_Data!F192&amp;"")="","Not Specified",Raw_Data!F192)</f>
        <v/>
      </c>
      <c r="G201" s="48">
        <f>Raw_Data!G192</f>
        <v/>
      </c>
      <c r="H201" s="48">
        <f>Raw_Data!H192</f>
        <v/>
      </c>
      <c r="I201" s="49">
        <f>IF(Raw_Data!I192="","",Raw_Data!I192)</f>
        <v/>
      </c>
      <c r="J201" s="49">
        <f>IF(Raw_Data!J192="","",Raw_Data!J192)</f>
        <v/>
      </c>
      <c r="K201" s="48">
        <f>IF(TRIM(Raw_Data!K192&amp;"")="","Not Specified",Raw_Data!K192)</f>
        <v/>
      </c>
      <c r="L201" s="56">
        <f>Raw_Data!L192</f>
        <v/>
      </c>
      <c r="M201" s="49">
        <f>IF(OR(I201="",J201=""),"",(I201+J201)/2)</f>
        <v/>
      </c>
      <c r="N201" s="49">
        <f>IF(OR(I201="",J201=""),"",J201-I201)</f>
        <v/>
      </c>
      <c r="O201" s="48">
        <f>TEXT(L201,"mmm-yyyy")</f>
        <v/>
      </c>
      <c r="P201" s="48">
        <f>_xlfn.IFS(ISNUMBER(SEARCH("data analy",B201)),"Data Analyst",ISNUMBER(SEARCH("business analy",B201)),"Business Analyst",OR(ISNUMBER(SEARCH("developer",B201)),ISNUMBER(SEARCH("software engineer",B201)),ISNUMBER(SEARCH("programmer",B201))),"Software Developer",ISNUMBER(SEARCH("business development",B201)),"Business Development",ISNUMBER(SEARCH("sales",B201)),"Sales Executive",ISNUMBER(SEARCH("marketing",B201)),"Marketing Executive",OR(ISNUMBER(SEARCH("hr ",B201)),ISNUMBER(SEARCH("recruit",B201)),ISNUMBER(SEARCH("human resource",B201))),"HR / Recruiter",OR(ISNUMBER(SEARCH("account",B201)),ISNUMBER(SEARCH("finance",B201)),ISNUMBER(SEARCH("tax",B201)),ISNUMBER(SEARCH("audit",B201))),"Accountant / Finance",OR(ISNUMBER(SEARCH("customer service",B201)),ISNUMBER(SEARCH("customer support",B201)),ISNUMBER(SEARCH("customer care",B201)),ISNUMBER(SEARCH("voice process",B201)),ISNUMBER(SEARCH("bpo",B201))),"Customer Support",ISNUMBER(SEARCH("engineer",B201)),"Engineer (Technical)",ISNUMBER(SEARCH("manager",B201)),"Manager",OR(ISNUMBER(SEARCH("teacher",B201)),ISNUMBER(SEARCH("trainer",B201)),ISNUMBER(SEARCH("faculty",B201))),"Teacher / Trainer",OR(ISNUMBER(SEARCH("doctor",B201)),ISNUMBER(SEARCH("nurse",B201)),ISNUMBER(SEARCH("medical",B201)),ISNUMBER(SEARCH("pharma",B201)),ISNUMBER(SEARCH("clinical",B201))),"Healthcare",TRUE,"Other")</f>
        <v/>
      </c>
      <c r="Q201" s="48">
        <f>IF(COUNTIFS($B$11:B201,B201,$C$11:C201,C201,$D$11:D201,D201,$L$11:L201,L201)&gt;1,"Duplicate","Unique")</f>
        <v/>
      </c>
    </row>
    <row r="202">
      <c r="A202" s="48">
        <f>Raw_Data!A193</f>
        <v/>
      </c>
      <c r="B202" s="48">
        <f>PROPER(TRIM(Raw_Data!B193))</f>
        <v/>
      </c>
      <c r="C202" s="48">
        <f>TRIM(Raw_Data!C193)</f>
        <v/>
      </c>
      <c r="D202" s="48">
        <f>IF(PROPER(TRIM(Raw_Data!D193))="Bangalore","Bengaluru",IF(PROPER(TRIM(Raw_Data!D193))="Gurgaon","Gurugram",IF(OR(PROPER(TRIM(Raw_Data!D193))="New Delhi",PROPER(TRIM(Raw_Data!D193))="Delhi"),"Delhi",PROPER(TRIM(Raw_Data!D193)))))</f>
        <v/>
      </c>
      <c r="E202" s="48">
        <f>Raw_Data!E193</f>
        <v/>
      </c>
      <c r="F202" s="48">
        <f>IF(TRIM(Raw_Data!F193&amp;"")="","Not Specified",Raw_Data!F193)</f>
        <v/>
      </c>
      <c r="G202" s="48">
        <f>Raw_Data!G193</f>
        <v/>
      </c>
      <c r="H202" s="48">
        <f>Raw_Data!H193</f>
        <v/>
      </c>
      <c r="I202" s="49">
        <f>IF(Raw_Data!I193="","",Raw_Data!I193)</f>
        <v/>
      </c>
      <c r="J202" s="49">
        <f>IF(Raw_Data!J193="","",Raw_Data!J193)</f>
        <v/>
      </c>
      <c r="K202" s="48">
        <f>IF(TRIM(Raw_Data!K193&amp;"")="","Not Specified",Raw_Data!K193)</f>
        <v/>
      </c>
      <c r="L202" s="56">
        <f>Raw_Data!L193</f>
        <v/>
      </c>
      <c r="M202" s="49">
        <f>IF(OR(I202="",J202=""),"",(I202+J202)/2)</f>
        <v/>
      </c>
      <c r="N202" s="49">
        <f>IF(OR(I202="",J202=""),"",J202-I202)</f>
        <v/>
      </c>
      <c r="O202" s="48">
        <f>TEXT(L202,"mmm-yyyy")</f>
        <v/>
      </c>
      <c r="P202" s="48">
        <f>_xlfn.IFS(ISNUMBER(SEARCH("data analy",B202)),"Data Analyst",ISNUMBER(SEARCH("business analy",B202)),"Business Analyst",OR(ISNUMBER(SEARCH("developer",B202)),ISNUMBER(SEARCH("software engineer",B202)),ISNUMBER(SEARCH("programmer",B202))),"Software Developer",ISNUMBER(SEARCH("business development",B202)),"Business Development",ISNUMBER(SEARCH("sales",B202)),"Sales Executive",ISNUMBER(SEARCH("marketing",B202)),"Marketing Executive",OR(ISNUMBER(SEARCH("hr ",B202)),ISNUMBER(SEARCH("recruit",B202)),ISNUMBER(SEARCH("human resource",B202))),"HR / Recruiter",OR(ISNUMBER(SEARCH("account",B202)),ISNUMBER(SEARCH("finance",B202)),ISNUMBER(SEARCH("tax",B202)),ISNUMBER(SEARCH("audit",B202))),"Accountant / Finance",OR(ISNUMBER(SEARCH("customer service",B202)),ISNUMBER(SEARCH("customer support",B202)),ISNUMBER(SEARCH("customer care",B202)),ISNUMBER(SEARCH("voice process",B202)),ISNUMBER(SEARCH("bpo",B202))),"Customer Support",ISNUMBER(SEARCH("engineer",B202)),"Engineer (Technical)",ISNUMBER(SEARCH("manager",B202)),"Manager",OR(ISNUMBER(SEARCH("teacher",B202)),ISNUMBER(SEARCH("trainer",B202)),ISNUMBER(SEARCH("faculty",B202))),"Teacher / Trainer",OR(ISNUMBER(SEARCH("doctor",B202)),ISNUMBER(SEARCH("nurse",B202)),ISNUMBER(SEARCH("medical",B202)),ISNUMBER(SEARCH("pharma",B202)),ISNUMBER(SEARCH("clinical",B202))),"Healthcare",TRUE,"Other")</f>
        <v/>
      </c>
      <c r="Q202" s="48">
        <f>IF(COUNTIFS($B$11:B202,B202,$C$11:C202,C202,$D$11:D202,D202,$L$11:L202,L202)&gt;1,"Duplicate","Unique")</f>
        <v/>
      </c>
    </row>
    <row r="203">
      <c r="A203" s="48">
        <f>Raw_Data!A194</f>
        <v/>
      </c>
      <c r="B203" s="48">
        <f>PROPER(TRIM(Raw_Data!B194))</f>
        <v/>
      </c>
      <c r="C203" s="48">
        <f>TRIM(Raw_Data!C194)</f>
        <v/>
      </c>
      <c r="D203" s="48">
        <f>IF(PROPER(TRIM(Raw_Data!D194))="Bangalore","Bengaluru",IF(PROPER(TRIM(Raw_Data!D194))="Gurgaon","Gurugram",IF(OR(PROPER(TRIM(Raw_Data!D194))="New Delhi",PROPER(TRIM(Raw_Data!D194))="Delhi"),"Delhi",PROPER(TRIM(Raw_Data!D194)))))</f>
        <v/>
      </c>
      <c r="E203" s="48">
        <f>Raw_Data!E194</f>
        <v/>
      </c>
      <c r="F203" s="48">
        <f>IF(TRIM(Raw_Data!F194&amp;"")="","Not Specified",Raw_Data!F194)</f>
        <v/>
      </c>
      <c r="G203" s="48">
        <f>Raw_Data!G194</f>
        <v/>
      </c>
      <c r="H203" s="48">
        <f>Raw_Data!H194</f>
        <v/>
      </c>
      <c r="I203" s="49">
        <f>IF(Raw_Data!I194="","",Raw_Data!I194)</f>
        <v/>
      </c>
      <c r="J203" s="49">
        <f>IF(Raw_Data!J194="","",Raw_Data!J194)</f>
        <v/>
      </c>
      <c r="K203" s="48">
        <f>IF(TRIM(Raw_Data!K194&amp;"")="","Not Specified",Raw_Data!K194)</f>
        <v/>
      </c>
      <c r="L203" s="56">
        <f>Raw_Data!L194</f>
        <v/>
      </c>
      <c r="M203" s="49">
        <f>IF(OR(I203="",J203=""),"",(I203+J203)/2)</f>
        <v/>
      </c>
      <c r="N203" s="49">
        <f>IF(OR(I203="",J203=""),"",J203-I203)</f>
        <v/>
      </c>
      <c r="O203" s="48">
        <f>TEXT(L203,"mmm-yyyy")</f>
        <v/>
      </c>
      <c r="P203" s="48">
        <f>_xlfn.IFS(ISNUMBER(SEARCH("data analy",B203)),"Data Analyst",ISNUMBER(SEARCH("business analy",B203)),"Business Analyst",OR(ISNUMBER(SEARCH("developer",B203)),ISNUMBER(SEARCH("software engineer",B203)),ISNUMBER(SEARCH("programmer",B203))),"Software Developer",ISNUMBER(SEARCH("business development",B203)),"Business Development",ISNUMBER(SEARCH("sales",B203)),"Sales Executive",ISNUMBER(SEARCH("marketing",B203)),"Marketing Executive",OR(ISNUMBER(SEARCH("hr ",B203)),ISNUMBER(SEARCH("recruit",B203)),ISNUMBER(SEARCH("human resource",B203))),"HR / Recruiter",OR(ISNUMBER(SEARCH("account",B203)),ISNUMBER(SEARCH("finance",B203)),ISNUMBER(SEARCH("tax",B203)),ISNUMBER(SEARCH("audit",B203))),"Accountant / Finance",OR(ISNUMBER(SEARCH("customer service",B203)),ISNUMBER(SEARCH("customer support",B203)),ISNUMBER(SEARCH("customer care",B203)),ISNUMBER(SEARCH("voice process",B203)),ISNUMBER(SEARCH("bpo",B203))),"Customer Support",ISNUMBER(SEARCH("engineer",B203)),"Engineer (Technical)",ISNUMBER(SEARCH("manager",B203)),"Manager",OR(ISNUMBER(SEARCH("teacher",B203)),ISNUMBER(SEARCH("trainer",B203)),ISNUMBER(SEARCH("faculty",B203))),"Teacher / Trainer",OR(ISNUMBER(SEARCH("doctor",B203)),ISNUMBER(SEARCH("nurse",B203)),ISNUMBER(SEARCH("medical",B203)),ISNUMBER(SEARCH("pharma",B203)),ISNUMBER(SEARCH("clinical",B203))),"Healthcare",TRUE,"Other")</f>
        <v/>
      </c>
      <c r="Q203" s="48">
        <f>IF(COUNTIFS($B$11:B203,B203,$C$11:C203,C203,$D$11:D203,D203,$L$11:L203,L203)&gt;1,"Duplicate","Unique")</f>
        <v/>
      </c>
    </row>
    <row r="204">
      <c r="A204" s="48">
        <f>Raw_Data!A195</f>
        <v/>
      </c>
      <c r="B204" s="48">
        <f>PROPER(TRIM(Raw_Data!B195))</f>
        <v/>
      </c>
      <c r="C204" s="48">
        <f>TRIM(Raw_Data!C195)</f>
        <v/>
      </c>
      <c r="D204" s="48">
        <f>IF(PROPER(TRIM(Raw_Data!D195))="Bangalore","Bengaluru",IF(PROPER(TRIM(Raw_Data!D195))="Gurgaon","Gurugram",IF(OR(PROPER(TRIM(Raw_Data!D195))="New Delhi",PROPER(TRIM(Raw_Data!D195))="Delhi"),"Delhi",PROPER(TRIM(Raw_Data!D195)))))</f>
        <v/>
      </c>
      <c r="E204" s="48">
        <f>Raw_Data!E195</f>
        <v/>
      </c>
      <c r="F204" s="48">
        <f>IF(TRIM(Raw_Data!F195&amp;"")="","Not Specified",Raw_Data!F195)</f>
        <v/>
      </c>
      <c r="G204" s="48">
        <f>Raw_Data!G195</f>
        <v/>
      </c>
      <c r="H204" s="48">
        <f>Raw_Data!H195</f>
        <v/>
      </c>
      <c r="I204" s="49">
        <f>IF(Raw_Data!I195="","",Raw_Data!I195)</f>
        <v/>
      </c>
      <c r="J204" s="49">
        <f>IF(Raw_Data!J195="","",Raw_Data!J195)</f>
        <v/>
      </c>
      <c r="K204" s="48">
        <f>IF(TRIM(Raw_Data!K195&amp;"")="","Not Specified",Raw_Data!K195)</f>
        <v/>
      </c>
      <c r="L204" s="56">
        <f>Raw_Data!L195</f>
        <v/>
      </c>
      <c r="M204" s="49">
        <f>IF(OR(I204="",J204=""),"",(I204+J204)/2)</f>
        <v/>
      </c>
      <c r="N204" s="49">
        <f>IF(OR(I204="",J204=""),"",J204-I204)</f>
        <v/>
      </c>
      <c r="O204" s="48">
        <f>TEXT(L204,"mmm-yyyy")</f>
        <v/>
      </c>
      <c r="P204" s="48">
        <f>_xlfn.IFS(ISNUMBER(SEARCH("data analy",B204)),"Data Analyst",ISNUMBER(SEARCH("business analy",B204)),"Business Analyst",OR(ISNUMBER(SEARCH("developer",B204)),ISNUMBER(SEARCH("software engineer",B204)),ISNUMBER(SEARCH("programmer",B204))),"Software Developer",ISNUMBER(SEARCH("business development",B204)),"Business Development",ISNUMBER(SEARCH("sales",B204)),"Sales Executive",ISNUMBER(SEARCH("marketing",B204)),"Marketing Executive",OR(ISNUMBER(SEARCH("hr ",B204)),ISNUMBER(SEARCH("recruit",B204)),ISNUMBER(SEARCH("human resource",B204))),"HR / Recruiter",OR(ISNUMBER(SEARCH("account",B204)),ISNUMBER(SEARCH("finance",B204)),ISNUMBER(SEARCH("tax",B204)),ISNUMBER(SEARCH("audit",B204))),"Accountant / Finance",OR(ISNUMBER(SEARCH("customer service",B204)),ISNUMBER(SEARCH("customer support",B204)),ISNUMBER(SEARCH("customer care",B204)),ISNUMBER(SEARCH("voice process",B204)),ISNUMBER(SEARCH("bpo",B204))),"Customer Support",ISNUMBER(SEARCH("engineer",B204)),"Engineer (Technical)",ISNUMBER(SEARCH("manager",B204)),"Manager",OR(ISNUMBER(SEARCH("teacher",B204)),ISNUMBER(SEARCH("trainer",B204)),ISNUMBER(SEARCH("faculty",B204))),"Teacher / Trainer",OR(ISNUMBER(SEARCH("doctor",B204)),ISNUMBER(SEARCH("nurse",B204)),ISNUMBER(SEARCH("medical",B204)),ISNUMBER(SEARCH("pharma",B204)),ISNUMBER(SEARCH("clinical",B204))),"Healthcare",TRUE,"Other")</f>
        <v/>
      </c>
      <c r="Q204" s="48">
        <f>IF(COUNTIFS($B$11:B204,B204,$C$11:C204,C204,$D$11:D204,D204,$L$11:L204,L204)&gt;1,"Duplicate","Unique")</f>
        <v/>
      </c>
    </row>
    <row r="205">
      <c r="A205" s="48">
        <f>Raw_Data!A196</f>
        <v/>
      </c>
      <c r="B205" s="48">
        <f>PROPER(TRIM(Raw_Data!B196))</f>
        <v/>
      </c>
      <c r="C205" s="48">
        <f>TRIM(Raw_Data!C196)</f>
        <v/>
      </c>
      <c r="D205" s="48">
        <f>IF(PROPER(TRIM(Raw_Data!D196))="Bangalore","Bengaluru",IF(PROPER(TRIM(Raw_Data!D196))="Gurgaon","Gurugram",IF(OR(PROPER(TRIM(Raw_Data!D196))="New Delhi",PROPER(TRIM(Raw_Data!D196))="Delhi"),"Delhi",PROPER(TRIM(Raw_Data!D196)))))</f>
        <v/>
      </c>
      <c r="E205" s="48">
        <f>Raw_Data!E196</f>
        <v/>
      </c>
      <c r="F205" s="48">
        <f>IF(TRIM(Raw_Data!F196&amp;"")="","Not Specified",Raw_Data!F196)</f>
        <v/>
      </c>
      <c r="G205" s="48">
        <f>Raw_Data!G196</f>
        <v/>
      </c>
      <c r="H205" s="48">
        <f>Raw_Data!H196</f>
        <v/>
      </c>
      <c r="I205" s="49">
        <f>IF(Raw_Data!I196="","",Raw_Data!I196)</f>
        <v/>
      </c>
      <c r="J205" s="49">
        <f>IF(Raw_Data!J196="","",Raw_Data!J196)</f>
        <v/>
      </c>
      <c r="K205" s="48">
        <f>IF(TRIM(Raw_Data!K196&amp;"")="","Not Specified",Raw_Data!K196)</f>
        <v/>
      </c>
      <c r="L205" s="56">
        <f>Raw_Data!L196</f>
        <v/>
      </c>
      <c r="M205" s="49">
        <f>IF(OR(I205="",J205=""),"",(I205+J205)/2)</f>
        <v/>
      </c>
      <c r="N205" s="49">
        <f>IF(OR(I205="",J205=""),"",J205-I205)</f>
        <v/>
      </c>
      <c r="O205" s="48">
        <f>TEXT(L205,"mmm-yyyy")</f>
        <v/>
      </c>
      <c r="P205" s="48">
        <f>_xlfn.IFS(ISNUMBER(SEARCH("data analy",B205)),"Data Analyst",ISNUMBER(SEARCH("business analy",B205)),"Business Analyst",OR(ISNUMBER(SEARCH("developer",B205)),ISNUMBER(SEARCH("software engineer",B205)),ISNUMBER(SEARCH("programmer",B205))),"Software Developer",ISNUMBER(SEARCH("business development",B205)),"Business Development",ISNUMBER(SEARCH("sales",B205)),"Sales Executive",ISNUMBER(SEARCH("marketing",B205)),"Marketing Executive",OR(ISNUMBER(SEARCH("hr ",B205)),ISNUMBER(SEARCH("recruit",B205)),ISNUMBER(SEARCH("human resource",B205))),"HR / Recruiter",OR(ISNUMBER(SEARCH("account",B205)),ISNUMBER(SEARCH("finance",B205)),ISNUMBER(SEARCH("tax",B205)),ISNUMBER(SEARCH("audit",B205))),"Accountant / Finance",OR(ISNUMBER(SEARCH("customer service",B205)),ISNUMBER(SEARCH("customer support",B205)),ISNUMBER(SEARCH("customer care",B205)),ISNUMBER(SEARCH("voice process",B205)),ISNUMBER(SEARCH("bpo",B205))),"Customer Support",ISNUMBER(SEARCH("engineer",B205)),"Engineer (Technical)",ISNUMBER(SEARCH("manager",B205)),"Manager",OR(ISNUMBER(SEARCH("teacher",B205)),ISNUMBER(SEARCH("trainer",B205)),ISNUMBER(SEARCH("faculty",B205))),"Teacher / Trainer",OR(ISNUMBER(SEARCH("doctor",B205)),ISNUMBER(SEARCH("nurse",B205)),ISNUMBER(SEARCH("medical",B205)),ISNUMBER(SEARCH("pharma",B205)),ISNUMBER(SEARCH("clinical",B205))),"Healthcare",TRUE,"Other")</f>
        <v/>
      </c>
      <c r="Q205" s="48">
        <f>IF(COUNTIFS($B$11:B205,B205,$C$11:C205,C205,$D$11:D205,D205,$L$11:L205,L205)&gt;1,"Duplicate","Unique")</f>
        <v/>
      </c>
    </row>
    <row r="206">
      <c r="A206" s="48">
        <f>Raw_Data!A197</f>
        <v/>
      </c>
      <c r="B206" s="48">
        <f>PROPER(TRIM(Raw_Data!B197))</f>
        <v/>
      </c>
      <c r="C206" s="48">
        <f>TRIM(Raw_Data!C197)</f>
        <v/>
      </c>
      <c r="D206" s="48">
        <f>IF(PROPER(TRIM(Raw_Data!D197))="Bangalore","Bengaluru",IF(PROPER(TRIM(Raw_Data!D197))="Gurgaon","Gurugram",IF(OR(PROPER(TRIM(Raw_Data!D197))="New Delhi",PROPER(TRIM(Raw_Data!D197))="Delhi"),"Delhi",PROPER(TRIM(Raw_Data!D197)))))</f>
        <v/>
      </c>
      <c r="E206" s="48">
        <f>Raw_Data!E197</f>
        <v/>
      </c>
      <c r="F206" s="48">
        <f>IF(TRIM(Raw_Data!F197&amp;"")="","Not Specified",Raw_Data!F197)</f>
        <v/>
      </c>
      <c r="G206" s="48">
        <f>Raw_Data!G197</f>
        <v/>
      </c>
      <c r="H206" s="48">
        <f>Raw_Data!H197</f>
        <v/>
      </c>
      <c r="I206" s="49">
        <f>IF(Raw_Data!I197="","",Raw_Data!I197)</f>
        <v/>
      </c>
      <c r="J206" s="49">
        <f>IF(Raw_Data!J197="","",Raw_Data!J197)</f>
        <v/>
      </c>
      <c r="K206" s="48">
        <f>IF(TRIM(Raw_Data!K197&amp;"")="","Not Specified",Raw_Data!K197)</f>
        <v/>
      </c>
      <c r="L206" s="56">
        <f>Raw_Data!L197</f>
        <v/>
      </c>
      <c r="M206" s="49">
        <f>IF(OR(I206="",J206=""),"",(I206+J206)/2)</f>
        <v/>
      </c>
      <c r="N206" s="49">
        <f>IF(OR(I206="",J206=""),"",J206-I206)</f>
        <v/>
      </c>
      <c r="O206" s="48">
        <f>TEXT(L206,"mmm-yyyy")</f>
        <v/>
      </c>
      <c r="P206" s="48">
        <f>_xlfn.IFS(ISNUMBER(SEARCH("data analy",B206)),"Data Analyst",ISNUMBER(SEARCH("business analy",B206)),"Business Analyst",OR(ISNUMBER(SEARCH("developer",B206)),ISNUMBER(SEARCH("software engineer",B206)),ISNUMBER(SEARCH("programmer",B206))),"Software Developer",ISNUMBER(SEARCH("business development",B206)),"Business Development",ISNUMBER(SEARCH("sales",B206)),"Sales Executive",ISNUMBER(SEARCH("marketing",B206)),"Marketing Executive",OR(ISNUMBER(SEARCH("hr ",B206)),ISNUMBER(SEARCH("recruit",B206)),ISNUMBER(SEARCH("human resource",B206))),"HR / Recruiter",OR(ISNUMBER(SEARCH("account",B206)),ISNUMBER(SEARCH("finance",B206)),ISNUMBER(SEARCH("tax",B206)),ISNUMBER(SEARCH("audit",B206))),"Accountant / Finance",OR(ISNUMBER(SEARCH("customer service",B206)),ISNUMBER(SEARCH("customer support",B206)),ISNUMBER(SEARCH("customer care",B206)),ISNUMBER(SEARCH("voice process",B206)),ISNUMBER(SEARCH("bpo",B206))),"Customer Support",ISNUMBER(SEARCH("engineer",B206)),"Engineer (Technical)",ISNUMBER(SEARCH("manager",B206)),"Manager",OR(ISNUMBER(SEARCH("teacher",B206)),ISNUMBER(SEARCH("trainer",B206)),ISNUMBER(SEARCH("faculty",B206))),"Teacher / Trainer",OR(ISNUMBER(SEARCH("doctor",B206)),ISNUMBER(SEARCH("nurse",B206)),ISNUMBER(SEARCH("medical",B206)),ISNUMBER(SEARCH("pharma",B206)),ISNUMBER(SEARCH("clinical",B206))),"Healthcare",TRUE,"Other")</f>
        <v/>
      </c>
      <c r="Q206" s="48">
        <f>IF(COUNTIFS($B$11:B206,B206,$C$11:C206,C206,$D$11:D206,D206,$L$11:L206,L206)&gt;1,"Duplicate","Unique")</f>
        <v/>
      </c>
    </row>
    <row r="207">
      <c r="A207" s="48">
        <f>Raw_Data!A198</f>
        <v/>
      </c>
      <c r="B207" s="48">
        <f>PROPER(TRIM(Raw_Data!B198))</f>
        <v/>
      </c>
      <c r="C207" s="48">
        <f>TRIM(Raw_Data!C198)</f>
        <v/>
      </c>
      <c r="D207" s="48">
        <f>IF(PROPER(TRIM(Raw_Data!D198))="Bangalore","Bengaluru",IF(PROPER(TRIM(Raw_Data!D198))="Gurgaon","Gurugram",IF(OR(PROPER(TRIM(Raw_Data!D198))="New Delhi",PROPER(TRIM(Raw_Data!D198))="Delhi"),"Delhi",PROPER(TRIM(Raw_Data!D198)))))</f>
        <v/>
      </c>
      <c r="E207" s="48">
        <f>Raw_Data!E198</f>
        <v/>
      </c>
      <c r="F207" s="48">
        <f>IF(TRIM(Raw_Data!F198&amp;"")="","Not Specified",Raw_Data!F198)</f>
        <v/>
      </c>
      <c r="G207" s="48">
        <f>Raw_Data!G198</f>
        <v/>
      </c>
      <c r="H207" s="48">
        <f>Raw_Data!H198</f>
        <v/>
      </c>
      <c r="I207" s="49">
        <f>IF(Raw_Data!I198="","",Raw_Data!I198)</f>
        <v/>
      </c>
      <c r="J207" s="49">
        <f>IF(Raw_Data!J198="","",Raw_Data!J198)</f>
        <v/>
      </c>
      <c r="K207" s="48">
        <f>IF(TRIM(Raw_Data!K198&amp;"")="","Not Specified",Raw_Data!K198)</f>
        <v/>
      </c>
      <c r="L207" s="56">
        <f>Raw_Data!L198</f>
        <v/>
      </c>
      <c r="M207" s="49">
        <f>IF(OR(I207="",J207=""),"",(I207+J207)/2)</f>
        <v/>
      </c>
      <c r="N207" s="49">
        <f>IF(OR(I207="",J207=""),"",J207-I207)</f>
        <v/>
      </c>
      <c r="O207" s="48">
        <f>TEXT(L207,"mmm-yyyy")</f>
        <v/>
      </c>
      <c r="P207" s="48">
        <f>_xlfn.IFS(ISNUMBER(SEARCH("data analy",B207)),"Data Analyst",ISNUMBER(SEARCH("business analy",B207)),"Business Analyst",OR(ISNUMBER(SEARCH("developer",B207)),ISNUMBER(SEARCH("software engineer",B207)),ISNUMBER(SEARCH("programmer",B207))),"Software Developer",ISNUMBER(SEARCH("business development",B207)),"Business Development",ISNUMBER(SEARCH("sales",B207)),"Sales Executive",ISNUMBER(SEARCH("marketing",B207)),"Marketing Executive",OR(ISNUMBER(SEARCH("hr ",B207)),ISNUMBER(SEARCH("recruit",B207)),ISNUMBER(SEARCH("human resource",B207))),"HR / Recruiter",OR(ISNUMBER(SEARCH("account",B207)),ISNUMBER(SEARCH("finance",B207)),ISNUMBER(SEARCH("tax",B207)),ISNUMBER(SEARCH("audit",B207))),"Accountant / Finance",OR(ISNUMBER(SEARCH("customer service",B207)),ISNUMBER(SEARCH("customer support",B207)),ISNUMBER(SEARCH("customer care",B207)),ISNUMBER(SEARCH("voice process",B207)),ISNUMBER(SEARCH("bpo",B207))),"Customer Support",ISNUMBER(SEARCH("engineer",B207)),"Engineer (Technical)",ISNUMBER(SEARCH("manager",B207)),"Manager",OR(ISNUMBER(SEARCH("teacher",B207)),ISNUMBER(SEARCH("trainer",B207)),ISNUMBER(SEARCH("faculty",B207))),"Teacher / Trainer",OR(ISNUMBER(SEARCH("doctor",B207)),ISNUMBER(SEARCH("nurse",B207)),ISNUMBER(SEARCH("medical",B207)),ISNUMBER(SEARCH("pharma",B207)),ISNUMBER(SEARCH("clinical",B207))),"Healthcare",TRUE,"Other")</f>
        <v/>
      </c>
      <c r="Q207" s="48">
        <f>IF(COUNTIFS($B$11:B207,B207,$C$11:C207,C207,$D$11:D207,D207,$L$11:L207,L207)&gt;1,"Duplicate","Unique")</f>
        <v/>
      </c>
    </row>
    <row r="208">
      <c r="A208" s="48">
        <f>Raw_Data!A199</f>
        <v/>
      </c>
      <c r="B208" s="48">
        <f>PROPER(TRIM(Raw_Data!B199))</f>
        <v/>
      </c>
      <c r="C208" s="48">
        <f>TRIM(Raw_Data!C199)</f>
        <v/>
      </c>
      <c r="D208" s="48">
        <f>IF(PROPER(TRIM(Raw_Data!D199))="Bangalore","Bengaluru",IF(PROPER(TRIM(Raw_Data!D199))="Gurgaon","Gurugram",IF(OR(PROPER(TRIM(Raw_Data!D199))="New Delhi",PROPER(TRIM(Raw_Data!D199))="Delhi"),"Delhi",PROPER(TRIM(Raw_Data!D199)))))</f>
        <v/>
      </c>
      <c r="E208" s="48">
        <f>Raw_Data!E199</f>
        <v/>
      </c>
      <c r="F208" s="48">
        <f>IF(TRIM(Raw_Data!F199&amp;"")="","Not Specified",Raw_Data!F199)</f>
        <v/>
      </c>
      <c r="G208" s="48">
        <f>Raw_Data!G199</f>
        <v/>
      </c>
      <c r="H208" s="48">
        <f>Raw_Data!H199</f>
        <v/>
      </c>
      <c r="I208" s="49">
        <f>IF(Raw_Data!I199="","",Raw_Data!I199)</f>
        <v/>
      </c>
      <c r="J208" s="49">
        <f>IF(Raw_Data!J199="","",Raw_Data!J199)</f>
        <v/>
      </c>
      <c r="K208" s="48">
        <f>IF(TRIM(Raw_Data!K199&amp;"")="","Not Specified",Raw_Data!K199)</f>
        <v/>
      </c>
      <c r="L208" s="56">
        <f>Raw_Data!L199</f>
        <v/>
      </c>
      <c r="M208" s="49">
        <f>IF(OR(I208="",J208=""),"",(I208+J208)/2)</f>
        <v/>
      </c>
      <c r="N208" s="49">
        <f>IF(OR(I208="",J208=""),"",J208-I208)</f>
        <v/>
      </c>
      <c r="O208" s="48">
        <f>TEXT(L208,"mmm-yyyy")</f>
        <v/>
      </c>
      <c r="P208" s="48">
        <f>_xlfn.IFS(ISNUMBER(SEARCH("data analy",B208)),"Data Analyst",ISNUMBER(SEARCH("business analy",B208)),"Business Analyst",OR(ISNUMBER(SEARCH("developer",B208)),ISNUMBER(SEARCH("software engineer",B208)),ISNUMBER(SEARCH("programmer",B208))),"Software Developer",ISNUMBER(SEARCH("business development",B208)),"Business Development",ISNUMBER(SEARCH("sales",B208)),"Sales Executive",ISNUMBER(SEARCH("marketing",B208)),"Marketing Executive",OR(ISNUMBER(SEARCH("hr ",B208)),ISNUMBER(SEARCH("recruit",B208)),ISNUMBER(SEARCH("human resource",B208))),"HR / Recruiter",OR(ISNUMBER(SEARCH("account",B208)),ISNUMBER(SEARCH("finance",B208)),ISNUMBER(SEARCH("tax",B208)),ISNUMBER(SEARCH("audit",B208))),"Accountant / Finance",OR(ISNUMBER(SEARCH("customer service",B208)),ISNUMBER(SEARCH("customer support",B208)),ISNUMBER(SEARCH("customer care",B208)),ISNUMBER(SEARCH("voice process",B208)),ISNUMBER(SEARCH("bpo",B208))),"Customer Support",ISNUMBER(SEARCH("engineer",B208)),"Engineer (Technical)",ISNUMBER(SEARCH("manager",B208)),"Manager",OR(ISNUMBER(SEARCH("teacher",B208)),ISNUMBER(SEARCH("trainer",B208)),ISNUMBER(SEARCH("faculty",B208))),"Teacher / Trainer",OR(ISNUMBER(SEARCH("doctor",B208)),ISNUMBER(SEARCH("nurse",B208)),ISNUMBER(SEARCH("medical",B208)),ISNUMBER(SEARCH("pharma",B208)),ISNUMBER(SEARCH("clinical",B208))),"Healthcare",TRUE,"Other")</f>
        <v/>
      </c>
      <c r="Q208" s="48">
        <f>IF(COUNTIFS($B$11:B208,B208,$C$11:C208,C208,$D$11:D208,D208,$L$11:L208,L208)&gt;1,"Duplicate","Unique")</f>
        <v/>
      </c>
    </row>
    <row r="209">
      <c r="A209" s="48">
        <f>Raw_Data!A200</f>
        <v/>
      </c>
      <c r="B209" s="48">
        <f>PROPER(TRIM(Raw_Data!B200))</f>
        <v/>
      </c>
      <c r="C209" s="48">
        <f>TRIM(Raw_Data!C200)</f>
        <v/>
      </c>
      <c r="D209" s="48">
        <f>IF(PROPER(TRIM(Raw_Data!D200))="Bangalore","Bengaluru",IF(PROPER(TRIM(Raw_Data!D200))="Gurgaon","Gurugram",IF(OR(PROPER(TRIM(Raw_Data!D200))="New Delhi",PROPER(TRIM(Raw_Data!D200))="Delhi"),"Delhi",PROPER(TRIM(Raw_Data!D200)))))</f>
        <v/>
      </c>
      <c r="E209" s="48">
        <f>Raw_Data!E200</f>
        <v/>
      </c>
      <c r="F209" s="48">
        <f>IF(TRIM(Raw_Data!F200&amp;"")="","Not Specified",Raw_Data!F200)</f>
        <v/>
      </c>
      <c r="G209" s="48">
        <f>Raw_Data!G200</f>
        <v/>
      </c>
      <c r="H209" s="48">
        <f>Raw_Data!H200</f>
        <v/>
      </c>
      <c r="I209" s="49">
        <f>IF(Raw_Data!I200="","",Raw_Data!I200)</f>
        <v/>
      </c>
      <c r="J209" s="49">
        <f>IF(Raw_Data!J200="","",Raw_Data!J200)</f>
        <v/>
      </c>
      <c r="K209" s="48">
        <f>IF(TRIM(Raw_Data!K200&amp;"")="","Not Specified",Raw_Data!K200)</f>
        <v/>
      </c>
      <c r="L209" s="56">
        <f>Raw_Data!L200</f>
        <v/>
      </c>
      <c r="M209" s="49">
        <f>IF(OR(I209="",J209=""),"",(I209+J209)/2)</f>
        <v/>
      </c>
      <c r="N209" s="49">
        <f>IF(OR(I209="",J209=""),"",J209-I209)</f>
        <v/>
      </c>
      <c r="O209" s="48">
        <f>TEXT(L209,"mmm-yyyy")</f>
        <v/>
      </c>
      <c r="P209" s="48">
        <f>_xlfn.IFS(ISNUMBER(SEARCH("data analy",B209)),"Data Analyst",ISNUMBER(SEARCH("business analy",B209)),"Business Analyst",OR(ISNUMBER(SEARCH("developer",B209)),ISNUMBER(SEARCH("software engineer",B209)),ISNUMBER(SEARCH("programmer",B209))),"Software Developer",ISNUMBER(SEARCH("business development",B209)),"Business Development",ISNUMBER(SEARCH("sales",B209)),"Sales Executive",ISNUMBER(SEARCH("marketing",B209)),"Marketing Executive",OR(ISNUMBER(SEARCH("hr ",B209)),ISNUMBER(SEARCH("recruit",B209)),ISNUMBER(SEARCH("human resource",B209))),"HR / Recruiter",OR(ISNUMBER(SEARCH("account",B209)),ISNUMBER(SEARCH("finance",B209)),ISNUMBER(SEARCH("tax",B209)),ISNUMBER(SEARCH("audit",B209))),"Accountant / Finance",OR(ISNUMBER(SEARCH("customer service",B209)),ISNUMBER(SEARCH("customer support",B209)),ISNUMBER(SEARCH("customer care",B209)),ISNUMBER(SEARCH("voice process",B209)),ISNUMBER(SEARCH("bpo",B209))),"Customer Support",ISNUMBER(SEARCH("engineer",B209)),"Engineer (Technical)",ISNUMBER(SEARCH("manager",B209)),"Manager",OR(ISNUMBER(SEARCH("teacher",B209)),ISNUMBER(SEARCH("trainer",B209)),ISNUMBER(SEARCH("faculty",B209))),"Teacher / Trainer",OR(ISNUMBER(SEARCH("doctor",B209)),ISNUMBER(SEARCH("nurse",B209)),ISNUMBER(SEARCH("medical",B209)),ISNUMBER(SEARCH("pharma",B209)),ISNUMBER(SEARCH("clinical",B209))),"Healthcare",TRUE,"Other")</f>
        <v/>
      </c>
      <c r="Q209" s="48">
        <f>IF(COUNTIFS($B$11:B209,B209,$C$11:C209,C209,$D$11:D209,D209,$L$11:L209,L209)&gt;1,"Duplicate","Unique")</f>
        <v/>
      </c>
    </row>
    <row r="210">
      <c r="A210" s="48">
        <f>Raw_Data!A201</f>
        <v/>
      </c>
      <c r="B210" s="48">
        <f>PROPER(TRIM(Raw_Data!B201))</f>
        <v/>
      </c>
      <c r="C210" s="48">
        <f>TRIM(Raw_Data!C201)</f>
        <v/>
      </c>
      <c r="D210" s="48">
        <f>IF(PROPER(TRIM(Raw_Data!D201))="Bangalore","Bengaluru",IF(PROPER(TRIM(Raw_Data!D201))="Gurgaon","Gurugram",IF(OR(PROPER(TRIM(Raw_Data!D201))="New Delhi",PROPER(TRIM(Raw_Data!D201))="Delhi"),"Delhi",PROPER(TRIM(Raw_Data!D201)))))</f>
        <v/>
      </c>
      <c r="E210" s="48">
        <f>Raw_Data!E201</f>
        <v/>
      </c>
      <c r="F210" s="48">
        <f>IF(TRIM(Raw_Data!F201&amp;"")="","Not Specified",Raw_Data!F201)</f>
        <v/>
      </c>
      <c r="G210" s="48">
        <f>Raw_Data!G201</f>
        <v/>
      </c>
      <c r="H210" s="48">
        <f>Raw_Data!H201</f>
        <v/>
      </c>
      <c r="I210" s="49">
        <f>IF(Raw_Data!I201="","",Raw_Data!I201)</f>
        <v/>
      </c>
      <c r="J210" s="49">
        <f>IF(Raw_Data!J201="","",Raw_Data!J201)</f>
        <v/>
      </c>
      <c r="K210" s="48">
        <f>IF(TRIM(Raw_Data!K201&amp;"")="","Not Specified",Raw_Data!K201)</f>
        <v/>
      </c>
      <c r="L210" s="56">
        <f>Raw_Data!L201</f>
        <v/>
      </c>
      <c r="M210" s="49">
        <f>IF(OR(I210="",J210=""),"",(I210+J210)/2)</f>
        <v/>
      </c>
      <c r="N210" s="49">
        <f>IF(OR(I210="",J210=""),"",J210-I210)</f>
        <v/>
      </c>
      <c r="O210" s="48">
        <f>TEXT(L210,"mmm-yyyy")</f>
        <v/>
      </c>
      <c r="P210" s="48">
        <f>_xlfn.IFS(ISNUMBER(SEARCH("data analy",B210)),"Data Analyst",ISNUMBER(SEARCH("business analy",B210)),"Business Analyst",OR(ISNUMBER(SEARCH("developer",B210)),ISNUMBER(SEARCH("software engineer",B210)),ISNUMBER(SEARCH("programmer",B210))),"Software Developer",ISNUMBER(SEARCH("business development",B210)),"Business Development",ISNUMBER(SEARCH("sales",B210)),"Sales Executive",ISNUMBER(SEARCH("marketing",B210)),"Marketing Executive",OR(ISNUMBER(SEARCH("hr ",B210)),ISNUMBER(SEARCH("recruit",B210)),ISNUMBER(SEARCH("human resource",B210))),"HR / Recruiter",OR(ISNUMBER(SEARCH("account",B210)),ISNUMBER(SEARCH("finance",B210)),ISNUMBER(SEARCH("tax",B210)),ISNUMBER(SEARCH("audit",B210))),"Accountant / Finance",OR(ISNUMBER(SEARCH("customer service",B210)),ISNUMBER(SEARCH("customer support",B210)),ISNUMBER(SEARCH("customer care",B210)),ISNUMBER(SEARCH("voice process",B210)),ISNUMBER(SEARCH("bpo",B210))),"Customer Support",ISNUMBER(SEARCH("engineer",B210)),"Engineer (Technical)",ISNUMBER(SEARCH("manager",B210)),"Manager",OR(ISNUMBER(SEARCH("teacher",B210)),ISNUMBER(SEARCH("trainer",B210)),ISNUMBER(SEARCH("faculty",B210))),"Teacher / Trainer",OR(ISNUMBER(SEARCH("doctor",B210)),ISNUMBER(SEARCH("nurse",B210)),ISNUMBER(SEARCH("medical",B210)),ISNUMBER(SEARCH("pharma",B210)),ISNUMBER(SEARCH("clinical",B210))),"Healthcare",TRUE,"Other")</f>
        <v/>
      </c>
      <c r="Q210" s="48">
        <f>IF(COUNTIFS($B$11:B210,B210,$C$11:C210,C210,$D$11:D210,D210,$L$11:L210,L210)&gt;1,"Duplicate","Unique")</f>
        <v/>
      </c>
    </row>
    <row r="211">
      <c r="A211" s="48">
        <f>Raw_Data!A202</f>
        <v/>
      </c>
      <c r="B211" s="48">
        <f>PROPER(TRIM(Raw_Data!B202))</f>
        <v/>
      </c>
      <c r="C211" s="48">
        <f>TRIM(Raw_Data!C202)</f>
        <v/>
      </c>
      <c r="D211" s="48">
        <f>IF(PROPER(TRIM(Raw_Data!D202))="Bangalore","Bengaluru",IF(PROPER(TRIM(Raw_Data!D202))="Gurgaon","Gurugram",IF(OR(PROPER(TRIM(Raw_Data!D202))="New Delhi",PROPER(TRIM(Raw_Data!D202))="Delhi"),"Delhi",PROPER(TRIM(Raw_Data!D202)))))</f>
        <v/>
      </c>
      <c r="E211" s="48">
        <f>Raw_Data!E202</f>
        <v/>
      </c>
      <c r="F211" s="48">
        <f>IF(TRIM(Raw_Data!F202&amp;"")="","Not Specified",Raw_Data!F202)</f>
        <v/>
      </c>
      <c r="G211" s="48">
        <f>Raw_Data!G202</f>
        <v/>
      </c>
      <c r="H211" s="48">
        <f>Raw_Data!H202</f>
        <v/>
      </c>
      <c r="I211" s="49">
        <f>IF(Raw_Data!I202="","",Raw_Data!I202)</f>
        <v/>
      </c>
      <c r="J211" s="49">
        <f>IF(Raw_Data!J202="","",Raw_Data!J202)</f>
        <v/>
      </c>
      <c r="K211" s="48">
        <f>IF(TRIM(Raw_Data!K202&amp;"")="","Not Specified",Raw_Data!K202)</f>
        <v/>
      </c>
      <c r="L211" s="56">
        <f>Raw_Data!L202</f>
        <v/>
      </c>
      <c r="M211" s="49">
        <f>IF(OR(I211="",J211=""),"",(I211+J211)/2)</f>
        <v/>
      </c>
      <c r="N211" s="49">
        <f>IF(OR(I211="",J211=""),"",J211-I211)</f>
        <v/>
      </c>
      <c r="O211" s="48">
        <f>TEXT(L211,"mmm-yyyy")</f>
        <v/>
      </c>
      <c r="P211" s="48">
        <f>_xlfn.IFS(ISNUMBER(SEARCH("data analy",B211)),"Data Analyst",ISNUMBER(SEARCH("business analy",B211)),"Business Analyst",OR(ISNUMBER(SEARCH("developer",B211)),ISNUMBER(SEARCH("software engineer",B211)),ISNUMBER(SEARCH("programmer",B211))),"Software Developer",ISNUMBER(SEARCH("business development",B211)),"Business Development",ISNUMBER(SEARCH("sales",B211)),"Sales Executive",ISNUMBER(SEARCH("marketing",B211)),"Marketing Executive",OR(ISNUMBER(SEARCH("hr ",B211)),ISNUMBER(SEARCH("recruit",B211)),ISNUMBER(SEARCH("human resource",B211))),"HR / Recruiter",OR(ISNUMBER(SEARCH("account",B211)),ISNUMBER(SEARCH("finance",B211)),ISNUMBER(SEARCH("tax",B211)),ISNUMBER(SEARCH("audit",B211))),"Accountant / Finance",OR(ISNUMBER(SEARCH("customer service",B211)),ISNUMBER(SEARCH("customer support",B211)),ISNUMBER(SEARCH("customer care",B211)),ISNUMBER(SEARCH("voice process",B211)),ISNUMBER(SEARCH("bpo",B211))),"Customer Support",ISNUMBER(SEARCH("engineer",B211)),"Engineer (Technical)",ISNUMBER(SEARCH("manager",B211)),"Manager",OR(ISNUMBER(SEARCH("teacher",B211)),ISNUMBER(SEARCH("trainer",B211)),ISNUMBER(SEARCH("faculty",B211))),"Teacher / Trainer",OR(ISNUMBER(SEARCH("doctor",B211)),ISNUMBER(SEARCH("nurse",B211)),ISNUMBER(SEARCH("medical",B211)),ISNUMBER(SEARCH("pharma",B211)),ISNUMBER(SEARCH("clinical",B211))),"Healthcare",TRUE,"Other")</f>
        <v/>
      </c>
      <c r="Q211" s="48">
        <f>IF(COUNTIFS($B$11:B211,B211,$C$11:C211,C211,$D$11:D211,D211,$L$11:L211,L211)&gt;1,"Duplicate","Unique")</f>
        <v/>
      </c>
    </row>
    <row r="212">
      <c r="A212" s="48">
        <f>Raw_Data!A203</f>
        <v/>
      </c>
      <c r="B212" s="48">
        <f>PROPER(TRIM(Raw_Data!B203))</f>
        <v/>
      </c>
      <c r="C212" s="48">
        <f>TRIM(Raw_Data!C203)</f>
        <v/>
      </c>
      <c r="D212" s="48">
        <f>IF(PROPER(TRIM(Raw_Data!D203))="Bangalore","Bengaluru",IF(PROPER(TRIM(Raw_Data!D203))="Gurgaon","Gurugram",IF(OR(PROPER(TRIM(Raw_Data!D203))="New Delhi",PROPER(TRIM(Raw_Data!D203))="Delhi"),"Delhi",PROPER(TRIM(Raw_Data!D203)))))</f>
        <v/>
      </c>
      <c r="E212" s="48">
        <f>Raw_Data!E203</f>
        <v/>
      </c>
      <c r="F212" s="48">
        <f>IF(TRIM(Raw_Data!F203&amp;"")="","Not Specified",Raw_Data!F203)</f>
        <v/>
      </c>
      <c r="G212" s="48">
        <f>Raw_Data!G203</f>
        <v/>
      </c>
      <c r="H212" s="48">
        <f>Raw_Data!H203</f>
        <v/>
      </c>
      <c r="I212" s="49">
        <f>IF(Raw_Data!I203="","",Raw_Data!I203)</f>
        <v/>
      </c>
      <c r="J212" s="49">
        <f>IF(Raw_Data!J203="","",Raw_Data!J203)</f>
        <v/>
      </c>
      <c r="K212" s="48">
        <f>IF(TRIM(Raw_Data!K203&amp;"")="","Not Specified",Raw_Data!K203)</f>
        <v/>
      </c>
      <c r="L212" s="56">
        <f>Raw_Data!L203</f>
        <v/>
      </c>
      <c r="M212" s="49">
        <f>IF(OR(I212="",J212=""),"",(I212+J212)/2)</f>
        <v/>
      </c>
      <c r="N212" s="49">
        <f>IF(OR(I212="",J212=""),"",J212-I212)</f>
        <v/>
      </c>
      <c r="O212" s="48">
        <f>TEXT(L212,"mmm-yyyy")</f>
        <v/>
      </c>
      <c r="P212" s="48">
        <f>_xlfn.IFS(ISNUMBER(SEARCH("data analy",B212)),"Data Analyst",ISNUMBER(SEARCH("business analy",B212)),"Business Analyst",OR(ISNUMBER(SEARCH("developer",B212)),ISNUMBER(SEARCH("software engineer",B212)),ISNUMBER(SEARCH("programmer",B212))),"Software Developer",ISNUMBER(SEARCH("business development",B212)),"Business Development",ISNUMBER(SEARCH("sales",B212)),"Sales Executive",ISNUMBER(SEARCH("marketing",B212)),"Marketing Executive",OR(ISNUMBER(SEARCH("hr ",B212)),ISNUMBER(SEARCH("recruit",B212)),ISNUMBER(SEARCH("human resource",B212))),"HR / Recruiter",OR(ISNUMBER(SEARCH("account",B212)),ISNUMBER(SEARCH("finance",B212)),ISNUMBER(SEARCH("tax",B212)),ISNUMBER(SEARCH("audit",B212))),"Accountant / Finance",OR(ISNUMBER(SEARCH("customer service",B212)),ISNUMBER(SEARCH("customer support",B212)),ISNUMBER(SEARCH("customer care",B212)),ISNUMBER(SEARCH("voice process",B212)),ISNUMBER(SEARCH("bpo",B212))),"Customer Support",ISNUMBER(SEARCH("engineer",B212)),"Engineer (Technical)",ISNUMBER(SEARCH("manager",B212)),"Manager",OR(ISNUMBER(SEARCH("teacher",B212)),ISNUMBER(SEARCH("trainer",B212)),ISNUMBER(SEARCH("faculty",B212))),"Teacher / Trainer",OR(ISNUMBER(SEARCH("doctor",B212)),ISNUMBER(SEARCH("nurse",B212)),ISNUMBER(SEARCH("medical",B212)),ISNUMBER(SEARCH("pharma",B212)),ISNUMBER(SEARCH("clinical",B212))),"Healthcare",TRUE,"Other")</f>
        <v/>
      </c>
      <c r="Q212" s="48">
        <f>IF(COUNTIFS($B$11:B212,B212,$C$11:C212,C212,$D$11:D212,D212,$L$11:L212,L212)&gt;1,"Duplicate","Unique")</f>
        <v/>
      </c>
    </row>
    <row r="213">
      <c r="A213" s="48">
        <f>Raw_Data!A204</f>
        <v/>
      </c>
      <c r="B213" s="48">
        <f>PROPER(TRIM(Raw_Data!B204))</f>
        <v/>
      </c>
      <c r="C213" s="48">
        <f>TRIM(Raw_Data!C204)</f>
        <v/>
      </c>
      <c r="D213" s="48">
        <f>IF(PROPER(TRIM(Raw_Data!D204))="Bangalore","Bengaluru",IF(PROPER(TRIM(Raw_Data!D204))="Gurgaon","Gurugram",IF(OR(PROPER(TRIM(Raw_Data!D204))="New Delhi",PROPER(TRIM(Raw_Data!D204))="Delhi"),"Delhi",PROPER(TRIM(Raw_Data!D204)))))</f>
        <v/>
      </c>
      <c r="E213" s="48">
        <f>Raw_Data!E204</f>
        <v/>
      </c>
      <c r="F213" s="48">
        <f>IF(TRIM(Raw_Data!F204&amp;"")="","Not Specified",Raw_Data!F204)</f>
        <v/>
      </c>
      <c r="G213" s="48">
        <f>Raw_Data!G204</f>
        <v/>
      </c>
      <c r="H213" s="48">
        <f>Raw_Data!H204</f>
        <v/>
      </c>
      <c r="I213" s="49">
        <f>IF(Raw_Data!I204="","",Raw_Data!I204)</f>
        <v/>
      </c>
      <c r="J213" s="49">
        <f>IF(Raw_Data!J204="","",Raw_Data!J204)</f>
        <v/>
      </c>
      <c r="K213" s="48">
        <f>IF(TRIM(Raw_Data!K204&amp;"")="","Not Specified",Raw_Data!K204)</f>
        <v/>
      </c>
      <c r="L213" s="56">
        <f>Raw_Data!L204</f>
        <v/>
      </c>
      <c r="M213" s="49">
        <f>IF(OR(I213="",J213=""),"",(I213+J213)/2)</f>
        <v/>
      </c>
      <c r="N213" s="49">
        <f>IF(OR(I213="",J213=""),"",J213-I213)</f>
        <v/>
      </c>
      <c r="O213" s="48">
        <f>TEXT(L213,"mmm-yyyy")</f>
        <v/>
      </c>
      <c r="P213" s="48">
        <f>_xlfn.IFS(ISNUMBER(SEARCH("data analy",B213)),"Data Analyst",ISNUMBER(SEARCH("business analy",B213)),"Business Analyst",OR(ISNUMBER(SEARCH("developer",B213)),ISNUMBER(SEARCH("software engineer",B213)),ISNUMBER(SEARCH("programmer",B213))),"Software Developer",ISNUMBER(SEARCH("business development",B213)),"Business Development",ISNUMBER(SEARCH("sales",B213)),"Sales Executive",ISNUMBER(SEARCH("marketing",B213)),"Marketing Executive",OR(ISNUMBER(SEARCH("hr ",B213)),ISNUMBER(SEARCH("recruit",B213)),ISNUMBER(SEARCH("human resource",B213))),"HR / Recruiter",OR(ISNUMBER(SEARCH("account",B213)),ISNUMBER(SEARCH("finance",B213)),ISNUMBER(SEARCH("tax",B213)),ISNUMBER(SEARCH("audit",B213))),"Accountant / Finance",OR(ISNUMBER(SEARCH("customer service",B213)),ISNUMBER(SEARCH("customer support",B213)),ISNUMBER(SEARCH("customer care",B213)),ISNUMBER(SEARCH("voice process",B213)),ISNUMBER(SEARCH("bpo",B213))),"Customer Support",ISNUMBER(SEARCH("engineer",B213)),"Engineer (Technical)",ISNUMBER(SEARCH("manager",B213)),"Manager",OR(ISNUMBER(SEARCH("teacher",B213)),ISNUMBER(SEARCH("trainer",B213)),ISNUMBER(SEARCH("faculty",B213))),"Teacher / Trainer",OR(ISNUMBER(SEARCH("doctor",B213)),ISNUMBER(SEARCH("nurse",B213)),ISNUMBER(SEARCH("medical",B213)),ISNUMBER(SEARCH("pharma",B213)),ISNUMBER(SEARCH("clinical",B213))),"Healthcare",TRUE,"Other")</f>
        <v/>
      </c>
      <c r="Q213" s="48">
        <f>IF(COUNTIFS($B$11:B213,B213,$C$11:C213,C213,$D$11:D213,D213,$L$11:L213,L213)&gt;1,"Duplicate","Unique")</f>
        <v/>
      </c>
    </row>
    <row r="214">
      <c r="A214" s="48">
        <f>Raw_Data!A205</f>
        <v/>
      </c>
      <c r="B214" s="48">
        <f>PROPER(TRIM(Raw_Data!B205))</f>
        <v/>
      </c>
      <c r="C214" s="48">
        <f>TRIM(Raw_Data!C205)</f>
        <v/>
      </c>
      <c r="D214" s="48">
        <f>IF(PROPER(TRIM(Raw_Data!D205))="Bangalore","Bengaluru",IF(PROPER(TRIM(Raw_Data!D205))="Gurgaon","Gurugram",IF(OR(PROPER(TRIM(Raw_Data!D205))="New Delhi",PROPER(TRIM(Raw_Data!D205))="Delhi"),"Delhi",PROPER(TRIM(Raw_Data!D205)))))</f>
        <v/>
      </c>
      <c r="E214" s="48">
        <f>Raw_Data!E205</f>
        <v/>
      </c>
      <c r="F214" s="48">
        <f>IF(TRIM(Raw_Data!F205&amp;"")="","Not Specified",Raw_Data!F205)</f>
        <v/>
      </c>
      <c r="G214" s="48">
        <f>Raw_Data!G205</f>
        <v/>
      </c>
      <c r="H214" s="48">
        <f>Raw_Data!H205</f>
        <v/>
      </c>
      <c r="I214" s="49">
        <f>IF(Raw_Data!I205="","",Raw_Data!I205)</f>
        <v/>
      </c>
      <c r="J214" s="49">
        <f>IF(Raw_Data!J205="","",Raw_Data!J205)</f>
        <v/>
      </c>
      <c r="K214" s="48">
        <f>IF(TRIM(Raw_Data!K205&amp;"")="","Not Specified",Raw_Data!K205)</f>
        <v/>
      </c>
      <c r="L214" s="56">
        <f>Raw_Data!L205</f>
        <v/>
      </c>
      <c r="M214" s="49">
        <f>IF(OR(I214="",J214=""),"",(I214+J214)/2)</f>
        <v/>
      </c>
      <c r="N214" s="49">
        <f>IF(OR(I214="",J214=""),"",J214-I214)</f>
        <v/>
      </c>
      <c r="O214" s="48">
        <f>TEXT(L214,"mmm-yyyy")</f>
        <v/>
      </c>
      <c r="P214" s="48">
        <f>_xlfn.IFS(ISNUMBER(SEARCH("data analy",B214)),"Data Analyst",ISNUMBER(SEARCH("business analy",B214)),"Business Analyst",OR(ISNUMBER(SEARCH("developer",B214)),ISNUMBER(SEARCH("software engineer",B214)),ISNUMBER(SEARCH("programmer",B214))),"Software Developer",ISNUMBER(SEARCH("business development",B214)),"Business Development",ISNUMBER(SEARCH("sales",B214)),"Sales Executive",ISNUMBER(SEARCH("marketing",B214)),"Marketing Executive",OR(ISNUMBER(SEARCH("hr ",B214)),ISNUMBER(SEARCH("recruit",B214)),ISNUMBER(SEARCH("human resource",B214))),"HR / Recruiter",OR(ISNUMBER(SEARCH("account",B214)),ISNUMBER(SEARCH("finance",B214)),ISNUMBER(SEARCH("tax",B214)),ISNUMBER(SEARCH("audit",B214))),"Accountant / Finance",OR(ISNUMBER(SEARCH("customer service",B214)),ISNUMBER(SEARCH("customer support",B214)),ISNUMBER(SEARCH("customer care",B214)),ISNUMBER(SEARCH("voice process",B214)),ISNUMBER(SEARCH("bpo",B214))),"Customer Support",ISNUMBER(SEARCH("engineer",B214)),"Engineer (Technical)",ISNUMBER(SEARCH("manager",B214)),"Manager",OR(ISNUMBER(SEARCH("teacher",B214)),ISNUMBER(SEARCH("trainer",B214)),ISNUMBER(SEARCH("faculty",B214))),"Teacher / Trainer",OR(ISNUMBER(SEARCH("doctor",B214)),ISNUMBER(SEARCH("nurse",B214)),ISNUMBER(SEARCH("medical",B214)),ISNUMBER(SEARCH("pharma",B214)),ISNUMBER(SEARCH("clinical",B214))),"Healthcare",TRUE,"Other")</f>
        <v/>
      </c>
      <c r="Q214" s="48">
        <f>IF(COUNTIFS($B$11:B214,B214,$C$11:C214,C214,$D$11:D214,D214,$L$11:L214,L214)&gt;1,"Duplicate","Unique")</f>
        <v/>
      </c>
    </row>
    <row r="215">
      <c r="A215" s="48">
        <f>Raw_Data!A206</f>
        <v/>
      </c>
      <c r="B215" s="48">
        <f>PROPER(TRIM(Raw_Data!B206))</f>
        <v/>
      </c>
      <c r="C215" s="48">
        <f>TRIM(Raw_Data!C206)</f>
        <v/>
      </c>
      <c r="D215" s="48">
        <f>IF(PROPER(TRIM(Raw_Data!D206))="Bangalore","Bengaluru",IF(PROPER(TRIM(Raw_Data!D206))="Gurgaon","Gurugram",IF(OR(PROPER(TRIM(Raw_Data!D206))="New Delhi",PROPER(TRIM(Raw_Data!D206))="Delhi"),"Delhi",PROPER(TRIM(Raw_Data!D206)))))</f>
        <v/>
      </c>
      <c r="E215" s="48">
        <f>Raw_Data!E206</f>
        <v/>
      </c>
      <c r="F215" s="48">
        <f>IF(TRIM(Raw_Data!F206&amp;"")="","Not Specified",Raw_Data!F206)</f>
        <v/>
      </c>
      <c r="G215" s="48">
        <f>Raw_Data!G206</f>
        <v/>
      </c>
      <c r="H215" s="48">
        <f>Raw_Data!H206</f>
        <v/>
      </c>
      <c r="I215" s="49">
        <f>IF(Raw_Data!I206="","",Raw_Data!I206)</f>
        <v/>
      </c>
      <c r="J215" s="49">
        <f>IF(Raw_Data!J206="","",Raw_Data!J206)</f>
        <v/>
      </c>
      <c r="K215" s="48">
        <f>IF(TRIM(Raw_Data!K206&amp;"")="","Not Specified",Raw_Data!K206)</f>
        <v/>
      </c>
      <c r="L215" s="56">
        <f>Raw_Data!L206</f>
        <v/>
      </c>
      <c r="M215" s="49">
        <f>IF(OR(I215="",J215=""),"",(I215+J215)/2)</f>
        <v/>
      </c>
      <c r="N215" s="49">
        <f>IF(OR(I215="",J215=""),"",J215-I215)</f>
        <v/>
      </c>
      <c r="O215" s="48">
        <f>TEXT(L215,"mmm-yyyy")</f>
        <v/>
      </c>
      <c r="P215" s="48">
        <f>_xlfn.IFS(ISNUMBER(SEARCH("data analy",B215)),"Data Analyst",ISNUMBER(SEARCH("business analy",B215)),"Business Analyst",OR(ISNUMBER(SEARCH("developer",B215)),ISNUMBER(SEARCH("software engineer",B215)),ISNUMBER(SEARCH("programmer",B215))),"Software Developer",ISNUMBER(SEARCH("business development",B215)),"Business Development",ISNUMBER(SEARCH("sales",B215)),"Sales Executive",ISNUMBER(SEARCH("marketing",B215)),"Marketing Executive",OR(ISNUMBER(SEARCH("hr ",B215)),ISNUMBER(SEARCH("recruit",B215)),ISNUMBER(SEARCH("human resource",B215))),"HR / Recruiter",OR(ISNUMBER(SEARCH("account",B215)),ISNUMBER(SEARCH("finance",B215)),ISNUMBER(SEARCH("tax",B215)),ISNUMBER(SEARCH("audit",B215))),"Accountant / Finance",OR(ISNUMBER(SEARCH("customer service",B215)),ISNUMBER(SEARCH("customer support",B215)),ISNUMBER(SEARCH("customer care",B215)),ISNUMBER(SEARCH("voice process",B215)),ISNUMBER(SEARCH("bpo",B215))),"Customer Support",ISNUMBER(SEARCH("engineer",B215)),"Engineer (Technical)",ISNUMBER(SEARCH("manager",B215)),"Manager",OR(ISNUMBER(SEARCH("teacher",B215)),ISNUMBER(SEARCH("trainer",B215)),ISNUMBER(SEARCH("faculty",B215))),"Teacher / Trainer",OR(ISNUMBER(SEARCH("doctor",B215)),ISNUMBER(SEARCH("nurse",B215)),ISNUMBER(SEARCH("medical",B215)),ISNUMBER(SEARCH("pharma",B215)),ISNUMBER(SEARCH("clinical",B215))),"Healthcare",TRUE,"Other")</f>
        <v/>
      </c>
      <c r="Q215" s="48">
        <f>IF(COUNTIFS($B$11:B215,B215,$C$11:C215,C215,$D$11:D215,D215,$L$11:L215,L215)&gt;1,"Duplicate","Unique")</f>
        <v/>
      </c>
    </row>
    <row r="216">
      <c r="A216" s="48">
        <f>Raw_Data!A207</f>
        <v/>
      </c>
      <c r="B216" s="48">
        <f>PROPER(TRIM(Raw_Data!B207))</f>
        <v/>
      </c>
      <c r="C216" s="48">
        <f>TRIM(Raw_Data!C207)</f>
        <v/>
      </c>
      <c r="D216" s="48">
        <f>IF(PROPER(TRIM(Raw_Data!D207))="Bangalore","Bengaluru",IF(PROPER(TRIM(Raw_Data!D207))="Gurgaon","Gurugram",IF(OR(PROPER(TRIM(Raw_Data!D207))="New Delhi",PROPER(TRIM(Raw_Data!D207))="Delhi"),"Delhi",PROPER(TRIM(Raw_Data!D207)))))</f>
        <v/>
      </c>
      <c r="E216" s="48">
        <f>Raw_Data!E207</f>
        <v/>
      </c>
      <c r="F216" s="48">
        <f>IF(TRIM(Raw_Data!F207&amp;"")="","Not Specified",Raw_Data!F207)</f>
        <v/>
      </c>
      <c r="G216" s="48">
        <f>Raw_Data!G207</f>
        <v/>
      </c>
      <c r="H216" s="48">
        <f>Raw_Data!H207</f>
        <v/>
      </c>
      <c r="I216" s="49">
        <f>IF(Raw_Data!I207="","",Raw_Data!I207)</f>
        <v/>
      </c>
      <c r="J216" s="49">
        <f>IF(Raw_Data!J207="","",Raw_Data!J207)</f>
        <v/>
      </c>
      <c r="K216" s="48">
        <f>IF(TRIM(Raw_Data!K207&amp;"")="","Not Specified",Raw_Data!K207)</f>
        <v/>
      </c>
      <c r="L216" s="56">
        <f>Raw_Data!L207</f>
        <v/>
      </c>
      <c r="M216" s="49">
        <f>IF(OR(I216="",J216=""),"",(I216+J216)/2)</f>
        <v/>
      </c>
      <c r="N216" s="49">
        <f>IF(OR(I216="",J216=""),"",J216-I216)</f>
        <v/>
      </c>
      <c r="O216" s="48">
        <f>TEXT(L216,"mmm-yyyy")</f>
        <v/>
      </c>
      <c r="P216" s="48">
        <f>_xlfn.IFS(ISNUMBER(SEARCH("data analy",B216)),"Data Analyst",ISNUMBER(SEARCH("business analy",B216)),"Business Analyst",OR(ISNUMBER(SEARCH("developer",B216)),ISNUMBER(SEARCH("software engineer",B216)),ISNUMBER(SEARCH("programmer",B216))),"Software Developer",ISNUMBER(SEARCH("business development",B216)),"Business Development",ISNUMBER(SEARCH("sales",B216)),"Sales Executive",ISNUMBER(SEARCH("marketing",B216)),"Marketing Executive",OR(ISNUMBER(SEARCH("hr ",B216)),ISNUMBER(SEARCH("recruit",B216)),ISNUMBER(SEARCH("human resource",B216))),"HR / Recruiter",OR(ISNUMBER(SEARCH("account",B216)),ISNUMBER(SEARCH("finance",B216)),ISNUMBER(SEARCH("tax",B216)),ISNUMBER(SEARCH("audit",B216))),"Accountant / Finance",OR(ISNUMBER(SEARCH("customer service",B216)),ISNUMBER(SEARCH("customer support",B216)),ISNUMBER(SEARCH("customer care",B216)),ISNUMBER(SEARCH("voice process",B216)),ISNUMBER(SEARCH("bpo",B216))),"Customer Support",ISNUMBER(SEARCH("engineer",B216)),"Engineer (Technical)",ISNUMBER(SEARCH("manager",B216)),"Manager",OR(ISNUMBER(SEARCH("teacher",B216)),ISNUMBER(SEARCH("trainer",B216)),ISNUMBER(SEARCH("faculty",B216))),"Teacher / Trainer",OR(ISNUMBER(SEARCH("doctor",B216)),ISNUMBER(SEARCH("nurse",B216)),ISNUMBER(SEARCH("medical",B216)),ISNUMBER(SEARCH("pharma",B216)),ISNUMBER(SEARCH("clinical",B216))),"Healthcare",TRUE,"Other")</f>
        <v/>
      </c>
      <c r="Q216" s="48">
        <f>IF(COUNTIFS($B$11:B216,B216,$C$11:C216,C216,$D$11:D216,D216,$L$11:L216,L216)&gt;1,"Duplicate","Unique")</f>
        <v/>
      </c>
    </row>
    <row r="217">
      <c r="A217" s="48">
        <f>Raw_Data!A208</f>
        <v/>
      </c>
      <c r="B217" s="48">
        <f>PROPER(TRIM(Raw_Data!B208))</f>
        <v/>
      </c>
      <c r="C217" s="48">
        <f>TRIM(Raw_Data!C208)</f>
        <v/>
      </c>
      <c r="D217" s="48">
        <f>IF(PROPER(TRIM(Raw_Data!D208))="Bangalore","Bengaluru",IF(PROPER(TRIM(Raw_Data!D208))="Gurgaon","Gurugram",IF(OR(PROPER(TRIM(Raw_Data!D208))="New Delhi",PROPER(TRIM(Raw_Data!D208))="Delhi"),"Delhi",PROPER(TRIM(Raw_Data!D208)))))</f>
        <v/>
      </c>
      <c r="E217" s="48">
        <f>Raw_Data!E208</f>
        <v/>
      </c>
      <c r="F217" s="48">
        <f>IF(TRIM(Raw_Data!F208&amp;"")="","Not Specified",Raw_Data!F208)</f>
        <v/>
      </c>
      <c r="G217" s="48">
        <f>Raw_Data!G208</f>
        <v/>
      </c>
      <c r="H217" s="48">
        <f>Raw_Data!H208</f>
        <v/>
      </c>
      <c r="I217" s="49">
        <f>IF(Raw_Data!I208="","",Raw_Data!I208)</f>
        <v/>
      </c>
      <c r="J217" s="49">
        <f>IF(Raw_Data!J208="","",Raw_Data!J208)</f>
        <v/>
      </c>
      <c r="K217" s="48">
        <f>IF(TRIM(Raw_Data!K208&amp;"")="","Not Specified",Raw_Data!K208)</f>
        <v/>
      </c>
      <c r="L217" s="56">
        <f>Raw_Data!L208</f>
        <v/>
      </c>
      <c r="M217" s="49">
        <f>IF(OR(I217="",J217=""),"",(I217+J217)/2)</f>
        <v/>
      </c>
      <c r="N217" s="49">
        <f>IF(OR(I217="",J217=""),"",J217-I217)</f>
        <v/>
      </c>
      <c r="O217" s="48">
        <f>TEXT(L217,"mmm-yyyy")</f>
        <v/>
      </c>
      <c r="P217" s="48">
        <f>_xlfn.IFS(ISNUMBER(SEARCH("data analy",B217)),"Data Analyst",ISNUMBER(SEARCH("business analy",B217)),"Business Analyst",OR(ISNUMBER(SEARCH("developer",B217)),ISNUMBER(SEARCH("software engineer",B217)),ISNUMBER(SEARCH("programmer",B217))),"Software Developer",ISNUMBER(SEARCH("business development",B217)),"Business Development",ISNUMBER(SEARCH("sales",B217)),"Sales Executive",ISNUMBER(SEARCH("marketing",B217)),"Marketing Executive",OR(ISNUMBER(SEARCH("hr ",B217)),ISNUMBER(SEARCH("recruit",B217)),ISNUMBER(SEARCH("human resource",B217))),"HR / Recruiter",OR(ISNUMBER(SEARCH("account",B217)),ISNUMBER(SEARCH("finance",B217)),ISNUMBER(SEARCH("tax",B217)),ISNUMBER(SEARCH("audit",B217))),"Accountant / Finance",OR(ISNUMBER(SEARCH("customer service",B217)),ISNUMBER(SEARCH("customer support",B217)),ISNUMBER(SEARCH("customer care",B217)),ISNUMBER(SEARCH("voice process",B217)),ISNUMBER(SEARCH("bpo",B217))),"Customer Support",ISNUMBER(SEARCH("engineer",B217)),"Engineer (Technical)",ISNUMBER(SEARCH("manager",B217)),"Manager",OR(ISNUMBER(SEARCH("teacher",B217)),ISNUMBER(SEARCH("trainer",B217)),ISNUMBER(SEARCH("faculty",B217))),"Teacher / Trainer",OR(ISNUMBER(SEARCH("doctor",B217)),ISNUMBER(SEARCH("nurse",B217)),ISNUMBER(SEARCH("medical",B217)),ISNUMBER(SEARCH("pharma",B217)),ISNUMBER(SEARCH("clinical",B217))),"Healthcare",TRUE,"Other")</f>
        <v/>
      </c>
      <c r="Q217" s="48">
        <f>IF(COUNTIFS($B$11:B217,B217,$C$11:C217,C217,$D$11:D217,D217,$L$11:L217,L217)&gt;1,"Duplicate","Unique")</f>
        <v/>
      </c>
    </row>
    <row r="218">
      <c r="A218" s="48">
        <f>Raw_Data!A209</f>
        <v/>
      </c>
      <c r="B218" s="48">
        <f>PROPER(TRIM(Raw_Data!B209))</f>
        <v/>
      </c>
      <c r="C218" s="48">
        <f>TRIM(Raw_Data!C209)</f>
        <v/>
      </c>
      <c r="D218" s="48">
        <f>IF(PROPER(TRIM(Raw_Data!D209))="Bangalore","Bengaluru",IF(PROPER(TRIM(Raw_Data!D209))="Gurgaon","Gurugram",IF(OR(PROPER(TRIM(Raw_Data!D209))="New Delhi",PROPER(TRIM(Raw_Data!D209))="Delhi"),"Delhi",PROPER(TRIM(Raw_Data!D209)))))</f>
        <v/>
      </c>
      <c r="E218" s="48">
        <f>Raw_Data!E209</f>
        <v/>
      </c>
      <c r="F218" s="48">
        <f>IF(TRIM(Raw_Data!F209&amp;"")="","Not Specified",Raw_Data!F209)</f>
        <v/>
      </c>
      <c r="G218" s="48">
        <f>Raw_Data!G209</f>
        <v/>
      </c>
      <c r="H218" s="48">
        <f>Raw_Data!H209</f>
        <v/>
      </c>
      <c r="I218" s="49">
        <f>IF(Raw_Data!I209="","",Raw_Data!I209)</f>
        <v/>
      </c>
      <c r="J218" s="49">
        <f>IF(Raw_Data!J209="","",Raw_Data!J209)</f>
        <v/>
      </c>
      <c r="K218" s="48">
        <f>IF(TRIM(Raw_Data!K209&amp;"")="","Not Specified",Raw_Data!K209)</f>
        <v/>
      </c>
      <c r="L218" s="56">
        <f>Raw_Data!L209</f>
        <v/>
      </c>
      <c r="M218" s="49">
        <f>IF(OR(I218="",J218=""),"",(I218+J218)/2)</f>
        <v/>
      </c>
      <c r="N218" s="49">
        <f>IF(OR(I218="",J218=""),"",J218-I218)</f>
        <v/>
      </c>
      <c r="O218" s="48">
        <f>TEXT(L218,"mmm-yyyy")</f>
        <v/>
      </c>
      <c r="P218" s="48">
        <f>_xlfn.IFS(ISNUMBER(SEARCH("data analy",B218)),"Data Analyst",ISNUMBER(SEARCH("business analy",B218)),"Business Analyst",OR(ISNUMBER(SEARCH("developer",B218)),ISNUMBER(SEARCH("software engineer",B218)),ISNUMBER(SEARCH("programmer",B218))),"Software Developer",ISNUMBER(SEARCH("business development",B218)),"Business Development",ISNUMBER(SEARCH("sales",B218)),"Sales Executive",ISNUMBER(SEARCH("marketing",B218)),"Marketing Executive",OR(ISNUMBER(SEARCH("hr ",B218)),ISNUMBER(SEARCH("recruit",B218)),ISNUMBER(SEARCH("human resource",B218))),"HR / Recruiter",OR(ISNUMBER(SEARCH("account",B218)),ISNUMBER(SEARCH("finance",B218)),ISNUMBER(SEARCH("tax",B218)),ISNUMBER(SEARCH("audit",B218))),"Accountant / Finance",OR(ISNUMBER(SEARCH("customer service",B218)),ISNUMBER(SEARCH("customer support",B218)),ISNUMBER(SEARCH("customer care",B218)),ISNUMBER(SEARCH("voice process",B218)),ISNUMBER(SEARCH("bpo",B218))),"Customer Support",ISNUMBER(SEARCH("engineer",B218)),"Engineer (Technical)",ISNUMBER(SEARCH("manager",B218)),"Manager",OR(ISNUMBER(SEARCH("teacher",B218)),ISNUMBER(SEARCH("trainer",B218)),ISNUMBER(SEARCH("faculty",B218))),"Teacher / Trainer",OR(ISNUMBER(SEARCH("doctor",B218)),ISNUMBER(SEARCH("nurse",B218)),ISNUMBER(SEARCH("medical",B218)),ISNUMBER(SEARCH("pharma",B218)),ISNUMBER(SEARCH("clinical",B218))),"Healthcare",TRUE,"Other")</f>
        <v/>
      </c>
      <c r="Q218" s="48">
        <f>IF(COUNTIFS($B$11:B218,B218,$C$11:C218,C218,$D$11:D218,D218,$L$11:L218,L218)&gt;1,"Duplicate","Unique")</f>
        <v/>
      </c>
    </row>
    <row r="219">
      <c r="A219" s="48">
        <f>Raw_Data!A210</f>
        <v/>
      </c>
      <c r="B219" s="48">
        <f>PROPER(TRIM(Raw_Data!B210))</f>
        <v/>
      </c>
      <c r="C219" s="48">
        <f>TRIM(Raw_Data!C210)</f>
        <v/>
      </c>
      <c r="D219" s="48">
        <f>IF(PROPER(TRIM(Raw_Data!D210))="Bangalore","Bengaluru",IF(PROPER(TRIM(Raw_Data!D210))="Gurgaon","Gurugram",IF(OR(PROPER(TRIM(Raw_Data!D210))="New Delhi",PROPER(TRIM(Raw_Data!D210))="Delhi"),"Delhi",PROPER(TRIM(Raw_Data!D210)))))</f>
        <v/>
      </c>
      <c r="E219" s="48">
        <f>Raw_Data!E210</f>
        <v/>
      </c>
      <c r="F219" s="48">
        <f>IF(TRIM(Raw_Data!F210&amp;"")="","Not Specified",Raw_Data!F210)</f>
        <v/>
      </c>
      <c r="G219" s="48">
        <f>Raw_Data!G210</f>
        <v/>
      </c>
      <c r="H219" s="48">
        <f>Raw_Data!H210</f>
        <v/>
      </c>
      <c r="I219" s="49">
        <f>IF(Raw_Data!I210="","",Raw_Data!I210)</f>
        <v/>
      </c>
      <c r="J219" s="49">
        <f>IF(Raw_Data!J210="","",Raw_Data!J210)</f>
        <v/>
      </c>
      <c r="K219" s="48">
        <f>IF(TRIM(Raw_Data!K210&amp;"")="","Not Specified",Raw_Data!K210)</f>
        <v/>
      </c>
      <c r="L219" s="56">
        <f>Raw_Data!L210</f>
        <v/>
      </c>
      <c r="M219" s="49">
        <f>IF(OR(I219="",J219=""),"",(I219+J219)/2)</f>
        <v/>
      </c>
      <c r="N219" s="49">
        <f>IF(OR(I219="",J219=""),"",J219-I219)</f>
        <v/>
      </c>
      <c r="O219" s="48">
        <f>TEXT(L219,"mmm-yyyy")</f>
        <v/>
      </c>
      <c r="P219" s="48">
        <f>_xlfn.IFS(ISNUMBER(SEARCH("data analy",B219)),"Data Analyst",ISNUMBER(SEARCH("business analy",B219)),"Business Analyst",OR(ISNUMBER(SEARCH("developer",B219)),ISNUMBER(SEARCH("software engineer",B219)),ISNUMBER(SEARCH("programmer",B219))),"Software Developer",ISNUMBER(SEARCH("business development",B219)),"Business Development",ISNUMBER(SEARCH("sales",B219)),"Sales Executive",ISNUMBER(SEARCH("marketing",B219)),"Marketing Executive",OR(ISNUMBER(SEARCH("hr ",B219)),ISNUMBER(SEARCH("recruit",B219)),ISNUMBER(SEARCH("human resource",B219))),"HR / Recruiter",OR(ISNUMBER(SEARCH("account",B219)),ISNUMBER(SEARCH("finance",B219)),ISNUMBER(SEARCH("tax",B219)),ISNUMBER(SEARCH("audit",B219))),"Accountant / Finance",OR(ISNUMBER(SEARCH("customer service",B219)),ISNUMBER(SEARCH("customer support",B219)),ISNUMBER(SEARCH("customer care",B219)),ISNUMBER(SEARCH("voice process",B219)),ISNUMBER(SEARCH("bpo",B219))),"Customer Support",ISNUMBER(SEARCH("engineer",B219)),"Engineer (Technical)",ISNUMBER(SEARCH("manager",B219)),"Manager",OR(ISNUMBER(SEARCH("teacher",B219)),ISNUMBER(SEARCH("trainer",B219)),ISNUMBER(SEARCH("faculty",B219))),"Teacher / Trainer",OR(ISNUMBER(SEARCH("doctor",B219)),ISNUMBER(SEARCH("nurse",B219)),ISNUMBER(SEARCH("medical",B219)),ISNUMBER(SEARCH("pharma",B219)),ISNUMBER(SEARCH("clinical",B219))),"Healthcare",TRUE,"Other")</f>
        <v/>
      </c>
      <c r="Q219" s="48">
        <f>IF(COUNTIFS($B$11:B219,B219,$C$11:C219,C219,$D$11:D219,D219,$L$11:L219,L219)&gt;1,"Duplicate","Unique")</f>
        <v/>
      </c>
    </row>
    <row r="220">
      <c r="A220" s="48">
        <f>Raw_Data!A211</f>
        <v/>
      </c>
      <c r="B220" s="48">
        <f>PROPER(TRIM(Raw_Data!B211))</f>
        <v/>
      </c>
      <c r="C220" s="48">
        <f>TRIM(Raw_Data!C211)</f>
        <v/>
      </c>
      <c r="D220" s="48">
        <f>IF(PROPER(TRIM(Raw_Data!D211))="Bangalore","Bengaluru",IF(PROPER(TRIM(Raw_Data!D211))="Gurgaon","Gurugram",IF(OR(PROPER(TRIM(Raw_Data!D211))="New Delhi",PROPER(TRIM(Raw_Data!D211))="Delhi"),"Delhi",PROPER(TRIM(Raw_Data!D211)))))</f>
        <v/>
      </c>
      <c r="E220" s="48">
        <f>Raw_Data!E211</f>
        <v/>
      </c>
      <c r="F220" s="48">
        <f>IF(TRIM(Raw_Data!F211&amp;"")="","Not Specified",Raw_Data!F211)</f>
        <v/>
      </c>
      <c r="G220" s="48">
        <f>Raw_Data!G211</f>
        <v/>
      </c>
      <c r="H220" s="48">
        <f>Raw_Data!H211</f>
        <v/>
      </c>
      <c r="I220" s="49">
        <f>IF(Raw_Data!I211="","",Raw_Data!I211)</f>
        <v/>
      </c>
      <c r="J220" s="49">
        <f>IF(Raw_Data!J211="","",Raw_Data!J211)</f>
        <v/>
      </c>
      <c r="K220" s="48">
        <f>IF(TRIM(Raw_Data!K211&amp;"")="","Not Specified",Raw_Data!K211)</f>
        <v/>
      </c>
      <c r="L220" s="56">
        <f>Raw_Data!L211</f>
        <v/>
      </c>
      <c r="M220" s="49">
        <f>IF(OR(I220="",J220=""),"",(I220+J220)/2)</f>
        <v/>
      </c>
      <c r="N220" s="49">
        <f>IF(OR(I220="",J220=""),"",J220-I220)</f>
        <v/>
      </c>
      <c r="O220" s="48">
        <f>TEXT(L220,"mmm-yyyy")</f>
        <v/>
      </c>
      <c r="P220" s="48">
        <f>_xlfn.IFS(ISNUMBER(SEARCH("data analy",B220)),"Data Analyst",ISNUMBER(SEARCH("business analy",B220)),"Business Analyst",OR(ISNUMBER(SEARCH("developer",B220)),ISNUMBER(SEARCH("software engineer",B220)),ISNUMBER(SEARCH("programmer",B220))),"Software Developer",ISNUMBER(SEARCH("business development",B220)),"Business Development",ISNUMBER(SEARCH("sales",B220)),"Sales Executive",ISNUMBER(SEARCH("marketing",B220)),"Marketing Executive",OR(ISNUMBER(SEARCH("hr ",B220)),ISNUMBER(SEARCH("recruit",B220)),ISNUMBER(SEARCH("human resource",B220))),"HR / Recruiter",OR(ISNUMBER(SEARCH("account",B220)),ISNUMBER(SEARCH("finance",B220)),ISNUMBER(SEARCH("tax",B220)),ISNUMBER(SEARCH("audit",B220))),"Accountant / Finance",OR(ISNUMBER(SEARCH("customer service",B220)),ISNUMBER(SEARCH("customer support",B220)),ISNUMBER(SEARCH("customer care",B220)),ISNUMBER(SEARCH("voice process",B220)),ISNUMBER(SEARCH("bpo",B220))),"Customer Support",ISNUMBER(SEARCH("engineer",B220)),"Engineer (Technical)",ISNUMBER(SEARCH("manager",B220)),"Manager",OR(ISNUMBER(SEARCH("teacher",B220)),ISNUMBER(SEARCH("trainer",B220)),ISNUMBER(SEARCH("faculty",B220))),"Teacher / Trainer",OR(ISNUMBER(SEARCH("doctor",B220)),ISNUMBER(SEARCH("nurse",B220)),ISNUMBER(SEARCH("medical",B220)),ISNUMBER(SEARCH("pharma",B220)),ISNUMBER(SEARCH("clinical",B220))),"Healthcare",TRUE,"Other")</f>
        <v/>
      </c>
      <c r="Q220" s="48">
        <f>IF(COUNTIFS($B$11:B220,B220,$C$11:C220,C220,$D$11:D220,D220,$L$11:L220,L220)&gt;1,"Duplicate","Unique")</f>
        <v/>
      </c>
    </row>
    <row r="221">
      <c r="A221" s="48">
        <f>Raw_Data!A212</f>
        <v/>
      </c>
      <c r="B221" s="48">
        <f>PROPER(TRIM(Raw_Data!B212))</f>
        <v/>
      </c>
      <c r="C221" s="48">
        <f>TRIM(Raw_Data!C212)</f>
        <v/>
      </c>
      <c r="D221" s="48">
        <f>IF(PROPER(TRIM(Raw_Data!D212))="Bangalore","Bengaluru",IF(PROPER(TRIM(Raw_Data!D212))="Gurgaon","Gurugram",IF(OR(PROPER(TRIM(Raw_Data!D212))="New Delhi",PROPER(TRIM(Raw_Data!D212))="Delhi"),"Delhi",PROPER(TRIM(Raw_Data!D212)))))</f>
        <v/>
      </c>
      <c r="E221" s="48">
        <f>Raw_Data!E212</f>
        <v/>
      </c>
      <c r="F221" s="48">
        <f>IF(TRIM(Raw_Data!F212&amp;"")="","Not Specified",Raw_Data!F212)</f>
        <v/>
      </c>
      <c r="G221" s="48">
        <f>Raw_Data!G212</f>
        <v/>
      </c>
      <c r="H221" s="48">
        <f>Raw_Data!H212</f>
        <v/>
      </c>
      <c r="I221" s="49">
        <f>IF(Raw_Data!I212="","",Raw_Data!I212)</f>
        <v/>
      </c>
      <c r="J221" s="49">
        <f>IF(Raw_Data!J212="","",Raw_Data!J212)</f>
        <v/>
      </c>
      <c r="K221" s="48">
        <f>IF(TRIM(Raw_Data!K212&amp;"")="","Not Specified",Raw_Data!K212)</f>
        <v/>
      </c>
      <c r="L221" s="56">
        <f>Raw_Data!L212</f>
        <v/>
      </c>
      <c r="M221" s="49">
        <f>IF(OR(I221="",J221=""),"",(I221+J221)/2)</f>
        <v/>
      </c>
      <c r="N221" s="49">
        <f>IF(OR(I221="",J221=""),"",J221-I221)</f>
        <v/>
      </c>
      <c r="O221" s="48">
        <f>TEXT(L221,"mmm-yyyy")</f>
        <v/>
      </c>
      <c r="P221" s="48">
        <f>_xlfn.IFS(ISNUMBER(SEARCH("data analy",B221)),"Data Analyst",ISNUMBER(SEARCH("business analy",B221)),"Business Analyst",OR(ISNUMBER(SEARCH("developer",B221)),ISNUMBER(SEARCH("software engineer",B221)),ISNUMBER(SEARCH("programmer",B221))),"Software Developer",ISNUMBER(SEARCH("business development",B221)),"Business Development",ISNUMBER(SEARCH("sales",B221)),"Sales Executive",ISNUMBER(SEARCH("marketing",B221)),"Marketing Executive",OR(ISNUMBER(SEARCH("hr ",B221)),ISNUMBER(SEARCH("recruit",B221)),ISNUMBER(SEARCH("human resource",B221))),"HR / Recruiter",OR(ISNUMBER(SEARCH("account",B221)),ISNUMBER(SEARCH("finance",B221)),ISNUMBER(SEARCH("tax",B221)),ISNUMBER(SEARCH("audit",B221))),"Accountant / Finance",OR(ISNUMBER(SEARCH("customer service",B221)),ISNUMBER(SEARCH("customer support",B221)),ISNUMBER(SEARCH("customer care",B221)),ISNUMBER(SEARCH("voice process",B221)),ISNUMBER(SEARCH("bpo",B221))),"Customer Support",ISNUMBER(SEARCH("engineer",B221)),"Engineer (Technical)",ISNUMBER(SEARCH("manager",B221)),"Manager",OR(ISNUMBER(SEARCH("teacher",B221)),ISNUMBER(SEARCH("trainer",B221)),ISNUMBER(SEARCH("faculty",B221))),"Teacher / Trainer",OR(ISNUMBER(SEARCH("doctor",B221)),ISNUMBER(SEARCH("nurse",B221)),ISNUMBER(SEARCH("medical",B221)),ISNUMBER(SEARCH("pharma",B221)),ISNUMBER(SEARCH("clinical",B221))),"Healthcare",TRUE,"Other")</f>
        <v/>
      </c>
      <c r="Q221" s="48">
        <f>IF(COUNTIFS($B$11:B221,B221,$C$11:C221,C221,$D$11:D221,D221,$L$11:L221,L221)&gt;1,"Duplicate","Unique")</f>
        <v/>
      </c>
    </row>
    <row r="222">
      <c r="A222" s="48">
        <f>Raw_Data!A213</f>
        <v/>
      </c>
      <c r="B222" s="48">
        <f>PROPER(TRIM(Raw_Data!B213))</f>
        <v/>
      </c>
      <c r="C222" s="48">
        <f>TRIM(Raw_Data!C213)</f>
        <v/>
      </c>
      <c r="D222" s="48">
        <f>IF(PROPER(TRIM(Raw_Data!D213))="Bangalore","Bengaluru",IF(PROPER(TRIM(Raw_Data!D213))="Gurgaon","Gurugram",IF(OR(PROPER(TRIM(Raw_Data!D213))="New Delhi",PROPER(TRIM(Raw_Data!D213))="Delhi"),"Delhi",PROPER(TRIM(Raw_Data!D213)))))</f>
        <v/>
      </c>
      <c r="E222" s="48">
        <f>Raw_Data!E213</f>
        <v/>
      </c>
      <c r="F222" s="48">
        <f>IF(TRIM(Raw_Data!F213&amp;"")="","Not Specified",Raw_Data!F213)</f>
        <v/>
      </c>
      <c r="G222" s="48">
        <f>Raw_Data!G213</f>
        <v/>
      </c>
      <c r="H222" s="48">
        <f>Raw_Data!H213</f>
        <v/>
      </c>
      <c r="I222" s="49">
        <f>IF(Raw_Data!I213="","",Raw_Data!I213)</f>
        <v/>
      </c>
      <c r="J222" s="49">
        <f>IF(Raw_Data!J213="","",Raw_Data!J213)</f>
        <v/>
      </c>
      <c r="K222" s="48">
        <f>IF(TRIM(Raw_Data!K213&amp;"")="","Not Specified",Raw_Data!K213)</f>
        <v/>
      </c>
      <c r="L222" s="56">
        <f>Raw_Data!L213</f>
        <v/>
      </c>
      <c r="M222" s="49">
        <f>IF(OR(I222="",J222=""),"",(I222+J222)/2)</f>
        <v/>
      </c>
      <c r="N222" s="49">
        <f>IF(OR(I222="",J222=""),"",J222-I222)</f>
        <v/>
      </c>
      <c r="O222" s="48">
        <f>TEXT(L222,"mmm-yyyy")</f>
        <v/>
      </c>
      <c r="P222" s="48">
        <f>_xlfn.IFS(ISNUMBER(SEARCH("data analy",B222)),"Data Analyst",ISNUMBER(SEARCH("business analy",B222)),"Business Analyst",OR(ISNUMBER(SEARCH("developer",B222)),ISNUMBER(SEARCH("software engineer",B222)),ISNUMBER(SEARCH("programmer",B222))),"Software Developer",ISNUMBER(SEARCH("business development",B222)),"Business Development",ISNUMBER(SEARCH("sales",B222)),"Sales Executive",ISNUMBER(SEARCH("marketing",B222)),"Marketing Executive",OR(ISNUMBER(SEARCH("hr ",B222)),ISNUMBER(SEARCH("recruit",B222)),ISNUMBER(SEARCH("human resource",B222))),"HR / Recruiter",OR(ISNUMBER(SEARCH("account",B222)),ISNUMBER(SEARCH("finance",B222)),ISNUMBER(SEARCH("tax",B222)),ISNUMBER(SEARCH("audit",B222))),"Accountant / Finance",OR(ISNUMBER(SEARCH("customer service",B222)),ISNUMBER(SEARCH("customer support",B222)),ISNUMBER(SEARCH("customer care",B222)),ISNUMBER(SEARCH("voice process",B222)),ISNUMBER(SEARCH("bpo",B222))),"Customer Support",ISNUMBER(SEARCH("engineer",B222)),"Engineer (Technical)",ISNUMBER(SEARCH("manager",B222)),"Manager",OR(ISNUMBER(SEARCH("teacher",B222)),ISNUMBER(SEARCH("trainer",B222)),ISNUMBER(SEARCH("faculty",B222))),"Teacher / Trainer",OR(ISNUMBER(SEARCH("doctor",B222)),ISNUMBER(SEARCH("nurse",B222)),ISNUMBER(SEARCH("medical",B222)),ISNUMBER(SEARCH("pharma",B222)),ISNUMBER(SEARCH("clinical",B222))),"Healthcare",TRUE,"Other")</f>
        <v/>
      </c>
      <c r="Q222" s="48">
        <f>IF(COUNTIFS($B$11:B222,B222,$C$11:C222,C222,$D$11:D222,D222,$L$11:L222,L222)&gt;1,"Duplicate","Unique")</f>
        <v/>
      </c>
    </row>
    <row r="223">
      <c r="A223" s="48">
        <f>Raw_Data!A214</f>
        <v/>
      </c>
      <c r="B223" s="48">
        <f>PROPER(TRIM(Raw_Data!B214))</f>
        <v/>
      </c>
      <c r="C223" s="48">
        <f>TRIM(Raw_Data!C214)</f>
        <v/>
      </c>
      <c r="D223" s="48">
        <f>IF(PROPER(TRIM(Raw_Data!D214))="Bangalore","Bengaluru",IF(PROPER(TRIM(Raw_Data!D214))="Gurgaon","Gurugram",IF(OR(PROPER(TRIM(Raw_Data!D214))="New Delhi",PROPER(TRIM(Raw_Data!D214))="Delhi"),"Delhi",PROPER(TRIM(Raw_Data!D214)))))</f>
        <v/>
      </c>
      <c r="E223" s="48">
        <f>Raw_Data!E214</f>
        <v/>
      </c>
      <c r="F223" s="48">
        <f>IF(TRIM(Raw_Data!F214&amp;"")="","Not Specified",Raw_Data!F214)</f>
        <v/>
      </c>
      <c r="G223" s="48">
        <f>Raw_Data!G214</f>
        <v/>
      </c>
      <c r="H223" s="48">
        <f>Raw_Data!H214</f>
        <v/>
      </c>
      <c r="I223" s="49">
        <f>IF(Raw_Data!I214="","",Raw_Data!I214)</f>
        <v/>
      </c>
      <c r="J223" s="49">
        <f>IF(Raw_Data!J214="","",Raw_Data!J214)</f>
        <v/>
      </c>
      <c r="K223" s="48">
        <f>IF(TRIM(Raw_Data!K214&amp;"")="","Not Specified",Raw_Data!K214)</f>
        <v/>
      </c>
      <c r="L223" s="56">
        <f>Raw_Data!L214</f>
        <v/>
      </c>
      <c r="M223" s="49">
        <f>IF(OR(I223="",J223=""),"",(I223+J223)/2)</f>
        <v/>
      </c>
      <c r="N223" s="49">
        <f>IF(OR(I223="",J223=""),"",J223-I223)</f>
        <v/>
      </c>
      <c r="O223" s="48">
        <f>TEXT(L223,"mmm-yyyy")</f>
        <v/>
      </c>
      <c r="P223" s="48">
        <f>_xlfn.IFS(ISNUMBER(SEARCH("data analy",B223)),"Data Analyst",ISNUMBER(SEARCH("business analy",B223)),"Business Analyst",OR(ISNUMBER(SEARCH("developer",B223)),ISNUMBER(SEARCH("software engineer",B223)),ISNUMBER(SEARCH("programmer",B223))),"Software Developer",ISNUMBER(SEARCH("business development",B223)),"Business Development",ISNUMBER(SEARCH("sales",B223)),"Sales Executive",ISNUMBER(SEARCH("marketing",B223)),"Marketing Executive",OR(ISNUMBER(SEARCH("hr ",B223)),ISNUMBER(SEARCH("recruit",B223)),ISNUMBER(SEARCH("human resource",B223))),"HR / Recruiter",OR(ISNUMBER(SEARCH("account",B223)),ISNUMBER(SEARCH("finance",B223)),ISNUMBER(SEARCH("tax",B223)),ISNUMBER(SEARCH("audit",B223))),"Accountant / Finance",OR(ISNUMBER(SEARCH("customer service",B223)),ISNUMBER(SEARCH("customer support",B223)),ISNUMBER(SEARCH("customer care",B223)),ISNUMBER(SEARCH("voice process",B223)),ISNUMBER(SEARCH("bpo",B223))),"Customer Support",ISNUMBER(SEARCH("engineer",B223)),"Engineer (Technical)",ISNUMBER(SEARCH("manager",B223)),"Manager",OR(ISNUMBER(SEARCH("teacher",B223)),ISNUMBER(SEARCH("trainer",B223)),ISNUMBER(SEARCH("faculty",B223))),"Teacher / Trainer",OR(ISNUMBER(SEARCH("doctor",B223)),ISNUMBER(SEARCH("nurse",B223)),ISNUMBER(SEARCH("medical",B223)),ISNUMBER(SEARCH("pharma",B223)),ISNUMBER(SEARCH("clinical",B223))),"Healthcare",TRUE,"Other")</f>
        <v/>
      </c>
      <c r="Q223" s="48">
        <f>IF(COUNTIFS($B$11:B223,B223,$C$11:C223,C223,$D$11:D223,D223,$L$11:L223,L223)&gt;1,"Duplicate","Unique")</f>
        <v/>
      </c>
    </row>
    <row r="224">
      <c r="A224" s="48">
        <f>Raw_Data!A215</f>
        <v/>
      </c>
      <c r="B224" s="48">
        <f>PROPER(TRIM(Raw_Data!B215))</f>
        <v/>
      </c>
      <c r="C224" s="48">
        <f>TRIM(Raw_Data!C215)</f>
        <v/>
      </c>
      <c r="D224" s="48">
        <f>IF(PROPER(TRIM(Raw_Data!D215))="Bangalore","Bengaluru",IF(PROPER(TRIM(Raw_Data!D215))="Gurgaon","Gurugram",IF(OR(PROPER(TRIM(Raw_Data!D215))="New Delhi",PROPER(TRIM(Raw_Data!D215))="Delhi"),"Delhi",PROPER(TRIM(Raw_Data!D215)))))</f>
        <v/>
      </c>
      <c r="E224" s="48">
        <f>Raw_Data!E215</f>
        <v/>
      </c>
      <c r="F224" s="48">
        <f>IF(TRIM(Raw_Data!F215&amp;"")="","Not Specified",Raw_Data!F215)</f>
        <v/>
      </c>
      <c r="G224" s="48">
        <f>Raw_Data!G215</f>
        <v/>
      </c>
      <c r="H224" s="48">
        <f>Raw_Data!H215</f>
        <v/>
      </c>
      <c r="I224" s="49">
        <f>IF(Raw_Data!I215="","",Raw_Data!I215)</f>
        <v/>
      </c>
      <c r="J224" s="49">
        <f>IF(Raw_Data!J215="","",Raw_Data!J215)</f>
        <v/>
      </c>
      <c r="K224" s="48">
        <f>IF(TRIM(Raw_Data!K215&amp;"")="","Not Specified",Raw_Data!K215)</f>
        <v/>
      </c>
      <c r="L224" s="56">
        <f>Raw_Data!L215</f>
        <v/>
      </c>
      <c r="M224" s="49">
        <f>IF(OR(I224="",J224=""),"",(I224+J224)/2)</f>
        <v/>
      </c>
      <c r="N224" s="49">
        <f>IF(OR(I224="",J224=""),"",J224-I224)</f>
        <v/>
      </c>
      <c r="O224" s="48">
        <f>TEXT(L224,"mmm-yyyy")</f>
        <v/>
      </c>
      <c r="P224" s="48">
        <f>_xlfn.IFS(ISNUMBER(SEARCH("data analy",B224)),"Data Analyst",ISNUMBER(SEARCH("business analy",B224)),"Business Analyst",OR(ISNUMBER(SEARCH("developer",B224)),ISNUMBER(SEARCH("software engineer",B224)),ISNUMBER(SEARCH("programmer",B224))),"Software Developer",ISNUMBER(SEARCH("business development",B224)),"Business Development",ISNUMBER(SEARCH("sales",B224)),"Sales Executive",ISNUMBER(SEARCH("marketing",B224)),"Marketing Executive",OR(ISNUMBER(SEARCH("hr ",B224)),ISNUMBER(SEARCH("recruit",B224)),ISNUMBER(SEARCH("human resource",B224))),"HR / Recruiter",OR(ISNUMBER(SEARCH("account",B224)),ISNUMBER(SEARCH("finance",B224)),ISNUMBER(SEARCH("tax",B224)),ISNUMBER(SEARCH("audit",B224))),"Accountant / Finance",OR(ISNUMBER(SEARCH("customer service",B224)),ISNUMBER(SEARCH("customer support",B224)),ISNUMBER(SEARCH("customer care",B224)),ISNUMBER(SEARCH("voice process",B224)),ISNUMBER(SEARCH("bpo",B224))),"Customer Support",ISNUMBER(SEARCH("engineer",B224)),"Engineer (Technical)",ISNUMBER(SEARCH("manager",B224)),"Manager",OR(ISNUMBER(SEARCH("teacher",B224)),ISNUMBER(SEARCH("trainer",B224)),ISNUMBER(SEARCH("faculty",B224))),"Teacher / Trainer",OR(ISNUMBER(SEARCH("doctor",B224)),ISNUMBER(SEARCH("nurse",B224)),ISNUMBER(SEARCH("medical",B224)),ISNUMBER(SEARCH("pharma",B224)),ISNUMBER(SEARCH("clinical",B224))),"Healthcare",TRUE,"Other")</f>
        <v/>
      </c>
      <c r="Q224" s="48">
        <f>IF(COUNTIFS($B$11:B224,B224,$C$11:C224,C224,$D$11:D224,D224,$L$11:L224,L224)&gt;1,"Duplicate","Unique")</f>
        <v/>
      </c>
    </row>
    <row r="225">
      <c r="A225" s="48">
        <f>Raw_Data!A216</f>
        <v/>
      </c>
      <c r="B225" s="48">
        <f>PROPER(TRIM(Raw_Data!B216))</f>
        <v/>
      </c>
      <c r="C225" s="48">
        <f>TRIM(Raw_Data!C216)</f>
        <v/>
      </c>
      <c r="D225" s="48">
        <f>IF(PROPER(TRIM(Raw_Data!D216))="Bangalore","Bengaluru",IF(PROPER(TRIM(Raw_Data!D216))="Gurgaon","Gurugram",IF(OR(PROPER(TRIM(Raw_Data!D216))="New Delhi",PROPER(TRIM(Raw_Data!D216))="Delhi"),"Delhi",PROPER(TRIM(Raw_Data!D216)))))</f>
        <v/>
      </c>
      <c r="E225" s="48">
        <f>Raw_Data!E216</f>
        <v/>
      </c>
      <c r="F225" s="48">
        <f>IF(TRIM(Raw_Data!F216&amp;"")="","Not Specified",Raw_Data!F216)</f>
        <v/>
      </c>
      <c r="G225" s="48">
        <f>Raw_Data!G216</f>
        <v/>
      </c>
      <c r="H225" s="48">
        <f>Raw_Data!H216</f>
        <v/>
      </c>
      <c r="I225" s="49">
        <f>IF(Raw_Data!I216="","",Raw_Data!I216)</f>
        <v/>
      </c>
      <c r="J225" s="49">
        <f>IF(Raw_Data!J216="","",Raw_Data!J216)</f>
        <v/>
      </c>
      <c r="K225" s="48">
        <f>IF(TRIM(Raw_Data!K216&amp;"")="","Not Specified",Raw_Data!K216)</f>
        <v/>
      </c>
      <c r="L225" s="56">
        <f>Raw_Data!L216</f>
        <v/>
      </c>
      <c r="M225" s="49">
        <f>IF(OR(I225="",J225=""),"",(I225+J225)/2)</f>
        <v/>
      </c>
      <c r="N225" s="49">
        <f>IF(OR(I225="",J225=""),"",J225-I225)</f>
        <v/>
      </c>
      <c r="O225" s="48">
        <f>TEXT(L225,"mmm-yyyy")</f>
        <v/>
      </c>
      <c r="P225" s="48">
        <f>_xlfn.IFS(ISNUMBER(SEARCH("data analy",B225)),"Data Analyst",ISNUMBER(SEARCH("business analy",B225)),"Business Analyst",OR(ISNUMBER(SEARCH("developer",B225)),ISNUMBER(SEARCH("software engineer",B225)),ISNUMBER(SEARCH("programmer",B225))),"Software Developer",ISNUMBER(SEARCH("business development",B225)),"Business Development",ISNUMBER(SEARCH("sales",B225)),"Sales Executive",ISNUMBER(SEARCH("marketing",B225)),"Marketing Executive",OR(ISNUMBER(SEARCH("hr ",B225)),ISNUMBER(SEARCH("recruit",B225)),ISNUMBER(SEARCH("human resource",B225))),"HR / Recruiter",OR(ISNUMBER(SEARCH("account",B225)),ISNUMBER(SEARCH("finance",B225)),ISNUMBER(SEARCH("tax",B225)),ISNUMBER(SEARCH("audit",B225))),"Accountant / Finance",OR(ISNUMBER(SEARCH("customer service",B225)),ISNUMBER(SEARCH("customer support",B225)),ISNUMBER(SEARCH("customer care",B225)),ISNUMBER(SEARCH("voice process",B225)),ISNUMBER(SEARCH("bpo",B225))),"Customer Support",ISNUMBER(SEARCH("engineer",B225)),"Engineer (Technical)",ISNUMBER(SEARCH("manager",B225)),"Manager",OR(ISNUMBER(SEARCH("teacher",B225)),ISNUMBER(SEARCH("trainer",B225)),ISNUMBER(SEARCH("faculty",B225))),"Teacher / Trainer",OR(ISNUMBER(SEARCH("doctor",B225)),ISNUMBER(SEARCH("nurse",B225)),ISNUMBER(SEARCH("medical",B225)),ISNUMBER(SEARCH("pharma",B225)),ISNUMBER(SEARCH("clinical",B225))),"Healthcare",TRUE,"Other")</f>
        <v/>
      </c>
      <c r="Q225" s="48">
        <f>IF(COUNTIFS($B$11:B225,B225,$C$11:C225,C225,$D$11:D225,D225,$L$11:L225,L225)&gt;1,"Duplicate","Unique")</f>
        <v/>
      </c>
    </row>
    <row r="226">
      <c r="A226" s="48">
        <f>Raw_Data!A217</f>
        <v/>
      </c>
      <c r="B226" s="48">
        <f>PROPER(TRIM(Raw_Data!B217))</f>
        <v/>
      </c>
      <c r="C226" s="48">
        <f>TRIM(Raw_Data!C217)</f>
        <v/>
      </c>
      <c r="D226" s="48">
        <f>IF(PROPER(TRIM(Raw_Data!D217))="Bangalore","Bengaluru",IF(PROPER(TRIM(Raw_Data!D217))="Gurgaon","Gurugram",IF(OR(PROPER(TRIM(Raw_Data!D217))="New Delhi",PROPER(TRIM(Raw_Data!D217))="Delhi"),"Delhi",PROPER(TRIM(Raw_Data!D217)))))</f>
        <v/>
      </c>
      <c r="E226" s="48">
        <f>Raw_Data!E217</f>
        <v/>
      </c>
      <c r="F226" s="48">
        <f>IF(TRIM(Raw_Data!F217&amp;"")="","Not Specified",Raw_Data!F217)</f>
        <v/>
      </c>
      <c r="G226" s="48">
        <f>Raw_Data!G217</f>
        <v/>
      </c>
      <c r="H226" s="48">
        <f>Raw_Data!H217</f>
        <v/>
      </c>
      <c r="I226" s="49">
        <f>IF(Raw_Data!I217="","",Raw_Data!I217)</f>
        <v/>
      </c>
      <c r="J226" s="49">
        <f>IF(Raw_Data!J217="","",Raw_Data!J217)</f>
        <v/>
      </c>
      <c r="K226" s="48">
        <f>IF(TRIM(Raw_Data!K217&amp;"")="","Not Specified",Raw_Data!K217)</f>
        <v/>
      </c>
      <c r="L226" s="56">
        <f>Raw_Data!L217</f>
        <v/>
      </c>
      <c r="M226" s="49">
        <f>IF(OR(I226="",J226=""),"",(I226+J226)/2)</f>
        <v/>
      </c>
      <c r="N226" s="49">
        <f>IF(OR(I226="",J226=""),"",J226-I226)</f>
        <v/>
      </c>
      <c r="O226" s="48">
        <f>TEXT(L226,"mmm-yyyy")</f>
        <v/>
      </c>
      <c r="P226" s="48">
        <f>_xlfn.IFS(ISNUMBER(SEARCH("data analy",B226)),"Data Analyst",ISNUMBER(SEARCH("business analy",B226)),"Business Analyst",OR(ISNUMBER(SEARCH("developer",B226)),ISNUMBER(SEARCH("software engineer",B226)),ISNUMBER(SEARCH("programmer",B226))),"Software Developer",ISNUMBER(SEARCH("business development",B226)),"Business Development",ISNUMBER(SEARCH("sales",B226)),"Sales Executive",ISNUMBER(SEARCH("marketing",B226)),"Marketing Executive",OR(ISNUMBER(SEARCH("hr ",B226)),ISNUMBER(SEARCH("recruit",B226)),ISNUMBER(SEARCH("human resource",B226))),"HR / Recruiter",OR(ISNUMBER(SEARCH("account",B226)),ISNUMBER(SEARCH("finance",B226)),ISNUMBER(SEARCH("tax",B226)),ISNUMBER(SEARCH("audit",B226))),"Accountant / Finance",OR(ISNUMBER(SEARCH("customer service",B226)),ISNUMBER(SEARCH("customer support",B226)),ISNUMBER(SEARCH("customer care",B226)),ISNUMBER(SEARCH("voice process",B226)),ISNUMBER(SEARCH("bpo",B226))),"Customer Support",ISNUMBER(SEARCH("engineer",B226)),"Engineer (Technical)",ISNUMBER(SEARCH("manager",B226)),"Manager",OR(ISNUMBER(SEARCH("teacher",B226)),ISNUMBER(SEARCH("trainer",B226)),ISNUMBER(SEARCH("faculty",B226))),"Teacher / Trainer",OR(ISNUMBER(SEARCH("doctor",B226)),ISNUMBER(SEARCH("nurse",B226)),ISNUMBER(SEARCH("medical",B226)),ISNUMBER(SEARCH("pharma",B226)),ISNUMBER(SEARCH("clinical",B226))),"Healthcare",TRUE,"Other")</f>
        <v/>
      </c>
      <c r="Q226" s="48">
        <f>IF(COUNTIFS($B$11:B226,B226,$C$11:C226,C226,$D$11:D226,D226,$L$11:L226,L226)&gt;1,"Duplicate","Unique")</f>
        <v/>
      </c>
    </row>
    <row r="227">
      <c r="A227" s="48">
        <f>Raw_Data!A218</f>
        <v/>
      </c>
      <c r="B227" s="48">
        <f>PROPER(TRIM(Raw_Data!B218))</f>
        <v/>
      </c>
      <c r="C227" s="48">
        <f>TRIM(Raw_Data!C218)</f>
        <v/>
      </c>
      <c r="D227" s="48">
        <f>IF(PROPER(TRIM(Raw_Data!D218))="Bangalore","Bengaluru",IF(PROPER(TRIM(Raw_Data!D218))="Gurgaon","Gurugram",IF(OR(PROPER(TRIM(Raw_Data!D218))="New Delhi",PROPER(TRIM(Raw_Data!D218))="Delhi"),"Delhi",PROPER(TRIM(Raw_Data!D218)))))</f>
        <v/>
      </c>
      <c r="E227" s="48">
        <f>Raw_Data!E218</f>
        <v/>
      </c>
      <c r="F227" s="48">
        <f>IF(TRIM(Raw_Data!F218&amp;"")="","Not Specified",Raw_Data!F218)</f>
        <v/>
      </c>
      <c r="G227" s="48">
        <f>Raw_Data!G218</f>
        <v/>
      </c>
      <c r="H227" s="48">
        <f>Raw_Data!H218</f>
        <v/>
      </c>
      <c r="I227" s="49">
        <f>IF(Raw_Data!I218="","",Raw_Data!I218)</f>
        <v/>
      </c>
      <c r="J227" s="49">
        <f>IF(Raw_Data!J218="","",Raw_Data!J218)</f>
        <v/>
      </c>
      <c r="K227" s="48">
        <f>IF(TRIM(Raw_Data!K218&amp;"")="","Not Specified",Raw_Data!K218)</f>
        <v/>
      </c>
      <c r="L227" s="56">
        <f>Raw_Data!L218</f>
        <v/>
      </c>
      <c r="M227" s="49">
        <f>IF(OR(I227="",J227=""),"",(I227+J227)/2)</f>
        <v/>
      </c>
      <c r="N227" s="49">
        <f>IF(OR(I227="",J227=""),"",J227-I227)</f>
        <v/>
      </c>
      <c r="O227" s="48">
        <f>TEXT(L227,"mmm-yyyy")</f>
        <v/>
      </c>
      <c r="P227" s="48">
        <f>_xlfn.IFS(ISNUMBER(SEARCH("data analy",B227)),"Data Analyst",ISNUMBER(SEARCH("business analy",B227)),"Business Analyst",OR(ISNUMBER(SEARCH("developer",B227)),ISNUMBER(SEARCH("software engineer",B227)),ISNUMBER(SEARCH("programmer",B227))),"Software Developer",ISNUMBER(SEARCH("business development",B227)),"Business Development",ISNUMBER(SEARCH("sales",B227)),"Sales Executive",ISNUMBER(SEARCH("marketing",B227)),"Marketing Executive",OR(ISNUMBER(SEARCH("hr ",B227)),ISNUMBER(SEARCH("recruit",B227)),ISNUMBER(SEARCH("human resource",B227))),"HR / Recruiter",OR(ISNUMBER(SEARCH("account",B227)),ISNUMBER(SEARCH("finance",B227)),ISNUMBER(SEARCH("tax",B227)),ISNUMBER(SEARCH("audit",B227))),"Accountant / Finance",OR(ISNUMBER(SEARCH("customer service",B227)),ISNUMBER(SEARCH("customer support",B227)),ISNUMBER(SEARCH("customer care",B227)),ISNUMBER(SEARCH("voice process",B227)),ISNUMBER(SEARCH("bpo",B227))),"Customer Support",ISNUMBER(SEARCH("engineer",B227)),"Engineer (Technical)",ISNUMBER(SEARCH("manager",B227)),"Manager",OR(ISNUMBER(SEARCH("teacher",B227)),ISNUMBER(SEARCH("trainer",B227)),ISNUMBER(SEARCH("faculty",B227))),"Teacher / Trainer",OR(ISNUMBER(SEARCH("doctor",B227)),ISNUMBER(SEARCH("nurse",B227)),ISNUMBER(SEARCH("medical",B227)),ISNUMBER(SEARCH("pharma",B227)),ISNUMBER(SEARCH("clinical",B227))),"Healthcare",TRUE,"Other")</f>
        <v/>
      </c>
      <c r="Q227" s="48">
        <f>IF(COUNTIFS($B$11:B227,B227,$C$11:C227,C227,$D$11:D227,D227,$L$11:L227,L227)&gt;1,"Duplicate","Unique")</f>
        <v/>
      </c>
    </row>
    <row r="228">
      <c r="A228" s="48">
        <f>Raw_Data!A219</f>
        <v/>
      </c>
      <c r="B228" s="48">
        <f>PROPER(TRIM(Raw_Data!B219))</f>
        <v/>
      </c>
      <c r="C228" s="48">
        <f>TRIM(Raw_Data!C219)</f>
        <v/>
      </c>
      <c r="D228" s="48">
        <f>IF(PROPER(TRIM(Raw_Data!D219))="Bangalore","Bengaluru",IF(PROPER(TRIM(Raw_Data!D219))="Gurgaon","Gurugram",IF(OR(PROPER(TRIM(Raw_Data!D219))="New Delhi",PROPER(TRIM(Raw_Data!D219))="Delhi"),"Delhi",PROPER(TRIM(Raw_Data!D219)))))</f>
        <v/>
      </c>
      <c r="E228" s="48">
        <f>Raw_Data!E219</f>
        <v/>
      </c>
      <c r="F228" s="48">
        <f>IF(TRIM(Raw_Data!F219&amp;"")="","Not Specified",Raw_Data!F219)</f>
        <v/>
      </c>
      <c r="G228" s="48">
        <f>Raw_Data!G219</f>
        <v/>
      </c>
      <c r="H228" s="48">
        <f>Raw_Data!H219</f>
        <v/>
      </c>
      <c r="I228" s="49">
        <f>IF(Raw_Data!I219="","",Raw_Data!I219)</f>
        <v/>
      </c>
      <c r="J228" s="49">
        <f>IF(Raw_Data!J219="","",Raw_Data!J219)</f>
        <v/>
      </c>
      <c r="K228" s="48">
        <f>IF(TRIM(Raw_Data!K219&amp;"")="","Not Specified",Raw_Data!K219)</f>
        <v/>
      </c>
      <c r="L228" s="56">
        <f>Raw_Data!L219</f>
        <v/>
      </c>
      <c r="M228" s="49">
        <f>IF(OR(I228="",J228=""),"",(I228+J228)/2)</f>
        <v/>
      </c>
      <c r="N228" s="49">
        <f>IF(OR(I228="",J228=""),"",J228-I228)</f>
        <v/>
      </c>
      <c r="O228" s="48">
        <f>TEXT(L228,"mmm-yyyy")</f>
        <v/>
      </c>
      <c r="P228" s="48">
        <f>_xlfn.IFS(ISNUMBER(SEARCH("data analy",B228)),"Data Analyst",ISNUMBER(SEARCH("business analy",B228)),"Business Analyst",OR(ISNUMBER(SEARCH("developer",B228)),ISNUMBER(SEARCH("software engineer",B228)),ISNUMBER(SEARCH("programmer",B228))),"Software Developer",ISNUMBER(SEARCH("business development",B228)),"Business Development",ISNUMBER(SEARCH("sales",B228)),"Sales Executive",ISNUMBER(SEARCH("marketing",B228)),"Marketing Executive",OR(ISNUMBER(SEARCH("hr ",B228)),ISNUMBER(SEARCH("recruit",B228)),ISNUMBER(SEARCH("human resource",B228))),"HR / Recruiter",OR(ISNUMBER(SEARCH("account",B228)),ISNUMBER(SEARCH("finance",B228)),ISNUMBER(SEARCH("tax",B228)),ISNUMBER(SEARCH("audit",B228))),"Accountant / Finance",OR(ISNUMBER(SEARCH("customer service",B228)),ISNUMBER(SEARCH("customer support",B228)),ISNUMBER(SEARCH("customer care",B228)),ISNUMBER(SEARCH("voice process",B228)),ISNUMBER(SEARCH("bpo",B228))),"Customer Support",ISNUMBER(SEARCH("engineer",B228)),"Engineer (Technical)",ISNUMBER(SEARCH("manager",B228)),"Manager",OR(ISNUMBER(SEARCH("teacher",B228)),ISNUMBER(SEARCH("trainer",B228)),ISNUMBER(SEARCH("faculty",B228))),"Teacher / Trainer",OR(ISNUMBER(SEARCH("doctor",B228)),ISNUMBER(SEARCH("nurse",B228)),ISNUMBER(SEARCH("medical",B228)),ISNUMBER(SEARCH("pharma",B228)),ISNUMBER(SEARCH("clinical",B228))),"Healthcare",TRUE,"Other")</f>
        <v/>
      </c>
      <c r="Q228" s="48">
        <f>IF(COUNTIFS($B$11:B228,B228,$C$11:C228,C228,$D$11:D228,D228,$L$11:L228,L228)&gt;1,"Duplicate","Unique")</f>
        <v/>
      </c>
    </row>
    <row r="229">
      <c r="A229" s="48">
        <f>Raw_Data!A220</f>
        <v/>
      </c>
      <c r="B229" s="48">
        <f>PROPER(TRIM(Raw_Data!B220))</f>
        <v/>
      </c>
      <c r="C229" s="48">
        <f>TRIM(Raw_Data!C220)</f>
        <v/>
      </c>
      <c r="D229" s="48">
        <f>IF(PROPER(TRIM(Raw_Data!D220))="Bangalore","Bengaluru",IF(PROPER(TRIM(Raw_Data!D220))="Gurgaon","Gurugram",IF(OR(PROPER(TRIM(Raw_Data!D220))="New Delhi",PROPER(TRIM(Raw_Data!D220))="Delhi"),"Delhi",PROPER(TRIM(Raw_Data!D220)))))</f>
        <v/>
      </c>
      <c r="E229" s="48">
        <f>Raw_Data!E220</f>
        <v/>
      </c>
      <c r="F229" s="48">
        <f>IF(TRIM(Raw_Data!F220&amp;"")="","Not Specified",Raw_Data!F220)</f>
        <v/>
      </c>
      <c r="G229" s="48">
        <f>Raw_Data!G220</f>
        <v/>
      </c>
      <c r="H229" s="48">
        <f>Raw_Data!H220</f>
        <v/>
      </c>
      <c r="I229" s="49">
        <f>IF(Raw_Data!I220="","",Raw_Data!I220)</f>
        <v/>
      </c>
      <c r="J229" s="49">
        <f>IF(Raw_Data!J220="","",Raw_Data!J220)</f>
        <v/>
      </c>
      <c r="K229" s="48">
        <f>IF(TRIM(Raw_Data!K220&amp;"")="","Not Specified",Raw_Data!K220)</f>
        <v/>
      </c>
      <c r="L229" s="56">
        <f>Raw_Data!L220</f>
        <v/>
      </c>
      <c r="M229" s="49">
        <f>IF(OR(I229="",J229=""),"",(I229+J229)/2)</f>
        <v/>
      </c>
      <c r="N229" s="49">
        <f>IF(OR(I229="",J229=""),"",J229-I229)</f>
        <v/>
      </c>
      <c r="O229" s="48">
        <f>TEXT(L229,"mmm-yyyy")</f>
        <v/>
      </c>
      <c r="P229" s="48">
        <f>_xlfn.IFS(ISNUMBER(SEARCH("data analy",B229)),"Data Analyst",ISNUMBER(SEARCH("business analy",B229)),"Business Analyst",OR(ISNUMBER(SEARCH("developer",B229)),ISNUMBER(SEARCH("software engineer",B229)),ISNUMBER(SEARCH("programmer",B229))),"Software Developer",ISNUMBER(SEARCH("business development",B229)),"Business Development",ISNUMBER(SEARCH("sales",B229)),"Sales Executive",ISNUMBER(SEARCH("marketing",B229)),"Marketing Executive",OR(ISNUMBER(SEARCH("hr ",B229)),ISNUMBER(SEARCH("recruit",B229)),ISNUMBER(SEARCH("human resource",B229))),"HR / Recruiter",OR(ISNUMBER(SEARCH("account",B229)),ISNUMBER(SEARCH("finance",B229)),ISNUMBER(SEARCH("tax",B229)),ISNUMBER(SEARCH("audit",B229))),"Accountant / Finance",OR(ISNUMBER(SEARCH("customer service",B229)),ISNUMBER(SEARCH("customer support",B229)),ISNUMBER(SEARCH("customer care",B229)),ISNUMBER(SEARCH("voice process",B229)),ISNUMBER(SEARCH("bpo",B229))),"Customer Support",ISNUMBER(SEARCH("engineer",B229)),"Engineer (Technical)",ISNUMBER(SEARCH("manager",B229)),"Manager",OR(ISNUMBER(SEARCH("teacher",B229)),ISNUMBER(SEARCH("trainer",B229)),ISNUMBER(SEARCH("faculty",B229))),"Teacher / Trainer",OR(ISNUMBER(SEARCH("doctor",B229)),ISNUMBER(SEARCH("nurse",B229)),ISNUMBER(SEARCH("medical",B229)),ISNUMBER(SEARCH("pharma",B229)),ISNUMBER(SEARCH("clinical",B229))),"Healthcare",TRUE,"Other")</f>
        <v/>
      </c>
      <c r="Q229" s="48">
        <f>IF(COUNTIFS($B$11:B229,B229,$C$11:C229,C229,$D$11:D229,D229,$L$11:L229,L229)&gt;1,"Duplicate","Unique")</f>
        <v/>
      </c>
    </row>
    <row r="230">
      <c r="A230" s="48">
        <f>Raw_Data!A221</f>
        <v/>
      </c>
      <c r="B230" s="48">
        <f>PROPER(TRIM(Raw_Data!B221))</f>
        <v/>
      </c>
      <c r="C230" s="48">
        <f>TRIM(Raw_Data!C221)</f>
        <v/>
      </c>
      <c r="D230" s="48">
        <f>IF(PROPER(TRIM(Raw_Data!D221))="Bangalore","Bengaluru",IF(PROPER(TRIM(Raw_Data!D221))="Gurgaon","Gurugram",IF(OR(PROPER(TRIM(Raw_Data!D221))="New Delhi",PROPER(TRIM(Raw_Data!D221))="Delhi"),"Delhi",PROPER(TRIM(Raw_Data!D221)))))</f>
        <v/>
      </c>
      <c r="E230" s="48">
        <f>Raw_Data!E221</f>
        <v/>
      </c>
      <c r="F230" s="48">
        <f>IF(TRIM(Raw_Data!F221&amp;"")="","Not Specified",Raw_Data!F221)</f>
        <v/>
      </c>
      <c r="G230" s="48">
        <f>Raw_Data!G221</f>
        <v/>
      </c>
      <c r="H230" s="48">
        <f>Raw_Data!H221</f>
        <v/>
      </c>
      <c r="I230" s="49">
        <f>IF(Raw_Data!I221="","",Raw_Data!I221)</f>
        <v/>
      </c>
      <c r="J230" s="49">
        <f>IF(Raw_Data!J221="","",Raw_Data!J221)</f>
        <v/>
      </c>
      <c r="K230" s="48">
        <f>IF(TRIM(Raw_Data!K221&amp;"")="","Not Specified",Raw_Data!K221)</f>
        <v/>
      </c>
      <c r="L230" s="56">
        <f>Raw_Data!L221</f>
        <v/>
      </c>
      <c r="M230" s="49">
        <f>IF(OR(I230="",J230=""),"",(I230+J230)/2)</f>
        <v/>
      </c>
      <c r="N230" s="49">
        <f>IF(OR(I230="",J230=""),"",J230-I230)</f>
        <v/>
      </c>
      <c r="O230" s="48">
        <f>TEXT(L230,"mmm-yyyy")</f>
        <v/>
      </c>
      <c r="P230" s="48">
        <f>_xlfn.IFS(ISNUMBER(SEARCH("data analy",B230)),"Data Analyst",ISNUMBER(SEARCH("business analy",B230)),"Business Analyst",OR(ISNUMBER(SEARCH("developer",B230)),ISNUMBER(SEARCH("software engineer",B230)),ISNUMBER(SEARCH("programmer",B230))),"Software Developer",ISNUMBER(SEARCH("business development",B230)),"Business Development",ISNUMBER(SEARCH("sales",B230)),"Sales Executive",ISNUMBER(SEARCH("marketing",B230)),"Marketing Executive",OR(ISNUMBER(SEARCH("hr ",B230)),ISNUMBER(SEARCH("recruit",B230)),ISNUMBER(SEARCH("human resource",B230))),"HR / Recruiter",OR(ISNUMBER(SEARCH("account",B230)),ISNUMBER(SEARCH("finance",B230)),ISNUMBER(SEARCH("tax",B230)),ISNUMBER(SEARCH("audit",B230))),"Accountant / Finance",OR(ISNUMBER(SEARCH("customer service",B230)),ISNUMBER(SEARCH("customer support",B230)),ISNUMBER(SEARCH("customer care",B230)),ISNUMBER(SEARCH("voice process",B230)),ISNUMBER(SEARCH("bpo",B230))),"Customer Support",ISNUMBER(SEARCH("engineer",B230)),"Engineer (Technical)",ISNUMBER(SEARCH("manager",B230)),"Manager",OR(ISNUMBER(SEARCH("teacher",B230)),ISNUMBER(SEARCH("trainer",B230)),ISNUMBER(SEARCH("faculty",B230))),"Teacher / Trainer",OR(ISNUMBER(SEARCH("doctor",B230)),ISNUMBER(SEARCH("nurse",B230)),ISNUMBER(SEARCH("medical",B230)),ISNUMBER(SEARCH("pharma",B230)),ISNUMBER(SEARCH("clinical",B230))),"Healthcare",TRUE,"Other")</f>
        <v/>
      </c>
      <c r="Q230" s="48">
        <f>IF(COUNTIFS($B$11:B230,B230,$C$11:C230,C230,$D$11:D230,D230,$L$11:L230,L230)&gt;1,"Duplicate","Unique")</f>
        <v/>
      </c>
    </row>
    <row r="231">
      <c r="A231" s="48">
        <f>Raw_Data!A222</f>
        <v/>
      </c>
      <c r="B231" s="48">
        <f>PROPER(TRIM(Raw_Data!B222))</f>
        <v/>
      </c>
      <c r="C231" s="48">
        <f>TRIM(Raw_Data!C222)</f>
        <v/>
      </c>
      <c r="D231" s="48">
        <f>IF(PROPER(TRIM(Raw_Data!D222))="Bangalore","Bengaluru",IF(PROPER(TRIM(Raw_Data!D222))="Gurgaon","Gurugram",IF(OR(PROPER(TRIM(Raw_Data!D222))="New Delhi",PROPER(TRIM(Raw_Data!D222))="Delhi"),"Delhi",PROPER(TRIM(Raw_Data!D222)))))</f>
        <v/>
      </c>
      <c r="E231" s="48">
        <f>Raw_Data!E222</f>
        <v/>
      </c>
      <c r="F231" s="48">
        <f>IF(TRIM(Raw_Data!F222&amp;"")="","Not Specified",Raw_Data!F222)</f>
        <v/>
      </c>
      <c r="G231" s="48">
        <f>Raw_Data!G222</f>
        <v/>
      </c>
      <c r="H231" s="48">
        <f>Raw_Data!H222</f>
        <v/>
      </c>
      <c r="I231" s="49">
        <f>IF(Raw_Data!I222="","",Raw_Data!I222)</f>
        <v/>
      </c>
      <c r="J231" s="49">
        <f>IF(Raw_Data!J222="","",Raw_Data!J222)</f>
        <v/>
      </c>
      <c r="K231" s="48">
        <f>IF(TRIM(Raw_Data!K222&amp;"")="","Not Specified",Raw_Data!K222)</f>
        <v/>
      </c>
      <c r="L231" s="56">
        <f>Raw_Data!L222</f>
        <v/>
      </c>
      <c r="M231" s="49">
        <f>IF(OR(I231="",J231=""),"",(I231+J231)/2)</f>
        <v/>
      </c>
      <c r="N231" s="49">
        <f>IF(OR(I231="",J231=""),"",J231-I231)</f>
        <v/>
      </c>
      <c r="O231" s="48">
        <f>TEXT(L231,"mmm-yyyy")</f>
        <v/>
      </c>
      <c r="P231" s="48">
        <f>_xlfn.IFS(ISNUMBER(SEARCH("data analy",B231)),"Data Analyst",ISNUMBER(SEARCH("business analy",B231)),"Business Analyst",OR(ISNUMBER(SEARCH("developer",B231)),ISNUMBER(SEARCH("software engineer",B231)),ISNUMBER(SEARCH("programmer",B231))),"Software Developer",ISNUMBER(SEARCH("business development",B231)),"Business Development",ISNUMBER(SEARCH("sales",B231)),"Sales Executive",ISNUMBER(SEARCH("marketing",B231)),"Marketing Executive",OR(ISNUMBER(SEARCH("hr ",B231)),ISNUMBER(SEARCH("recruit",B231)),ISNUMBER(SEARCH("human resource",B231))),"HR / Recruiter",OR(ISNUMBER(SEARCH("account",B231)),ISNUMBER(SEARCH("finance",B231)),ISNUMBER(SEARCH("tax",B231)),ISNUMBER(SEARCH("audit",B231))),"Accountant / Finance",OR(ISNUMBER(SEARCH("customer service",B231)),ISNUMBER(SEARCH("customer support",B231)),ISNUMBER(SEARCH("customer care",B231)),ISNUMBER(SEARCH("voice process",B231)),ISNUMBER(SEARCH("bpo",B231))),"Customer Support",ISNUMBER(SEARCH("engineer",B231)),"Engineer (Technical)",ISNUMBER(SEARCH("manager",B231)),"Manager",OR(ISNUMBER(SEARCH("teacher",B231)),ISNUMBER(SEARCH("trainer",B231)),ISNUMBER(SEARCH("faculty",B231))),"Teacher / Trainer",OR(ISNUMBER(SEARCH("doctor",B231)),ISNUMBER(SEARCH("nurse",B231)),ISNUMBER(SEARCH("medical",B231)),ISNUMBER(SEARCH("pharma",B231)),ISNUMBER(SEARCH("clinical",B231))),"Healthcare",TRUE,"Other")</f>
        <v/>
      </c>
      <c r="Q231" s="48">
        <f>IF(COUNTIFS($B$11:B231,B231,$C$11:C231,C231,$D$11:D231,D231,$L$11:L231,L231)&gt;1,"Duplicate","Unique")</f>
        <v/>
      </c>
    </row>
    <row r="232">
      <c r="A232" s="48">
        <f>Raw_Data!A223</f>
        <v/>
      </c>
      <c r="B232" s="48">
        <f>PROPER(TRIM(Raw_Data!B223))</f>
        <v/>
      </c>
      <c r="C232" s="48">
        <f>TRIM(Raw_Data!C223)</f>
        <v/>
      </c>
      <c r="D232" s="48">
        <f>IF(PROPER(TRIM(Raw_Data!D223))="Bangalore","Bengaluru",IF(PROPER(TRIM(Raw_Data!D223))="Gurgaon","Gurugram",IF(OR(PROPER(TRIM(Raw_Data!D223))="New Delhi",PROPER(TRIM(Raw_Data!D223))="Delhi"),"Delhi",PROPER(TRIM(Raw_Data!D223)))))</f>
        <v/>
      </c>
      <c r="E232" s="48">
        <f>Raw_Data!E223</f>
        <v/>
      </c>
      <c r="F232" s="48">
        <f>IF(TRIM(Raw_Data!F223&amp;"")="","Not Specified",Raw_Data!F223)</f>
        <v/>
      </c>
      <c r="G232" s="48">
        <f>Raw_Data!G223</f>
        <v/>
      </c>
      <c r="H232" s="48">
        <f>Raw_Data!H223</f>
        <v/>
      </c>
      <c r="I232" s="49">
        <f>IF(Raw_Data!I223="","",Raw_Data!I223)</f>
        <v/>
      </c>
      <c r="J232" s="49">
        <f>IF(Raw_Data!J223="","",Raw_Data!J223)</f>
        <v/>
      </c>
      <c r="K232" s="48">
        <f>IF(TRIM(Raw_Data!K223&amp;"")="","Not Specified",Raw_Data!K223)</f>
        <v/>
      </c>
      <c r="L232" s="56">
        <f>Raw_Data!L223</f>
        <v/>
      </c>
      <c r="M232" s="49">
        <f>IF(OR(I232="",J232=""),"",(I232+J232)/2)</f>
        <v/>
      </c>
      <c r="N232" s="49">
        <f>IF(OR(I232="",J232=""),"",J232-I232)</f>
        <v/>
      </c>
      <c r="O232" s="48">
        <f>TEXT(L232,"mmm-yyyy")</f>
        <v/>
      </c>
      <c r="P232" s="48">
        <f>_xlfn.IFS(ISNUMBER(SEARCH("data analy",B232)),"Data Analyst",ISNUMBER(SEARCH("business analy",B232)),"Business Analyst",OR(ISNUMBER(SEARCH("developer",B232)),ISNUMBER(SEARCH("software engineer",B232)),ISNUMBER(SEARCH("programmer",B232))),"Software Developer",ISNUMBER(SEARCH("business development",B232)),"Business Development",ISNUMBER(SEARCH("sales",B232)),"Sales Executive",ISNUMBER(SEARCH("marketing",B232)),"Marketing Executive",OR(ISNUMBER(SEARCH("hr ",B232)),ISNUMBER(SEARCH("recruit",B232)),ISNUMBER(SEARCH("human resource",B232))),"HR / Recruiter",OR(ISNUMBER(SEARCH("account",B232)),ISNUMBER(SEARCH("finance",B232)),ISNUMBER(SEARCH("tax",B232)),ISNUMBER(SEARCH("audit",B232))),"Accountant / Finance",OR(ISNUMBER(SEARCH("customer service",B232)),ISNUMBER(SEARCH("customer support",B232)),ISNUMBER(SEARCH("customer care",B232)),ISNUMBER(SEARCH("voice process",B232)),ISNUMBER(SEARCH("bpo",B232))),"Customer Support",ISNUMBER(SEARCH("engineer",B232)),"Engineer (Technical)",ISNUMBER(SEARCH("manager",B232)),"Manager",OR(ISNUMBER(SEARCH("teacher",B232)),ISNUMBER(SEARCH("trainer",B232)),ISNUMBER(SEARCH("faculty",B232))),"Teacher / Trainer",OR(ISNUMBER(SEARCH("doctor",B232)),ISNUMBER(SEARCH("nurse",B232)),ISNUMBER(SEARCH("medical",B232)),ISNUMBER(SEARCH("pharma",B232)),ISNUMBER(SEARCH("clinical",B232))),"Healthcare",TRUE,"Other")</f>
        <v/>
      </c>
      <c r="Q232" s="48">
        <f>IF(COUNTIFS($B$11:B232,B232,$C$11:C232,C232,$D$11:D232,D232,$L$11:L232,L232)&gt;1,"Duplicate","Unique")</f>
        <v/>
      </c>
    </row>
    <row r="233">
      <c r="A233" s="48">
        <f>Raw_Data!A224</f>
        <v/>
      </c>
      <c r="B233" s="48">
        <f>PROPER(TRIM(Raw_Data!B224))</f>
        <v/>
      </c>
      <c r="C233" s="48">
        <f>TRIM(Raw_Data!C224)</f>
        <v/>
      </c>
      <c r="D233" s="48">
        <f>IF(PROPER(TRIM(Raw_Data!D224))="Bangalore","Bengaluru",IF(PROPER(TRIM(Raw_Data!D224))="Gurgaon","Gurugram",IF(OR(PROPER(TRIM(Raw_Data!D224))="New Delhi",PROPER(TRIM(Raw_Data!D224))="Delhi"),"Delhi",PROPER(TRIM(Raw_Data!D224)))))</f>
        <v/>
      </c>
      <c r="E233" s="48">
        <f>Raw_Data!E224</f>
        <v/>
      </c>
      <c r="F233" s="48">
        <f>IF(TRIM(Raw_Data!F224&amp;"")="","Not Specified",Raw_Data!F224)</f>
        <v/>
      </c>
      <c r="G233" s="48">
        <f>Raw_Data!G224</f>
        <v/>
      </c>
      <c r="H233" s="48">
        <f>Raw_Data!H224</f>
        <v/>
      </c>
      <c r="I233" s="49">
        <f>IF(Raw_Data!I224="","",Raw_Data!I224)</f>
        <v/>
      </c>
      <c r="J233" s="49">
        <f>IF(Raw_Data!J224="","",Raw_Data!J224)</f>
        <v/>
      </c>
      <c r="K233" s="48">
        <f>IF(TRIM(Raw_Data!K224&amp;"")="","Not Specified",Raw_Data!K224)</f>
        <v/>
      </c>
      <c r="L233" s="56">
        <f>Raw_Data!L224</f>
        <v/>
      </c>
      <c r="M233" s="49">
        <f>IF(OR(I233="",J233=""),"",(I233+J233)/2)</f>
        <v/>
      </c>
      <c r="N233" s="49">
        <f>IF(OR(I233="",J233=""),"",J233-I233)</f>
        <v/>
      </c>
      <c r="O233" s="48">
        <f>TEXT(L233,"mmm-yyyy")</f>
        <v/>
      </c>
      <c r="P233" s="48">
        <f>_xlfn.IFS(ISNUMBER(SEARCH("data analy",B233)),"Data Analyst",ISNUMBER(SEARCH("business analy",B233)),"Business Analyst",OR(ISNUMBER(SEARCH("developer",B233)),ISNUMBER(SEARCH("software engineer",B233)),ISNUMBER(SEARCH("programmer",B233))),"Software Developer",ISNUMBER(SEARCH("business development",B233)),"Business Development",ISNUMBER(SEARCH("sales",B233)),"Sales Executive",ISNUMBER(SEARCH("marketing",B233)),"Marketing Executive",OR(ISNUMBER(SEARCH("hr ",B233)),ISNUMBER(SEARCH("recruit",B233)),ISNUMBER(SEARCH("human resource",B233))),"HR / Recruiter",OR(ISNUMBER(SEARCH("account",B233)),ISNUMBER(SEARCH("finance",B233)),ISNUMBER(SEARCH("tax",B233)),ISNUMBER(SEARCH("audit",B233))),"Accountant / Finance",OR(ISNUMBER(SEARCH("customer service",B233)),ISNUMBER(SEARCH("customer support",B233)),ISNUMBER(SEARCH("customer care",B233)),ISNUMBER(SEARCH("voice process",B233)),ISNUMBER(SEARCH("bpo",B233))),"Customer Support",ISNUMBER(SEARCH("engineer",B233)),"Engineer (Technical)",ISNUMBER(SEARCH("manager",B233)),"Manager",OR(ISNUMBER(SEARCH("teacher",B233)),ISNUMBER(SEARCH("trainer",B233)),ISNUMBER(SEARCH("faculty",B233))),"Teacher / Trainer",OR(ISNUMBER(SEARCH("doctor",B233)),ISNUMBER(SEARCH("nurse",B233)),ISNUMBER(SEARCH("medical",B233)),ISNUMBER(SEARCH("pharma",B233)),ISNUMBER(SEARCH("clinical",B233))),"Healthcare",TRUE,"Other")</f>
        <v/>
      </c>
      <c r="Q233" s="48">
        <f>IF(COUNTIFS($B$11:B233,B233,$C$11:C233,C233,$D$11:D233,D233,$L$11:L233,L233)&gt;1,"Duplicate","Unique")</f>
        <v/>
      </c>
    </row>
    <row r="234">
      <c r="A234" s="48">
        <f>Raw_Data!A225</f>
        <v/>
      </c>
      <c r="B234" s="48">
        <f>PROPER(TRIM(Raw_Data!B225))</f>
        <v/>
      </c>
      <c r="C234" s="48">
        <f>TRIM(Raw_Data!C225)</f>
        <v/>
      </c>
      <c r="D234" s="48">
        <f>IF(PROPER(TRIM(Raw_Data!D225))="Bangalore","Bengaluru",IF(PROPER(TRIM(Raw_Data!D225))="Gurgaon","Gurugram",IF(OR(PROPER(TRIM(Raw_Data!D225))="New Delhi",PROPER(TRIM(Raw_Data!D225))="Delhi"),"Delhi",PROPER(TRIM(Raw_Data!D225)))))</f>
        <v/>
      </c>
      <c r="E234" s="48">
        <f>Raw_Data!E225</f>
        <v/>
      </c>
      <c r="F234" s="48">
        <f>IF(TRIM(Raw_Data!F225&amp;"")="","Not Specified",Raw_Data!F225)</f>
        <v/>
      </c>
      <c r="G234" s="48">
        <f>Raw_Data!G225</f>
        <v/>
      </c>
      <c r="H234" s="48">
        <f>Raw_Data!H225</f>
        <v/>
      </c>
      <c r="I234" s="49">
        <f>IF(Raw_Data!I225="","",Raw_Data!I225)</f>
        <v/>
      </c>
      <c r="J234" s="49">
        <f>IF(Raw_Data!J225="","",Raw_Data!J225)</f>
        <v/>
      </c>
      <c r="K234" s="48">
        <f>IF(TRIM(Raw_Data!K225&amp;"")="","Not Specified",Raw_Data!K225)</f>
        <v/>
      </c>
      <c r="L234" s="56">
        <f>Raw_Data!L225</f>
        <v/>
      </c>
      <c r="M234" s="49">
        <f>IF(OR(I234="",J234=""),"",(I234+J234)/2)</f>
        <v/>
      </c>
      <c r="N234" s="49">
        <f>IF(OR(I234="",J234=""),"",J234-I234)</f>
        <v/>
      </c>
      <c r="O234" s="48">
        <f>TEXT(L234,"mmm-yyyy")</f>
        <v/>
      </c>
      <c r="P234" s="48">
        <f>_xlfn.IFS(ISNUMBER(SEARCH("data analy",B234)),"Data Analyst",ISNUMBER(SEARCH("business analy",B234)),"Business Analyst",OR(ISNUMBER(SEARCH("developer",B234)),ISNUMBER(SEARCH("software engineer",B234)),ISNUMBER(SEARCH("programmer",B234))),"Software Developer",ISNUMBER(SEARCH("business development",B234)),"Business Development",ISNUMBER(SEARCH("sales",B234)),"Sales Executive",ISNUMBER(SEARCH("marketing",B234)),"Marketing Executive",OR(ISNUMBER(SEARCH("hr ",B234)),ISNUMBER(SEARCH("recruit",B234)),ISNUMBER(SEARCH("human resource",B234))),"HR / Recruiter",OR(ISNUMBER(SEARCH("account",B234)),ISNUMBER(SEARCH("finance",B234)),ISNUMBER(SEARCH("tax",B234)),ISNUMBER(SEARCH("audit",B234))),"Accountant / Finance",OR(ISNUMBER(SEARCH("customer service",B234)),ISNUMBER(SEARCH("customer support",B234)),ISNUMBER(SEARCH("customer care",B234)),ISNUMBER(SEARCH("voice process",B234)),ISNUMBER(SEARCH("bpo",B234))),"Customer Support",ISNUMBER(SEARCH("engineer",B234)),"Engineer (Technical)",ISNUMBER(SEARCH("manager",B234)),"Manager",OR(ISNUMBER(SEARCH("teacher",B234)),ISNUMBER(SEARCH("trainer",B234)),ISNUMBER(SEARCH("faculty",B234))),"Teacher / Trainer",OR(ISNUMBER(SEARCH("doctor",B234)),ISNUMBER(SEARCH("nurse",B234)),ISNUMBER(SEARCH("medical",B234)),ISNUMBER(SEARCH("pharma",B234)),ISNUMBER(SEARCH("clinical",B234))),"Healthcare",TRUE,"Other")</f>
        <v/>
      </c>
      <c r="Q234" s="48">
        <f>IF(COUNTIFS($B$11:B234,B234,$C$11:C234,C234,$D$11:D234,D234,$L$11:L234,L234)&gt;1,"Duplicate","Unique")</f>
        <v/>
      </c>
    </row>
    <row r="235">
      <c r="A235" s="48">
        <f>Raw_Data!A226</f>
        <v/>
      </c>
      <c r="B235" s="48">
        <f>PROPER(TRIM(Raw_Data!B226))</f>
        <v/>
      </c>
      <c r="C235" s="48">
        <f>TRIM(Raw_Data!C226)</f>
        <v/>
      </c>
      <c r="D235" s="48">
        <f>IF(PROPER(TRIM(Raw_Data!D226))="Bangalore","Bengaluru",IF(PROPER(TRIM(Raw_Data!D226))="Gurgaon","Gurugram",IF(OR(PROPER(TRIM(Raw_Data!D226))="New Delhi",PROPER(TRIM(Raw_Data!D226))="Delhi"),"Delhi",PROPER(TRIM(Raw_Data!D226)))))</f>
        <v/>
      </c>
      <c r="E235" s="48">
        <f>Raw_Data!E226</f>
        <v/>
      </c>
      <c r="F235" s="48">
        <f>IF(TRIM(Raw_Data!F226&amp;"")="","Not Specified",Raw_Data!F226)</f>
        <v/>
      </c>
      <c r="G235" s="48">
        <f>Raw_Data!G226</f>
        <v/>
      </c>
      <c r="H235" s="48">
        <f>Raw_Data!H226</f>
        <v/>
      </c>
      <c r="I235" s="49">
        <f>IF(Raw_Data!I226="","",Raw_Data!I226)</f>
        <v/>
      </c>
      <c r="J235" s="49">
        <f>IF(Raw_Data!J226="","",Raw_Data!J226)</f>
        <v/>
      </c>
      <c r="K235" s="48">
        <f>IF(TRIM(Raw_Data!K226&amp;"")="","Not Specified",Raw_Data!K226)</f>
        <v/>
      </c>
      <c r="L235" s="56">
        <f>Raw_Data!L226</f>
        <v/>
      </c>
      <c r="M235" s="49">
        <f>IF(OR(I235="",J235=""),"",(I235+J235)/2)</f>
        <v/>
      </c>
      <c r="N235" s="49">
        <f>IF(OR(I235="",J235=""),"",J235-I235)</f>
        <v/>
      </c>
      <c r="O235" s="48">
        <f>TEXT(L235,"mmm-yyyy")</f>
        <v/>
      </c>
      <c r="P235" s="48">
        <f>_xlfn.IFS(ISNUMBER(SEARCH("data analy",B235)),"Data Analyst",ISNUMBER(SEARCH("business analy",B235)),"Business Analyst",OR(ISNUMBER(SEARCH("developer",B235)),ISNUMBER(SEARCH("software engineer",B235)),ISNUMBER(SEARCH("programmer",B235))),"Software Developer",ISNUMBER(SEARCH("business development",B235)),"Business Development",ISNUMBER(SEARCH("sales",B235)),"Sales Executive",ISNUMBER(SEARCH("marketing",B235)),"Marketing Executive",OR(ISNUMBER(SEARCH("hr ",B235)),ISNUMBER(SEARCH("recruit",B235)),ISNUMBER(SEARCH("human resource",B235))),"HR / Recruiter",OR(ISNUMBER(SEARCH("account",B235)),ISNUMBER(SEARCH("finance",B235)),ISNUMBER(SEARCH("tax",B235)),ISNUMBER(SEARCH("audit",B235))),"Accountant / Finance",OR(ISNUMBER(SEARCH("customer service",B235)),ISNUMBER(SEARCH("customer support",B235)),ISNUMBER(SEARCH("customer care",B235)),ISNUMBER(SEARCH("voice process",B235)),ISNUMBER(SEARCH("bpo",B235))),"Customer Support",ISNUMBER(SEARCH("engineer",B235)),"Engineer (Technical)",ISNUMBER(SEARCH("manager",B235)),"Manager",OR(ISNUMBER(SEARCH("teacher",B235)),ISNUMBER(SEARCH("trainer",B235)),ISNUMBER(SEARCH("faculty",B235))),"Teacher / Trainer",OR(ISNUMBER(SEARCH("doctor",B235)),ISNUMBER(SEARCH("nurse",B235)),ISNUMBER(SEARCH("medical",B235)),ISNUMBER(SEARCH("pharma",B235)),ISNUMBER(SEARCH("clinical",B235))),"Healthcare",TRUE,"Other")</f>
        <v/>
      </c>
      <c r="Q235" s="48">
        <f>IF(COUNTIFS($B$11:B235,B235,$C$11:C235,C235,$D$11:D235,D235,$L$11:L235,L235)&gt;1,"Duplicate","Unique")</f>
        <v/>
      </c>
    </row>
    <row r="236">
      <c r="A236" s="48">
        <f>Raw_Data!A227</f>
        <v/>
      </c>
      <c r="B236" s="48">
        <f>PROPER(TRIM(Raw_Data!B227))</f>
        <v/>
      </c>
      <c r="C236" s="48">
        <f>TRIM(Raw_Data!C227)</f>
        <v/>
      </c>
      <c r="D236" s="48">
        <f>IF(PROPER(TRIM(Raw_Data!D227))="Bangalore","Bengaluru",IF(PROPER(TRIM(Raw_Data!D227))="Gurgaon","Gurugram",IF(OR(PROPER(TRIM(Raw_Data!D227))="New Delhi",PROPER(TRIM(Raw_Data!D227))="Delhi"),"Delhi",PROPER(TRIM(Raw_Data!D227)))))</f>
        <v/>
      </c>
      <c r="E236" s="48">
        <f>Raw_Data!E227</f>
        <v/>
      </c>
      <c r="F236" s="48">
        <f>IF(TRIM(Raw_Data!F227&amp;"")="","Not Specified",Raw_Data!F227)</f>
        <v/>
      </c>
      <c r="G236" s="48">
        <f>Raw_Data!G227</f>
        <v/>
      </c>
      <c r="H236" s="48">
        <f>Raw_Data!H227</f>
        <v/>
      </c>
      <c r="I236" s="49">
        <f>IF(Raw_Data!I227="","",Raw_Data!I227)</f>
        <v/>
      </c>
      <c r="J236" s="49">
        <f>IF(Raw_Data!J227="","",Raw_Data!J227)</f>
        <v/>
      </c>
      <c r="K236" s="48">
        <f>IF(TRIM(Raw_Data!K227&amp;"")="","Not Specified",Raw_Data!K227)</f>
        <v/>
      </c>
      <c r="L236" s="56">
        <f>Raw_Data!L227</f>
        <v/>
      </c>
      <c r="M236" s="49">
        <f>IF(OR(I236="",J236=""),"",(I236+J236)/2)</f>
        <v/>
      </c>
      <c r="N236" s="49">
        <f>IF(OR(I236="",J236=""),"",J236-I236)</f>
        <v/>
      </c>
      <c r="O236" s="48">
        <f>TEXT(L236,"mmm-yyyy")</f>
        <v/>
      </c>
      <c r="P236" s="48">
        <f>_xlfn.IFS(ISNUMBER(SEARCH("data analy",B236)),"Data Analyst",ISNUMBER(SEARCH("business analy",B236)),"Business Analyst",OR(ISNUMBER(SEARCH("developer",B236)),ISNUMBER(SEARCH("software engineer",B236)),ISNUMBER(SEARCH("programmer",B236))),"Software Developer",ISNUMBER(SEARCH("business development",B236)),"Business Development",ISNUMBER(SEARCH("sales",B236)),"Sales Executive",ISNUMBER(SEARCH("marketing",B236)),"Marketing Executive",OR(ISNUMBER(SEARCH("hr ",B236)),ISNUMBER(SEARCH("recruit",B236)),ISNUMBER(SEARCH("human resource",B236))),"HR / Recruiter",OR(ISNUMBER(SEARCH("account",B236)),ISNUMBER(SEARCH("finance",B236)),ISNUMBER(SEARCH("tax",B236)),ISNUMBER(SEARCH("audit",B236))),"Accountant / Finance",OR(ISNUMBER(SEARCH("customer service",B236)),ISNUMBER(SEARCH("customer support",B236)),ISNUMBER(SEARCH("customer care",B236)),ISNUMBER(SEARCH("voice process",B236)),ISNUMBER(SEARCH("bpo",B236))),"Customer Support",ISNUMBER(SEARCH("engineer",B236)),"Engineer (Technical)",ISNUMBER(SEARCH("manager",B236)),"Manager",OR(ISNUMBER(SEARCH("teacher",B236)),ISNUMBER(SEARCH("trainer",B236)),ISNUMBER(SEARCH("faculty",B236))),"Teacher / Trainer",OR(ISNUMBER(SEARCH("doctor",B236)),ISNUMBER(SEARCH("nurse",B236)),ISNUMBER(SEARCH("medical",B236)),ISNUMBER(SEARCH("pharma",B236)),ISNUMBER(SEARCH("clinical",B236))),"Healthcare",TRUE,"Other")</f>
        <v/>
      </c>
      <c r="Q236" s="48">
        <f>IF(COUNTIFS($B$11:B236,B236,$C$11:C236,C236,$D$11:D236,D236,$L$11:L236,L236)&gt;1,"Duplicate","Unique")</f>
        <v/>
      </c>
    </row>
    <row r="237">
      <c r="A237" s="48">
        <f>Raw_Data!A228</f>
        <v/>
      </c>
      <c r="B237" s="48">
        <f>PROPER(TRIM(Raw_Data!B228))</f>
        <v/>
      </c>
      <c r="C237" s="48">
        <f>TRIM(Raw_Data!C228)</f>
        <v/>
      </c>
      <c r="D237" s="48">
        <f>IF(PROPER(TRIM(Raw_Data!D228))="Bangalore","Bengaluru",IF(PROPER(TRIM(Raw_Data!D228))="Gurgaon","Gurugram",IF(OR(PROPER(TRIM(Raw_Data!D228))="New Delhi",PROPER(TRIM(Raw_Data!D228))="Delhi"),"Delhi",PROPER(TRIM(Raw_Data!D228)))))</f>
        <v/>
      </c>
      <c r="E237" s="48">
        <f>Raw_Data!E228</f>
        <v/>
      </c>
      <c r="F237" s="48">
        <f>IF(TRIM(Raw_Data!F228&amp;"")="","Not Specified",Raw_Data!F228)</f>
        <v/>
      </c>
      <c r="G237" s="48">
        <f>Raw_Data!G228</f>
        <v/>
      </c>
      <c r="H237" s="48">
        <f>Raw_Data!H228</f>
        <v/>
      </c>
      <c r="I237" s="49">
        <f>IF(Raw_Data!I228="","",Raw_Data!I228)</f>
        <v/>
      </c>
      <c r="J237" s="49">
        <f>IF(Raw_Data!J228="","",Raw_Data!J228)</f>
        <v/>
      </c>
      <c r="K237" s="48">
        <f>IF(TRIM(Raw_Data!K228&amp;"")="","Not Specified",Raw_Data!K228)</f>
        <v/>
      </c>
      <c r="L237" s="56">
        <f>Raw_Data!L228</f>
        <v/>
      </c>
      <c r="M237" s="49">
        <f>IF(OR(I237="",J237=""),"",(I237+J237)/2)</f>
        <v/>
      </c>
      <c r="N237" s="49">
        <f>IF(OR(I237="",J237=""),"",J237-I237)</f>
        <v/>
      </c>
      <c r="O237" s="48">
        <f>TEXT(L237,"mmm-yyyy")</f>
        <v/>
      </c>
      <c r="P237" s="48">
        <f>_xlfn.IFS(ISNUMBER(SEARCH("data analy",B237)),"Data Analyst",ISNUMBER(SEARCH("business analy",B237)),"Business Analyst",OR(ISNUMBER(SEARCH("developer",B237)),ISNUMBER(SEARCH("software engineer",B237)),ISNUMBER(SEARCH("programmer",B237))),"Software Developer",ISNUMBER(SEARCH("business development",B237)),"Business Development",ISNUMBER(SEARCH("sales",B237)),"Sales Executive",ISNUMBER(SEARCH("marketing",B237)),"Marketing Executive",OR(ISNUMBER(SEARCH("hr ",B237)),ISNUMBER(SEARCH("recruit",B237)),ISNUMBER(SEARCH("human resource",B237))),"HR / Recruiter",OR(ISNUMBER(SEARCH("account",B237)),ISNUMBER(SEARCH("finance",B237)),ISNUMBER(SEARCH("tax",B237)),ISNUMBER(SEARCH("audit",B237))),"Accountant / Finance",OR(ISNUMBER(SEARCH("customer service",B237)),ISNUMBER(SEARCH("customer support",B237)),ISNUMBER(SEARCH("customer care",B237)),ISNUMBER(SEARCH("voice process",B237)),ISNUMBER(SEARCH("bpo",B237))),"Customer Support",ISNUMBER(SEARCH("engineer",B237)),"Engineer (Technical)",ISNUMBER(SEARCH("manager",B237)),"Manager",OR(ISNUMBER(SEARCH("teacher",B237)),ISNUMBER(SEARCH("trainer",B237)),ISNUMBER(SEARCH("faculty",B237))),"Teacher / Trainer",OR(ISNUMBER(SEARCH("doctor",B237)),ISNUMBER(SEARCH("nurse",B237)),ISNUMBER(SEARCH("medical",B237)),ISNUMBER(SEARCH("pharma",B237)),ISNUMBER(SEARCH("clinical",B237))),"Healthcare",TRUE,"Other")</f>
        <v/>
      </c>
      <c r="Q237" s="48">
        <f>IF(COUNTIFS($B$11:B237,B237,$C$11:C237,C237,$D$11:D237,D237,$L$11:L237,L237)&gt;1,"Duplicate","Unique")</f>
        <v/>
      </c>
    </row>
    <row r="238">
      <c r="A238" s="48">
        <f>Raw_Data!A229</f>
        <v/>
      </c>
      <c r="B238" s="48">
        <f>PROPER(TRIM(Raw_Data!B229))</f>
        <v/>
      </c>
      <c r="C238" s="48">
        <f>TRIM(Raw_Data!C229)</f>
        <v/>
      </c>
      <c r="D238" s="48">
        <f>IF(PROPER(TRIM(Raw_Data!D229))="Bangalore","Bengaluru",IF(PROPER(TRIM(Raw_Data!D229))="Gurgaon","Gurugram",IF(OR(PROPER(TRIM(Raw_Data!D229))="New Delhi",PROPER(TRIM(Raw_Data!D229))="Delhi"),"Delhi",PROPER(TRIM(Raw_Data!D229)))))</f>
        <v/>
      </c>
      <c r="E238" s="48">
        <f>Raw_Data!E229</f>
        <v/>
      </c>
      <c r="F238" s="48">
        <f>IF(TRIM(Raw_Data!F229&amp;"")="","Not Specified",Raw_Data!F229)</f>
        <v/>
      </c>
      <c r="G238" s="48">
        <f>Raw_Data!G229</f>
        <v/>
      </c>
      <c r="H238" s="48">
        <f>Raw_Data!H229</f>
        <v/>
      </c>
      <c r="I238" s="49">
        <f>IF(Raw_Data!I229="","",Raw_Data!I229)</f>
        <v/>
      </c>
      <c r="J238" s="49">
        <f>IF(Raw_Data!J229="","",Raw_Data!J229)</f>
        <v/>
      </c>
      <c r="K238" s="48">
        <f>IF(TRIM(Raw_Data!K229&amp;"")="","Not Specified",Raw_Data!K229)</f>
        <v/>
      </c>
      <c r="L238" s="56">
        <f>Raw_Data!L229</f>
        <v/>
      </c>
      <c r="M238" s="49">
        <f>IF(OR(I238="",J238=""),"",(I238+J238)/2)</f>
        <v/>
      </c>
      <c r="N238" s="49">
        <f>IF(OR(I238="",J238=""),"",J238-I238)</f>
        <v/>
      </c>
      <c r="O238" s="48">
        <f>TEXT(L238,"mmm-yyyy")</f>
        <v/>
      </c>
      <c r="P238" s="48">
        <f>_xlfn.IFS(ISNUMBER(SEARCH("data analy",B238)),"Data Analyst",ISNUMBER(SEARCH("business analy",B238)),"Business Analyst",OR(ISNUMBER(SEARCH("developer",B238)),ISNUMBER(SEARCH("software engineer",B238)),ISNUMBER(SEARCH("programmer",B238))),"Software Developer",ISNUMBER(SEARCH("business development",B238)),"Business Development",ISNUMBER(SEARCH("sales",B238)),"Sales Executive",ISNUMBER(SEARCH("marketing",B238)),"Marketing Executive",OR(ISNUMBER(SEARCH("hr ",B238)),ISNUMBER(SEARCH("recruit",B238)),ISNUMBER(SEARCH("human resource",B238))),"HR / Recruiter",OR(ISNUMBER(SEARCH("account",B238)),ISNUMBER(SEARCH("finance",B238)),ISNUMBER(SEARCH("tax",B238)),ISNUMBER(SEARCH("audit",B238))),"Accountant / Finance",OR(ISNUMBER(SEARCH("customer service",B238)),ISNUMBER(SEARCH("customer support",B238)),ISNUMBER(SEARCH("customer care",B238)),ISNUMBER(SEARCH("voice process",B238)),ISNUMBER(SEARCH("bpo",B238))),"Customer Support",ISNUMBER(SEARCH("engineer",B238)),"Engineer (Technical)",ISNUMBER(SEARCH("manager",B238)),"Manager",OR(ISNUMBER(SEARCH("teacher",B238)),ISNUMBER(SEARCH("trainer",B238)),ISNUMBER(SEARCH("faculty",B238))),"Teacher / Trainer",OR(ISNUMBER(SEARCH("doctor",B238)),ISNUMBER(SEARCH("nurse",B238)),ISNUMBER(SEARCH("medical",B238)),ISNUMBER(SEARCH("pharma",B238)),ISNUMBER(SEARCH("clinical",B238))),"Healthcare",TRUE,"Other")</f>
        <v/>
      </c>
      <c r="Q238" s="48">
        <f>IF(COUNTIFS($B$11:B238,B238,$C$11:C238,C238,$D$11:D238,D238,$L$11:L238,L238)&gt;1,"Duplicate","Unique")</f>
        <v/>
      </c>
    </row>
    <row r="239">
      <c r="A239" s="48">
        <f>Raw_Data!A230</f>
        <v/>
      </c>
      <c r="B239" s="48">
        <f>PROPER(TRIM(Raw_Data!B230))</f>
        <v/>
      </c>
      <c r="C239" s="48">
        <f>TRIM(Raw_Data!C230)</f>
        <v/>
      </c>
      <c r="D239" s="48">
        <f>IF(PROPER(TRIM(Raw_Data!D230))="Bangalore","Bengaluru",IF(PROPER(TRIM(Raw_Data!D230))="Gurgaon","Gurugram",IF(OR(PROPER(TRIM(Raw_Data!D230))="New Delhi",PROPER(TRIM(Raw_Data!D230))="Delhi"),"Delhi",PROPER(TRIM(Raw_Data!D230)))))</f>
        <v/>
      </c>
      <c r="E239" s="48">
        <f>Raw_Data!E230</f>
        <v/>
      </c>
      <c r="F239" s="48">
        <f>IF(TRIM(Raw_Data!F230&amp;"")="","Not Specified",Raw_Data!F230)</f>
        <v/>
      </c>
      <c r="G239" s="48">
        <f>Raw_Data!G230</f>
        <v/>
      </c>
      <c r="H239" s="48">
        <f>Raw_Data!H230</f>
        <v/>
      </c>
      <c r="I239" s="49">
        <f>IF(Raw_Data!I230="","",Raw_Data!I230)</f>
        <v/>
      </c>
      <c r="J239" s="49">
        <f>IF(Raw_Data!J230="","",Raw_Data!J230)</f>
        <v/>
      </c>
      <c r="K239" s="48">
        <f>IF(TRIM(Raw_Data!K230&amp;"")="","Not Specified",Raw_Data!K230)</f>
        <v/>
      </c>
      <c r="L239" s="56">
        <f>Raw_Data!L230</f>
        <v/>
      </c>
      <c r="M239" s="49">
        <f>IF(OR(I239="",J239=""),"",(I239+J239)/2)</f>
        <v/>
      </c>
      <c r="N239" s="49">
        <f>IF(OR(I239="",J239=""),"",J239-I239)</f>
        <v/>
      </c>
      <c r="O239" s="48">
        <f>TEXT(L239,"mmm-yyyy")</f>
        <v/>
      </c>
      <c r="P239" s="48">
        <f>_xlfn.IFS(ISNUMBER(SEARCH("data analy",B239)),"Data Analyst",ISNUMBER(SEARCH("business analy",B239)),"Business Analyst",OR(ISNUMBER(SEARCH("developer",B239)),ISNUMBER(SEARCH("software engineer",B239)),ISNUMBER(SEARCH("programmer",B239))),"Software Developer",ISNUMBER(SEARCH("business development",B239)),"Business Development",ISNUMBER(SEARCH("sales",B239)),"Sales Executive",ISNUMBER(SEARCH("marketing",B239)),"Marketing Executive",OR(ISNUMBER(SEARCH("hr ",B239)),ISNUMBER(SEARCH("recruit",B239)),ISNUMBER(SEARCH("human resource",B239))),"HR / Recruiter",OR(ISNUMBER(SEARCH("account",B239)),ISNUMBER(SEARCH("finance",B239)),ISNUMBER(SEARCH("tax",B239)),ISNUMBER(SEARCH("audit",B239))),"Accountant / Finance",OR(ISNUMBER(SEARCH("customer service",B239)),ISNUMBER(SEARCH("customer support",B239)),ISNUMBER(SEARCH("customer care",B239)),ISNUMBER(SEARCH("voice process",B239)),ISNUMBER(SEARCH("bpo",B239))),"Customer Support",ISNUMBER(SEARCH("engineer",B239)),"Engineer (Technical)",ISNUMBER(SEARCH("manager",B239)),"Manager",OR(ISNUMBER(SEARCH("teacher",B239)),ISNUMBER(SEARCH("trainer",B239)),ISNUMBER(SEARCH("faculty",B239))),"Teacher / Trainer",OR(ISNUMBER(SEARCH("doctor",B239)),ISNUMBER(SEARCH("nurse",B239)),ISNUMBER(SEARCH("medical",B239)),ISNUMBER(SEARCH("pharma",B239)),ISNUMBER(SEARCH("clinical",B239))),"Healthcare",TRUE,"Other")</f>
        <v/>
      </c>
      <c r="Q239" s="48">
        <f>IF(COUNTIFS($B$11:B239,B239,$C$11:C239,C239,$D$11:D239,D239,$L$11:L239,L239)&gt;1,"Duplicate","Unique")</f>
        <v/>
      </c>
    </row>
    <row r="240">
      <c r="A240" s="48">
        <f>Raw_Data!A231</f>
        <v/>
      </c>
      <c r="B240" s="48">
        <f>PROPER(TRIM(Raw_Data!B231))</f>
        <v/>
      </c>
      <c r="C240" s="48">
        <f>TRIM(Raw_Data!C231)</f>
        <v/>
      </c>
      <c r="D240" s="48">
        <f>IF(PROPER(TRIM(Raw_Data!D231))="Bangalore","Bengaluru",IF(PROPER(TRIM(Raw_Data!D231))="Gurgaon","Gurugram",IF(OR(PROPER(TRIM(Raw_Data!D231))="New Delhi",PROPER(TRIM(Raw_Data!D231))="Delhi"),"Delhi",PROPER(TRIM(Raw_Data!D231)))))</f>
        <v/>
      </c>
      <c r="E240" s="48">
        <f>Raw_Data!E231</f>
        <v/>
      </c>
      <c r="F240" s="48">
        <f>IF(TRIM(Raw_Data!F231&amp;"")="","Not Specified",Raw_Data!F231)</f>
        <v/>
      </c>
      <c r="G240" s="48">
        <f>Raw_Data!G231</f>
        <v/>
      </c>
      <c r="H240" s="48">
        <f>Raw_Data!H231</f>
        <v/>
      </c>
      <c r="I240" s="49">
        <f>IF(Raw_Data!I231="","",Raw_Data!I231)</f>
        <v/>
      </c>
      <c r="J240" s="49">
        <f>IF(Raw_Data!J231="","",Raw_Data!J231)</f>
        <v/>
      </c>
      <c r="K240" s="48">
        <f>IF(TRIM(Raw_Data!K231&amp;"")="","Not Specified",Raw_Data!K231)</f>
        <v/>
      </c>
      <c r="L240" s="56">
        <f>Raw_Data!L231</f>
        <v/>
      </c>
      <c r="M240" s="49">
        <f>IF(OR(I240="",J240=""),"",(I240+J240)/2)</f>
        <v/>
      </c>
      <c r="N240" s="49">
        <f>IF(OR(I240="",J240=""),"",J240-I240)</f>
        <v/>
      </c>
      <c r="O240" s="48">
        <f>TEXT(L240,"mmm-yyyy")</f>
        <v/>
      </c>
      <c r="P240" s="48">
        <f>_xlfn.IFS(ISNUMBER(SEARCH("data analy",B240)),"Data Analyst",ISNUMBER(SEARCH("business analy",B240)),"Business Analyst",OR(ISNUMBER(SEARCH("developer",B240)),ISNUMBER(SEARCH("software engineer",B240)),ISNUMBER(SEARCH("programmer",B240))),"Software Developer",ISNUMBER(SEARCH("business development",B240)),"Business Development",ISNUMBER(SEARCH("sales",B240)),"Sales Executive",ISNUMBER(SEARCH("marketing",B240)),"Marketing Executive",OR(ISNUMBER(SEARCH("hr ",B240)),ISNUMBER(SEARCH("recruit",B240)),ISNUMBER(SEARCH("human resource",B240))),"HR / Recruiter",OR(ISNUMBER(SEARCH("account",B240)),ISNUMBER(SEARCH("finance",B240)),ISNUMBER(SEARCH("tax",B240)),ISNUMBER(SEARCH("audit",B240))),"Accountant / Finance",OR(ISNUMBER(SEARCH("customer service",B240)),ISNUMBER(SEARCH("customer support",B240)),ISNUMBER(SEARCH("customer care",B240)),ISNUMBER(SEARCH("voice process",B240)),ISNUMBER(SEARCH("bpo",B240))),"Customer Support",ISNUMBER(SEARCH("engineer",B240)),"Engineer (Technical)",ISNUMBER(SEARCH("manager",B240)),"Manager",OR(ISNUMBER(SEARCH("teacher",B240)),ISNUMBER(SEARCH("trainer",B240)),ISNUMBER(SEARCH("faculty",B240))),"Teacher / Trainer",OR(ISNUMBER(SEARCH("doctor",B240)),ISNUMBER(SEARCH("nurse",B240)),ISNUMBER(SEARCH("medical",B240)),ISNUMBER(SEARCH("pharma",B240)),ISNUMBER(SEARCH("clinical",B240))),"Healthcare",TRUE,"Other")</f>
        <v/>
      </c>
      <c r="Q240" s="48">
        <f>IF(COUNTIFS($B$11:B240,B240,$C$11:C240,C240,$D$11:D240,D240,$L$11:L240,L240)&gt;1,"Duplicate","Unique")</f>
        <v/>
      </c>
    </row>
    <row r="241">
      <c r="A241" s="48">
        <f>Raw_Data!A232</f>
        <v/>
      </c>
      <c r="B241" s="48">
        <f>PROPER(TRIM(Raw_Data!B232))</f>
        <v/>
      </c>
      <c r="C241" s="48">
        <f>TRIM(Raw_Data!C232)</f>
        <v/>
      </c>
      <c r="D241" s="48">
        <f>IF(PROPER(TRIM(Raw_Data!D232))="Bangalore","Bengaluru",IF(PROPER(TRIM(Raw_Data!D232))="Gurgaon","Gurugram",IF(OR(PROPER(TRIM(Raw_Data!D232))="New Delhi",PROPER(TRIM(Raw_Data!D232))="Delhi"),"Delhi",PROPER(TRIM(Raw_Data!D232)))))</f>
        <v/>
      </c>
      <c r="E241" s="48">
        <f>Raw_Data!E232</f>
        <v/>
      </c>
      <c r="F241" s="48">
        <f>IF(TRIM(Raw_Data!F232&amp;"")="","Not Specified",Raw_Data!F232)</f>
        <v/>
      </c>
      <c r="G241" s="48">
        <f>Raw_Data!G232</f>
        <v/>
      </c>
      <c r="H241" s="48">
        <f>Raw_Data!H232</f>
        <v/>
      </c>
      <c r="I241" s="49">
        <f>IF(Raw_Data!I232="","",Raw_Data!I232)</f>
        <v/>
      </c>
      <c r="J241" s="49">
        <f>IF(Raw_Data!J232="","",Raw_Data!J232)</f>
        <v/>
      </c>
      <c r="K241" s="48">
        <f>IF(TRIM(Raw_Data!K232&amp;"")="","Not Specified",Raw_Data!K232)</f>
        <v/>
      </c>
      <c r="L241" s="56">
        <f>Raw_Data!L232</f>
        <v/>
      </c>
      <c r="M241" s="49">
        <f>IF(OR(I241="",J241=""),"",(I241+J241)/2)</f>
        <v/>
      </c>
      <c r="N241" s="49">
        <f>IF(OR(I241="",J241=""),"",J241-I241)</f>
        <v/>
      </c>
      <c r="O241" s="48">
        <f>TEXT(L241,"mmm-yyyy")</f>
        <v/>
      </c>
      <c r="P241" s="48">
        <f>_xlfn.IFS(ISNUMBER(SEARCH("data analy",B241)),"Data Analyst",ISNUMBER(SEARCH("business analy",B241)),"Business Analyst",OR(ISNUMBER(SEARCH("developer",B241)),ISNUMBER(SEARCH("software engineer",B241)),ISNUMBER(SEARCH("programmer",B241))),"Software Developer",ISNUMBER(SEARCH("business development",B241)),"Business Development",ISNUMBER(SEARCH("sales",B241)),"Sales Executive",ISNUMBER(SEARCH("marketing",B241)),"Marketing Executive",OR(ISNUMBER(SEARCH("hr ",B241)),ISNUMBER(SEARCH("recruit",B241)),ISNUMBER(SEARCH("human resource",B241))),"HR / Recruiter",OR(ISNUMBER(SEARCH("account",B241)),ISNUMBER(SEARCH("finance",B241)),ISNUMBER(SEARCH("tax",B241)),ISNUMBER(SEARCH("audit",B241))),"Accountant / Finance",OR(ISNUMBER(SEARCH("customer service",B241)),ISNUMBER(SEARCH("customer support",B241)),ISNUMBER(SEARCH("customer care",B241)),ISNUMBER(SEARCH("voice process",B241)),ISNUMBER(SEARCH("bpo",B241))),"Customer Support",ISNUMBER(SEARCH("engineer",B241)),"Engineer (Technical)",ISNUMBER(SEARCH("manager",B241)),"Manager",OR(ISNUMBER(SEARCH("teacher",B241)),ISNUMBER(SEARCH("trainer",B241)),ISNUMBER(SEARCH("faculty",B241))),"Teacher / Trainer",OR(ISNUMBER(SEARCH("doctor",B241)),ISNUMBER(SEARCH("nurse",B241)),ISNUMBER(SEARCH("medical",B241)),ISNUMBER(SEARCH("pharma",B241)),ISNUMBER(SEARCH("clinical",B241))),"Healthcare",TRUE,"Other")</f>
        <v/>
      </c>
      <c r="Q241" s="48">
        <f>IF(COUNTIFS($B$11:B241,B241,$C$11:C241,C241,$D$11:D241,D241,$L$11:L241,L241)&gt;1,"Duplicate","Unique")</f>
        <v/>
      </c>
    </row>
    <row r="242">
      <c r="A242" s="48">
        <f>Raw_Data!A233</f>
        <v/>
      </c>
      <c r="B242" s="48">
        <f>PROPER(TRIM(Raw_Data!B233))</f>
        <v/>
      </c>
      <c r="C242" s="48">
        <f>TRIM(Raw_Data!C233)</f>
        <v/>
      </c>
      <c r="D242" s="48">
        <f>IF(PROPER(TRIM(Raw_Data!D233))="Bangalore","Bengaluru",IF(PROPER(TRIM(Raw_Data!D233))="Gurgaon","Gurugram",IF(OR(PROPER(TRIM(Raw_Data!D233))="New Delhi",PROPER(TRIM(Raw_Data!D233))="Delhi"),"Delhi",PROPER(TRIM(Raw_Data!D233)))))</f>
        <v/>
      </c>
      <c r="E242" s="48">
        <f>Raw_Data!E233</f>
        <v/>
      </c>
      <c r="F242" s="48">
        <f>IF(TRIM(Raw_Data!F233&amp;"")="","Not Specified",Raw_Data!F233)</f>
        <v/>
      </c>
      <c r="G242" s="48">
        <f>Raw_Data!G233</f>
        <v/>
      </c>
      <c r="H242" s="48">
        <f>Raw_Data!H233</f>
        <v/>
      </c>
      <c r="I242" s="49">
        <f>IF(Raw_Data!I233="","",Raw_Data!I233)</f>
        <v/>
      </c>
      <c r="J242" s="49">
        <f>IF(Raw_Data!J233="","",Raw_Data!J233)</f>
        <v/>
      </c>
      <c r="K242" s="48">
        <f>IF(TRIM(Raw_Data!K233&amp;"")="","Not Specified",Raw_Data!K233)</f>
        <v/>
      </c>
      <c r="L242" s="56">
        <f>Raw_Data!L233</f>
        <v/>
      </c>
      <c r="M242" s="49">
        <f>IF(OR(I242="",J242=""),"",(I242+J242)/2)</f>
        <v/>
      </c>
      <c r="N242" s="49">
        <f>IF(OR(I242="",J242=""),"",J242-I242)</f>
        <v/>
      </c>
      <c r="O242" s="48">
        <f>TEXT(L242,"mmm-yyyy")</f>
        <v/>
      </c>
      <c r="P242" s="48">
        <f>_xlfn.IFS(ISNUMBER(SEARCH("data analy",B242)),"Data Analyst",ISNUMBER(SEARCH("business analy",B242)),"Business Analyst",OR(ISNUMBER(SEARCH("developer",B242)),ISNUMBER(SEARCH("software engineer",B242)),ISNUMBER(SEARCH("programmer",B242))),"Software Developer",ISNUMBER(SEARCH("business development",B242)),"Business Development",ISNUMBER(SEARCH("sales",B242)),"Sales Executive",ISNUMBER(SEARCH("marketing",B242)),"Marketing Executive",OR(ISNUMBER(SEARCH("hr ",B242)),ISNUMBER(SEARCH("recruit",B242)),ISNUMBER(SEARCH("human resource",B242))),"HR / Recruiter",OR(ISNUMBER(SEARCH("account",B242)),ISNUMBER(SEARCH("finance",B242)),ISNUMBER(SEARCH("tax",B242)),ISNUMBER(SEARCH("audit",B242))),"Accountant / Finance",OR(ISNUMBER(SEARCH("customer service",B242)),ISNUMBER(SEARCH("customer support",B242)),ISNUMBER(SEARCH("customer care",B242)),ISNUMBER(SEARCH("voice process",B242)),ISNUMBER(SEARCH("bpo",B242))),"Customer Support",ISNUMBER(SEARCH("engineer",B242)),"Engineer (Technical)",ISNUMBER(SEARCH("manager",B242)),"Manager",OR(ISNUMBER(SEARCH("teacher",B242)),ISNUMBER(SEARCH("trainer",B242)),ISNUMBER(SEARCH("faculty",B242))),"Teacher / Trainer",OR(ISNUMBER(SEARCH("doctor",B242)),ISNUMBER(SEARCH("nurse",B242)),ISNUMBER(SEARCH("medical",B242)),ISNUMBER(SEARCH("pharma",B242)),ISNUMBER(SEARCH("clinical",B242))),"Healthcare",TRUE,"Other")</f>
        <v/>
      </c>
      <c r="Q242" s="48">
        <f>IF(COUNTIFS($B$11:B242,B242,$C$11:C242,C242,$D$11:D242,D242,$L$11:L242,L242)&gt;1,"Duplicate","Unique")</f>
        <v/>
      </c>
    </row>
    <row r="243">
      <c r="A243" s="48">
        <f>Raw_Data!A234</f>
        <v/>
      </c>
      <c r="B243" s="48">
        <f>PROPER(TRIM(Raw_Data!B234))</f>
        <v/>
      </c>
      <c r="C243" s="48">
        <f>TRIM(Raw_Data!C234)</f>
        <v/>
      </c>
      <c r="D243" s="48">
        <f>IF(PROPER(TRIM(Raw_Data!D234))="Bangalore","Bengaluru",IF(PROPER(TRIM(Raw_Data!D234))="Gurgaon","Gurugram",IF(OR(PROPER(TRIM(Raw_Data!D234))="New Delhi",PROPER(TRIM(Raw_Data!D234))="Delhi"),"Delhi",PROPER(TRIM(Raw_Data!D234)))))</f>
        <v/>
      </c>
      <c r="E243" s="48">
        <f>Raw_Data!E234</f>
        <v/>
      </c>
      <c r="F243" s="48">
        <f>IF(TRIM(Raw_Data!F234&amp;"")="","Not Specified",Raw_Data!F234)</f>
        <v/>
      </c>
      <c r="G243" s="48">
        <f>Raw_Data!G234</f>
        <v/>
      </c>
      <c r="H243" s="48">
        <f>Raw_Data!H234</f>
        <v/>
      </c>
      <c r="I243" s="49">
        <f>IF(Raw_Data!I234="","",Raw_Data!I234)</f>
        <v/>
      </c>
      <c r="J243" s="49">
        <f>IF(Raw_Data!J234="","",Raw_Data!J234)</f>
        <v/>
      </c>
      <c r="K243" s="48">
        <f>IF(TRIM(Raw_Data!K234&amp;"")="","Not Specified",Raw_Data!K234)</f>
        <v/>
      </c>
      <c r="L243" s="56">
        <f>Raw_Data!L234</f>
        <v/>
      </c>
      <c r="M243" s="49">
        <f>IF(OR(I243="",J243=""),"",(I243+J243)/2)</f>
        <v/>
      </c>
      <c r="N243" s="49">
        <f>IF(OR(I243="",J243=""),"",J243-I243)</f>
        <v/>
      </c>
      <c r="O243" s="48">
        <f>TEXT(L243,"mmm-yyyy")</f>
        <v/>
      </c>
      <c r="P243" s="48">
        <f>_xlfn.IFS(ISNUMBER(SEARCH("data analy",B243)),"Data Analyst",ISNUMBER(SEARCH("business analy",B243)),"Business Analyst",OR(ISNUMBER(SEARCH("developer",B243)),ISNUMBER(SEARCH("software engineer",B243)),ISNUMBER(SEARCH("programmer",B243))),"Software Developer",ISNUMBER(SEARCH("business development",B243)),"Business Development",ISNUMBER(SEARCH("sales",B243)),"Sales Executive",ISNUMBER(SEARCH("marketing",B243)),"Marketing Executive",OR(ISNUMBER(SEARCH("hr ",B243)),ISNUMBER(SEARCH("recruit",B243)),ISNUMBER(SEARCH("human resource",B243))),"HR / Recruiter",OR(ISNUMBER(SEARCH("account",B243)),ISNUMBER(SEARCH("finance",B243)),ISNUMBER(SEARCH("tax",B243)),ISNUMBER(SEARCH("audit",B243))),"Accountant / Finance",OR(ISNUMBER(SEARCH("customer service",B243)),ISNUMBER(SEARCH("customer support",B243)),ISNUMBER(SEARCH("customer care",B243)),ISNUMBER(SEARCH("voice process",B243)),ISNUMBER(SEARCH("bpo",B243))),"Customer Support",ISNUMBER(SEARCH("engineer",B243)),"Engineer (Technical)",ISNUMBER(SEARCH("manager",B243)),"Manager",OR(ISNUMBER(SEARCH("teacher",B243)),ISNUMBER(SEARCH("trainer",B243)),ISNUMBER(SEARCH("faculty",B243))),"Teacher / Trainer",OR(ISNUMBER(SEARCH("doctor",B243)),ISNUMBER(SEARCH("nurse",B243)),ISNUMBER(SEARCH("medical",B243)),ISNUMBER(SEARCH("pharma",B243)),ISNUMBER(SEARCH("clinical",B243))),"Healthcare",TRUE,"Other")</f>
        <v/>
      </c>
      <c r="Q243" s="48">
        <f>IF(COUNTIFS($B$11:B243,B243,$C$11:C243,C243,$D$11:D243,D243,$L$11:L243,L243)&gt;1,"Duplicate","Unique")</f>
        <v/>
      </c>
    </row>
    <row r="244">
      <c r="A244" s="48">
        <f>Raw_Data!A235</f>
        <v/>
      </c>
      <c r="B244" s="48">
        <f>PROPER(TRIM(Raw_Data!B235))</f>
        <v/>
      </c>
      <c r="C244" s="48">
        <f>TRIM(Raw_Data!C235)</f>
        <v/>
      </c>
      <c r="D244" s="48">
        <f>IF(PROPER(TRIM(Raw_Data!D235))="Bangalore","Bengaluru",IF(PROPER(TRIM(Raw_Data!D235))="Gurgaon","Gurugram",IF(OR(PROPER(TRIM(Raw_Data!D235))="New Delhi",PROPER(TRIM(Raw_Data!D235))="Delhi"),"Delhi",PROPER(TRIM(Raw_Data!D235)))))</f>
        <v/>
      </c>
      <c r="E244" s="48">
        <f>Raw_Data!E235</f>
        <v/>
      </c>
      <c r="F244" s="48">
        <f>IF(TRIM(Raw_Data!F235&amp;"")="","Not Specified",Raw_Data!F235)</f>
        <v/>
      </c>
      <c r="G244" s="48">
        <f>Raw_Data!G235</f>
        <v/>
      </c>
      <c r="H244" s="48">
        <f>Raw_Data!H235</f>
        <v/>
      </c>
      <c r="I244" s="49">
        <f>IF(Raw_Data!I235="","",Raw_Data!I235)</f>
        <v/>
      </c>
      <c r="J244" s="49">
        <f>IF(Raw_Data!J235="","",Raw_Data!J235)</f>
        <v/>
      </c>
      <c r="K244" s="48">
        <f>IF(TRIM(Raw_Data!K235&amp;"")="","Not Specified",Raw_Data!K235)</f>
        <v/>
      </c>
      <c r="L244" s="56">
        <f>Raw_Data!L235</f>
        <v/>
      </c>
      <c r="M244" s="49">
        <f>IF(OR(I244="",J244=""),"",(I244+J244)/2)</f>
        <v/>
      </c>
      <c r="N244" s="49">
        <f>IF(OR(I244="",J244=""),"",J244-I244)</f>
        <v/>
      </c>
      <c r="O244" s="48">
        <f>TEXT(L244,"mmm-yyyy")</f>
        <v/>
      </c>
      <c r="P244" s="48">
        <f>_xlfn.IFS(ISNUMBER(SEARCH("data analy",B244)),"Data Analyst",ISNUMBER(SEARCH("business analy",B244)),"Business Analyst",OR(ISNUMBER(SEARCH("developer",B244)),ISNUMBER(SEARCH("software engineer",B244)),ISNUMBER(SEARCH("programmer",B244))),"Software Developer",ISNUMBER(SEARCH("business development",B244)),"Business Development",ISNUMBER(SEARCH("sales",B244)),"Sales Executive",ISNUMBER(SEARCH("marketing",B244)),"Marketing Executive",OR(ISNUMBER(SEARCH("hr ",B244)),ISNUMBER(SEARCH("recruit",B244)),ISNUMBER(SEARCH("human resource",B244))),"HR / Recruiter",OR(ISNUMBER(SEARCH("account",B244)),ISNUMBER(SEARCH("finance",B244)),ISNUMBER(SEARCH("tax",B244)),ISNUMBER(SEARCH("audit",B244))),"Accountant / Finance",OR(ISNUMBER(SEARCH("customer service",B244)),ISNUMBER(SEARCH("customer support",B244)),ISNUMBER(SEARCH("customer care",B244)),ISNUMBER(SEARCH("voice process",B244)),ISNUMBER(SEARCH("bpo",B244))),"Customer Support",ISNUMBER(SEARCH("engineer",B244)),"Engineer (Technical)",ISNUMBER(SEARCH("manager",B244)),"Manager",OR(ISNUMBER(SEARCH("teacher",B244)),ISNUMBER(SEARCH("trainer",B244)),ISNUMBER(SEARCH("faculty",B244))),"Teacher / Trainer",OR(ISNUMBER(SEARCH("doctor",B244)),ISNUMBER(SEARCH("nurse",B244)),ISNUMBER(SEARCH("medical",B244)),ISNUMBER(SEARCH("pharma",B244)),ISNUMBER(SEARCH("clinical",B244))),"Healthcare",TRUE,"Other")</f>
        <v/>
      </c>
      <c r="Q244" s="48">
        <f>IF(COUNTIFS($B$11:B244,B244,$C$11:C244,C244,$D$11:D244,D244,$L$11:L244,L244)&gt;1,"Duplicate","Unique")</f>
        <v/>
      </c>
    </row>
    <row r="245">
      <c r="A245" s="48">
        <f>Raw_Data!A236</f>
        <v/>
      </c>
      <c r="B245" s="48">
        <f>PROPER(TRIM(Raw_Data!B236))</f>
        <v/>
      </c>
      <c r="C245" s="48">
        <f>TRIM(Raw_Data!C236)</f>
        <v/>
      </c>
      <c r="D245" s="48">
        <f>IF(PROPER(TRIM(Raw_Data!D236))="Bangalore","Bengaluru",IF(PROPER(TRIM(Raw_Data!D236))="Gurgaon","Gurugram",IF(OR(PROPER(TRIM(Raw_Data!D236))="New Delhi",PROPER(TRIM(Raw_Data!D236))="Delhi"),"Delhi",PROPER(TRIM(Raw_Data!D236)))))</f>
        <v/>
      </c>
      <c r="E245" s="48">
        <f>Raw_Data!E236</f>
        <v/>
      </c>
      <c r="F245" s="48">
        <f>IF(TRIM(Raw_Data!F236&amp;"")="","Not Specified",Raw_Data!F236)</f>
        <v/>
      </c>
      <c r="G245" s="48">
        <f>Raw_Data!G236</f>
        <v/>
      </c>
      <c r="H245" s="48">
        <f>Raw_Data!H236</f>
        <v/>
      </c>
      <c r="I245" s="49">
        <f>IF(Raw_Data!I236="","",Raw_Data!I236)</f>
        <v/>
      </c>
      <c r="J245" s="49">
        <f>IF(Raw_Data!J236="","",Raw_Data!J236)</f>
        <v/>
      </c>
      <c r="K245" s="48">
        <f>IF(TRIM(Raw_Data!K236&amp;"")="","Not Specified",Raw_Data!K236)</f>
        <v/>
      </c>
      <c r="L245" s="56">
        <f>Raw_Data!L236</f>
        <v/>
      </c>
      <c r="M245" s="49">
        <f>IF(OR(I245="",J245=""),"",(I245+J245)/2)</f>
        <v/>
      </c>
      <c r="N245" s="49">
        <f>IF(OR(I245="",J245=""),"",J245-I245)</f>
        <v/>
      </c>
      <c r="O245" s="48">
        <f>TEXT(L245,"mmm-yyyy")</f>
        <v/>
      </c>
      <c r="P245" s="48">
        <f>_xlfn.IFS(ISNUMBER(SEARCH("data analy",B245)),"Data Analyst",ISNUMBER(SEARCH("business analy",B245)),"Business Analyst",OR(ISNUMBER(SEARCH("developer",B245)),ISNUMBER(SEARCH("software engineer",B245)),ISNUMBER(SEARCH("programmer",B245))),"Software Developer",ISNUMBER(SEARCH("business development",B245)),"Business Development",ISNUMBER(SEARCH("sales",B245)),"Sales Executive",ISNUMBER(SEARCH("marketing",B245)),"Marketing Executive",OR(ISNUMBER(SEARCH("hr ",B245)),ISNUMBER(SEARCH("recruit",B245)),ISNUMBER(SEARCH("human resource",B245))),"HR / Recruiter",OR(ISNUMBER(SEARCH("account",B245)),ISNUMBER(SEARCH("finance",B245)),ISNUMBER(SEARCH("tax",B245)),ISNUMBER(SEARCH("audit",B245))),"Accountant / Finance",OR(ISNUMBER(SEARCH("customer service",B245)),ISNUMBER(SEARCH("customer support",B245)),ISNUMBER(SEARCH("customer care",B245)),ISNUMBER(SEARCH("voice process",B245)),ISNUMBER(SEARCH("bpo",B245))),"Customer Support",ISNUMBER(SEARCH("engineer",B245)),"Engineer (Technical)",ISNUMBER(SEARCH("manager",B245)),"Manager",OR(ISNUMBER(SEARCH("teacher",B245)),ISNUMBER(SEARCH("trainer",B245)),ISNUMBER(SEARCH("faculty",B245))),"Teacher / Trainer",OR(ISNUMBER(SEARCH("doctor",B245)),ISNUMBER(SEARCH("nurse",B245)),ISNUMBER(SEARCH("medical",B245)),ISNUMBER(SEARCH("pharma",B245)),ISNUMBER(SEARCH("clinical",B245))),"Healthcare",TRUE,"Other")</f>
        <v/>
      </c>
      <c r="Q245" s="48">
        <f>IF(COUNTIFS($B$11:B245,B245,$C$11:C245,C245,$D$11:D245,D245,$L$11:L245,L245)&gt;1,"Duplicate","Unique")</f>
        <v/>
      </c>
    </row>
    <row r="246">
      <c r="A246" s="48">
        <f>Raw_Data!A237</f>
        <v/>
      </c>
      <c r="B246" s="48">
        <f>PROPER(TRIM(Raw_Data!B237))</f>
        <v/>
      </c>
      <c r="C246" s="48">
        <f>TRIM(Raw_Data!C237)</f>
        <v/>
      </c>
      <c r="D246" s="48">
        <f>IF(PROPER(TRIM(Raw_Data!D237))="Bangalore","Bengaluru",IF(PROPER(TRIM(Raw_Data!D237))="Gurgaon","Gurugram",IF(OR(PROPER(TRIM(Raw_Data!D237))="New Delhi",PROPER(TRIM(Raw_Data!D237))="Delhi"),"Delhi",PROPER(TRIM(Raw_Data!D237)))))</f>
        <v/>
      </c>
      <c r="E246" s="48">
        <f>Raw_Data!E237</f>
        <v/>
      </c>
      <c r="F246" s="48">
        <f>IF(TRIM(Raw_Data!F237&amp;"")="","Not Specified",Raw_Data!F237)</f>
        <v/>
      </c>
      <c r="G246" s="48">
        <f>Raw_Data!G237</f>
        <v/>
      </c>
      <c r="H246" s="48">
        <f>Raw_Data!H237</f>
        <v/>
      </c>
      <c r="I246" s="49">
        <f>IF(Raw_Data!I237="","",Raw_Data!I237)</f>
        <v/>
      </c>
      <c r="J246" s="49">
        <f>IF(Raw_Data!J237="","",Raw_Data!J237)</f>
        <v/>
      </c>
      <c r="K246" s="48">
        <f>IF(TRIM(Raw_Data!K237&amp;"")="","Not Specified",Raw_Data!K237)</f>
        <v/>
      </c>
      <c r="L246" s="56">
        <f>Raw_Data!L237</f>
        <v/>
      </c>
      <c r="M246" s="49">
        <f>IF(OR(I246="",J246=""),"",(I246+J246)/2)</f>
        <v/>
      </c>
      <c r="N246" s="49">
        <f>IF(OR(I246="",J246=""),"",J246-I246)</f>
        <v/>
      </c>
      <c r="O246" s="48">
        <f>TEXT(L246,"mmm-yyyy")</f>
        <v/>
      </c>
      <c r="P246" s="48">
        <f>_xlfn.IFS(ISNUMBER(SEARCH("data analy",B246)),"Data Analyst",ISNUMBER(SEARCH("business analy",B246)),"Business Analyst",OR(ISNUMBER(SEARCH("developer",B246)),ISNUMBER(SEARCH("software engineer",B246)),ISNUMBER(SEARCH("programmer",B246))),"Software Developer",ISNUMBER(SEARCH("business development",B246)),"Business Development",ISNUMBER(SEARCH("sales",B246)),"Sales Executive",ISNUMBER(SEARCH("marketing",B246)),"Marketing Executive",OR(ISNUMBER(SEARCH("hr ",B246)),ISNUMBER(SEARCH("recruit",B246)),ISNUMBER(SEARCH("human resource",B246))),"HR / Recruiter",OR(ISNUMBER(SEARCH("account",B246)),ISNUMBER(SEARCH("finance",B246)),ISNUMBER(SEARCH("tax",B246)),ISNUMBER(SEARCH("audit",B246))),"Accountant / Finance",OR(ISNUMBER(SEARCH("customer service",B246)),ISNUMBER(SEARCH("customer support",B246)),ISNUMBER(SEARCH("customer care",B246)),ISNUMBER(SEARCH("voice process",B246)),ISNUMBER(SEARCH("bpo",B246))),"Customer Support",ISNUMBER(SEARCH("engineer",B246)),"Engineer (Technical)",ISNUMBER(SEARCH("manager",B246)),"Manager",OR(ISNUMBER(SEARCH("teacher",B246)),ISNUMBER(SEARCH("trainer",B246)),ISNUMBER(SEARCH("faculty",B246))),"Teacher / Trainer",OR(ISNUMBER(SEARCH("doctor",B246)),ISNUMBER(SEARCH("nurse",B246)),ISNUMBER(SEARCH("medical",B246)),ISNUMBER(SEARCH("pharma",B246)),ISNUMBER(SEARCH("clinical",B246))),"Healthcare",TRUE,"Other")</f>
        <v/>
      </c>
      <c r="Q246" s="48">
        <f>IF(COUNTIFS($B$11:B246,B246,$C$11:C246,C246,$D$11:D246,D246,$L$11:L246,L246)&gt;1,"Duplicate","Unique")</f>
        <v/>
      </c>
    </row>
    <row r="247">
      <c r="A247" s="48">
        <f>Raw_Data!A238</f>
        <v/>
      </c>
      <c r="B247" s="48">
        <f>PROPER(TRIM(Raw_Data!B238))</f>
        <v/>
      </c>
      <c r="C247" s="48">
        <f>TRIM(Raw_Data!C238)</f>
        <v/>
      </c>
      <c r="D247" s="48">
        <f>IF(PROPER(TRIM(Raw_Data!D238))="Bangalore","Bengaluru",IF(PROPER(TRIM(Raw_Data!D238))="Gurgaon","Gurugram",IF(OR(PROPER(TRIM(Raw_Data!D238))="New Delhi",PROPER(TRIM(Raw_Data!D238))="Delhi"),"Delhi",PROPER(TRIM(Raw_Data!D238)))))</f>
        <v/>
      </c>
      <c r="E247" s="48">
        <f>Raw_Data!E238</f>
        <v/>
      </c>
      <c r="F247" s="48">
        <f>IF(TRIM(Raw_Data!F238&amp;"")="","Not Specified",Raw_Data!F238)</f>
        <v/>
      </c>
      <c r="G247" s="48">
        <f>Raw_Data!G238</f>
        <v/>
      </c>
      <c r="H247" s="48">
        <f>Raw_Data!H238</f>
        <v/>
      </c>
      <c r="I247" s="49">
        <f>IF(Raw_Data!I238="","",Raw_Data!I238)</f>
        <v/>
      </c>
      <c r="J247" s="49">
        <f>IF(Raw_Data!J238="","",Raw_Data!J238)</f>
        <v/>
      </c>
      <c r="K247" s="48">
        <f>IF(TRIM(Raw_Data!K238&amp;"")="","Not Specified",Raw_Data!K238)</f>
        <v/>
      </c>
      <c r="L247" s="56">
        <f>Raw_Data!L238</f>
        <v/>
      </c>
      <c r="M247" s="49">
        <f>IF(OR(I247="",J247=""),"",(I247+J247)/2)</f>
        <v/>
      </c>
      <c r="N247" s="49">
        <f>IF(OR(I247="",J247=""),"",J247-I247)</f>
        <v/>
      </c>
      <c r="O247" s="48">
        <f>TEXT(L247,"mmm-yyyy")</f>
        <v/>
      </c>
      <c r="P247" s="48">
        <f>_xlfn.IFS(ISNUMBER(SEARCH("data analy",B247)),"Data Analyst",ISNUMBER(SEARCH("business analy",B247)),"Business Analyst",OR(ISNUMBER(SEARCH("developer",B247)),ISNUMBER(SEARCH("software engineer",B247)),ISNUMBER(SEARCH("programmer",B247))),"Software Developer",ISNUMBER(SEARCH("business development",B247)),"Business Development",ISNUMBER(SEARCH("sales",B247)),"Sales Executive",ISNUMBER(SEARCH("marketing",B247)),"Marketing Executive",OR(ISNUMBER(SEARCH("hr ",B247)),ISNUMBER(SEARCH("recruit",B247)),ISNUMBER(SEARCH("human resource",B247))),"HR / Recruiter",OR(ISNUMBER(SEARCH("account",B247)),ISNUMBER(SEARCH("finance",B247)),ISNUMBER(SEARCH("tax",B247)),ISNUMBER(SEARCH("audit",B247))),"Accountant / Finance",OR(ISNUMBER(SEARCH("customer service",B247)),ISNUMBER(SEARCH("customer support",B247)),ISNUMBER(SEARCH("customer care",B247)),ISNUMBER(SEARCH("voice process",B247)),ISNUMBER(SEARCH("bpo",B247))),"Customer Support",ISNUMBER(SEARCH("engineer",B247)),"Engineer (Technical)",ISNUMBER(SEARCH("manager",B247)),"Manager",OR(ISNUMBER(SEARCH("teacher",B247)),ISNUMBER(SEARCH("trainer",B247)),ISNUMBER(SEARCH("faculty",B247))),"Teacher / Trainer",OR(ISNUMBER(SEARCH("doctor",B247)),ISNUMBER(SEARCH("nurse",B247)),ISNUMBER(SEARCH("medical",B247)),ISNUMBER(SEARCH("pharma",B247)),ISNUMBER(SEARCH("clinical",B247))),"Healthcare",TRUE,"Other")</f>
        <v/>
      </c>
      <c r="Q247" s="48">
        <f>IF(COUNTIFS($B$11:B247,B247,$C$11:C247,C247,$D$11:D247,D247,$L$11:L247,L247)&gt;1,"Duplicate","Unique")</f>
        <v/>
      </c>
    </row>
    <row r="248">
      <c r="A248" s="48">
        <f>Raw_Data!A239</f>
        <v/>
      </c>
      <c r="B248" s="48">
        <f>PROPER(TRIM(Raw_Data!B239))</f>
        <v/>
      </c>
      <c r="C248" s="48">
        <f>TRIM(Raw_Data!C239)</f>
        <v/>
      </c>
      <c r="D248" s="48">
        <f>IF(PROPER(TRIM(Raw_Data!D239))="Bangalore","Bengaluru",IF(PROPER(TRIM(Raw_Data!D239))="Gurgaon","Gurugram",IF(OR(PROPER(TRIM(Raw_Data!D239))="New Delhi",PROPER(TRIM(Raw_Data!D239))="Delhi"),"Delhi",PROPER(TRIM(Raw_Data!D239)))))</f>
        <v/>
      </c>
      <c r="E248" s="48">
        <f>Raw_Data!E239</f>
        <v/>
      </c>
      <c r="F248" s="48">
        <f>IF(TRIM(Raw_Data!F239&amp;"")="","Not Specified",Raw_Data!F239)</f>
        <v/>
      </c>
      <c r="G248" s="48">
        <f>Raw_Data!G239</f>
        <v/>
      </c>
      <c r="H248" s="48">
        <f>Raw_Data!H239</f>
        <v/>
      </c>
      <c r="I248" s="49">
        <f>IF(Raw_Data!I239="","",Raw_Data!I239)</f>
        <v/>
      </c>
      <c r="J248" s="49">
        <f>IF(Raw_Data!J239="","",Raw_Data!J239)</f>
        <v/>
      </c>
      <c r="K248" s="48">
        <f>IF(TRIM(Raw_Data!K239&amp;"")="","Not Specified",Raw_Data!K239)</f>
        <v/>
      </c>
      <c r="L248" s="56">
        <f>Raw_Data!L239</f>
        <v/>
      </c>
      <c r="M248" s="49">
        <f>IF(OR(I248="",J248=""),"",(I248+J248)/2)</f>
        <v/>
      </c>
      <c r="N248" s="49">
        <f>IF(OR(I248="",J248=""),"",J248-I248)</f>
        <v/>
      </c>
      <c r="O248" s="48">
        <f>TEXT(L248,"mmm-yyyy")</f>
        <v/>
      </c>
      <c r="P248" s="48">
        <f>_xlfn.IFS(ISNUMBER(SEARCH("data analy",B248)),"Data Analyst",ISNUMBER(SEARCH("business analy",B248)),"Business Analyst",OR(ISNUMBER(SEARCH("developer",B248)),ISNUMBER(SEARCH("software engineer",B248)),ISNUMBER(SEARCH("programmer",B248))),"Software Developer",ISNUMBER(SEARCH("business development",B248)),"Business Development",ISNUMBER(SEARCH("sales",B248)),"Sales Executive",ISNUMBER(SEARCH("marketing",B248)),"Marketing Executive",OR(ISNUMBER(SEARCH("hr ",B248)),ISNUMBER(SEARCH("recruit",B248)),ISNUMBER(SEARCH("human resource",B248))),"HR / Recruiter",OR(ISNUMBER(SEARCH("account",B248)),ISNUMBER(SEARCH("finance",B248)),ISNUMBER(SEARCH("tax",B248)),ISNUMBER(SEARCH("audit",B248))),"Accountant / Finance",OR(ISNUMBER(SEARCH("customer service",B248)),ISNUMBER(SEARCH("customer support",B248)),ISNUMBER(SEARCH("customer care",B248)),ISNUMBER(SEARCH("voice process",B248)),ISNUMBER(SEARCH("bpo",B248))),"Customer Support",ISNUMBER(SEARCH("engineer",B248)),"Engineer (Technical)",ISNUMBER(SEARCH("manager",B248)),"Manager",OR(ISNUMBER(SEARCH("teacher",B248)),ISNUMBER(SEARCH("trainer",B248)),ISNUMBER(SEARCH("faculty",B248))),"Teacher / Trainer",OR(ISNUMBER(SEARCH("doctor",B248)),ISNUMBER(SEARCH("nurse",B248)),ISNUMBER(SEARCH("medical",B248)),ISNUMBER(SEARCH("pharma",B248)),ISNUMBER(SEARCH("clinical",B248))),"Healthcare",TRUE,"Other")</f>
        <v/>
      </c>
      <c r="Q248" s="48">
        <f>IF(COUNTIFS($B$11:B248,B248,$C$11:C248,C248,$D$11:D248,D248,$L$11:L248,L248)&gt;1,"Duplicate","Unique")</f>
        <v/>
      </c>
    </row>
    <row r="249">
      <c r="A249" s="48">
        <f>Raw_Data!A240</f>
        <v/>
      </c>
      <c r="B249" s="48">
        <f>PROPER(TRIM(Raw_Data!B240))</f>
        <v/>
      </c>
      <c r="C249" s="48">
        <f>TRIM(Raw_Data!C240)</f>
        <v/>
      </c>
      <c r="D249" s="48">
        <f>IF(PROPER(TRIM(Raw_Data!D240))="Bangalore","Bengaluru",IF(PROPER(TRIM(Raw_Data!D240))="Gurgaon","Gurugram",IF(OR(PROPER(TRIM(Raw_Data!D240))="New Delhi",PROPER(TRIM(Raw_Data!D240))="Delhi"),"Delhi",PROPER(TRIM(Raw_Data!D240)))))</f>
        <v/>
      </c>
      <c r="E249" s="48">
        <f>Raw_Data!E240</f>
        <v/>
      </c>
      <c r="F249" s="48">
        <f>IF(TRIM(Raw_Data!F240&amp;"")="","Not Specified",Raw_Data!F240)</f>
        <v/>
      </c>
      <c r="G249" s="48">
        <f>Raw_Data!G240</f>
        <v/>
      </c>
      <c r="H249" s="48">
        <f>Raw_Data!H240</f>
        <v/>
      </c>
      <c r="I249" s="49">
        <f>IF(Raw_Data!I240="","",Raw_Data!I240)</f>
        <v/>
      </c>
      <c r="J249" s="49">
        <f>IF(Raw_Data!J240="","",Raw_Data!J240)</f>
        <v/>
      </c>
      <c r="K249" s="48">
        <f>IF(TRIM(Raw_Data!K240&amp;"")="","Not Specified",Raw_Data!K240)</f>
        <v/>
      </c>
      <c r="L249" s="56">
        <f>Raw_Data!L240</f>
        <v/>
      </c>
      <c r="M249" s="49">
        <f>IF(OR(I249="",J249=""),"",(I249+J249)/2)</f>
        <v/>
      </c>
      <c r="N249" s="49">
        <f>IF(OR(I249="",J249=""),"",J249-I249)</f>
        <v/>
      </c>
      <c r="O249" s="48">
        <f>TEXT(L249,"mmm-yyyy")</f>
        <v/>
      </c>
      <c r="P249" s="48">
        <f>_xlfn.IFS(ISNUMBER(SEARCH("data analy",B249)),"Data Analyst",ISNUMBER(SEARCH("business analy",B249)),"Business Analyst",OR(ISNUMBER(SEARCH("developer",B249)),ISNUMBER(SEARCH("software engineer",B249)),ISNUMBER(SEARCH("programmer",B249))),"Software Developer",ISNUMBER(SEARCH("business development",B249)),"Business Development",ISNUMBER(SEARCH("sales",B249)),"Sales Executive",ISNUMBER(SEARCH("marketing",B249)),"Marketing Executive",OR(ISNUMBER(SEARCH("hr ",B249)),ISNUMBER(SEARCH("recruit",B249)),ISNUMBER(SEARCH("human resource",B249))),"HR / Recruiter",OR(ISNUMBER(SEARCH("account",B249)),ISNUMBER(SEARCH("finance",B249)),ISNUMBER(SEARCH("tax",B249)),ISNUMBER(SEARCH("audit",B249))),"Accountant / Finance",OR(ISNUMBER(SEARCH("customer service",B249)),ISNUMBER(SEARCH("customer support",B249)),ISNUMBER(SEARCH("customer care",B249)),ISNUMBER(SEARCH("voice process",B249)),ISNUMBER(SEARCH("bpo",B249))),"Customer Support",ISNUMBER(SEARCH("engineer",B249)),"Engineer (Technical)",ISNUMBER(SEARCH("manager",B249)),"Manager",OR(ISNUMBER(SEARCH("teacher",B249)),ISNUMBER(SEARCH("trainer",B249)),ISNUMBER(SEARCH("faculty",B249))),"Teacher / Trainer",OR(ISNUMBER(SEARCH("doctor",B249)),ISNUMBER(SEARCH("nurse",B249)),ISNUMBER(SEARCH("medical",B249)),ISNUMBER(SEARCH("pharma",B249)),ISNUMBER(SEARCH("clinical",B249))),"Healthcare",TRUE,"Other")</f>
        <v/>
      </c>
      <c r="Q249" s="48">
        <f>IF(COUNTIFS($B$11:B249,B249,$C$11:C249,C249,$D$11:D249,D249,$L$11:L249,L249)&gt;1,"Duplicate","Unique")</f>
        <v/>
      </c>
    </row>
    <row r="250">
      <c r="A250" s="48">
        <f>Raw_Data!A241</f>
        <v/>
      </c>
      <c r="B250" s="48">
        <f>PROPER(TRIM(Raw_Data!B241))</f>
        <v/>
      </c>
      <c r="C250" s="48">
        <f>TRIM(Raw_Data!C241)</f>
        <v/>
      </c>
      <c r="D250" s="48">
        <f>IF(PROPER(TRIM(Raw_Data!D241))="Bangalore","Bengaluru",IF(PROPER(TRIM(Raw_Data!D241))="Gurgaon","Gurugram",IF(OR(PROPER(TRIM(Raw_Data!D241))="New Delhi",PROPER(TRIM(Raw_Data!D241))="Delhi"),"Delhi",PROPER(TRIM(Raw_Data!D241)))))</f>
        <v/>
      </c>
      <c r="E250" s="48">
        <f>Raw_Data!E241</f>
        <v/>
      </c>
      <c r="F250" s="48">
        <f>IF(TRIM(Raw_Data!F241&amp;"")="","Not Specified",Raw_Data!F241)</f>
        <v/>
      </c>
      <c r="G250" s="48">
        <f>Raw_Data!G241</f>
        <v/>
      </c>
      <c r="H250" s="48">
        <f>Raw_Data!H241</f>
        <v/>
      </c>
      <c r="I250" s="49">
        <f>IF(Raw_Data!I241="","",Raw_Data!I241)</f>
        <v/>
      </c>
      <c r="J250" s="49">
        <f>IF(Raw_Data!J241="","",Raw_Data!J241)</f>
        <v/>
      </c>
      <c r="K250" s="48">
        <f>IF(TRIM(Raw_Data!K241&amp;"")="","Not Specified",Raw_Data!K241)</f>
        <v/>
      </c>
      <c r="L250" s="56">
        <f>Raw_Data!L241</f>
        <v/>
      </c>
      <c r="M250" s="49">
        <f>IF(OR(I250="",J250=""),"",(I250+J250)/2)</f>
        <v/>
      </c>
      <c r="N250" s="49">
        <f>IF(OR(I250="",J250=""),"",J250-I250)</f>
        <v/>
      </c>
      <c r="O250" s="48">
        <f>TEXT(L250,"mmm-yyyy")</f>
        <v/>
      </c>
      <c r="P250" s="48">
        <f>_xlfn.IFS(ISNUMBER(SEARCH("data analy",B250)),"Data Analyst",ISNUMBER(SEARCH("business analy",B250)),"Business Analyst",OR(ISNUMBER(SEARCH("developer",B250)),ISNUMBER(SEARCH("software engineer",B250)),ISNUMBER(SEARCH("programmer",B250))),"Software Developer",ISNUMBER(SEARCH("business development",B250)),"Business Development",ISNUMBER(SEARCH("sales",B250)),"Sales Executive",ISNUMBER(SEARCH("marketing",B250)),"Marketing Executive",OR(ISNUMBER(SEARCH("hr ",B250)),ISNUMBER(SEARCH("recruit",B250)),ISNUMBER(SEARCH("human resource",B250))),"HR / Recruiter",OR(ISNUMBER(SEARCH("account",B250)),ISNUMBER(SEARCH("finance",B250)),ISNUMBER(SEARCH("tax",B250)),ISNUMBER(SEARCH("audit",B250))),"Accountant / Finance",OR(ISNUMBER(SEARCH("customer service",B250)),ISNUMBER(SEARCH("customer support",B250)),ISNUMBER(SEARCH("customer care",B250)),ISNUMBER(SEARCH("voice process",B250)),ISNUMBER(SEARCH("bpo",B250))),"Customer Support",ISNUMBER(SEARCH("engineer",B250)),"Engineer (Technical)",ISNUMBER(SEARCH("manager",B250)),"Manager",OR(ISNUMBER(SEARCH("teacher",B250)),ISNUMBER(SEARCH("trainer",B250)),ISNUMBER(SEARCH("faculty",B250))),"Teacher / Trainer",OR(ISNUMBER(SEARCH("doctor",B250)),ISNUMBER(SEARCH("nurse",B250)),ISNUMBER(SEARCH("medical",B250)),ISNUMBER(SEARCH("pharma",B250)),ISNUMBER(SEARCH("clinical",B250))),"Healthcare",TRUE,"Other")</f>
        <v/>
      </c>
      <c r="Q250" s="48">
        <f>IF(COUNTIFS($B$11:B250,B250,$C$11:C250,C250,$D$11:D250,D250,$L$11:L250,L250)&gt;1,"Duplicate","Unique")</f>
        <v/>
      </c>
    </row>
    <row r="251">
      <c r="A251" s="48">
        <f>Raw_Data!A242</f>
        <v/>
      </c>
      <c r="B251" s="48">
        <f>PROPER(TRIM(Raw_Data!B242))</f>
        <v/>
      </c>
      <c r="C251" s="48">
        <f>TRIM(Raw_Data!C242)</f>
        <v/>
      </c>
      <c r="D251" s="48">
        <f>IF(PROPER(TRIM(Raw_Data!D242))="Bangalore","Bengaluru",IF(PROPER(TRIM(Raw_Data!D242))="Gurgaon","Gurugram",IF(OR(PROPER(TRIM(Raw_Data!D242))="New Delhi",PROPER(TRIM(Raw_Data!D242))="Delhi"),"Delhi",PROPER(TRIM(Raw_Data!D242)))))</f>
        <v/>
      </c>
      <c r="E251" s="48">
        <f>Raw_Data!E242</f>
        <v/>
      </c>
      <c r="F251" s="48">
        <f>IF(TRIM(Raw_Data!F242&amp;"")="","Not Specified",Raw_Data!F242)</f>
        <v/>
      </c>
      <c r="G251" s="48">
        <f>Raw_Data!G242</f>
        <v/>
      </c>
      <c r="H251" s="48">
        <f>Raw_Data!H242</f>
        <v/>
      </c>
      <c r="I251" s="49">
        <f>IF(Raw_Data!I242="","",Raw_Data!I242)</f>
        <v/>
      </c>
      <c r="J251" s="49">
        <f>IF(Raw_Data!J242="","",Raw_Data!J242)</f>
        <v/>
      </c>
      <c r="K251" s="48">
        <f>IF(TRIM(Raw_Data!K242&amp;"")="","Not Specified",Raw_Data!K242)</f>
        <v/>
      </c>
      <c r="L251" s="56">
        <f>Raw_Data!L242</f>
        <v/>
      </c>
      <c r="M251" s="49">
        <f>IF(OR(I251="",J251=""),"",(I251+J251)/2)</f>
        <v/>
      </c>
      <c r="N251" s="49">
        <f>IF(OR(I251="",J251=""),"",J251-I251)</f>
        <v/>
      </c>
      <c r="O251" s="48">
        <f>TEXT(L251,"mmm-yyyy")</f>
        <v/>
      </c>
      <c r="P251" s="48">
        <f>_xlfn.IFS(ISNUMBER(SEARCH("data analy",B251)),"Data Analyst",ISNUMBER(SEARCH("business analy",B251)),"Business Analyst",OR(ISNUMBER(SEARCH("developer",B251)),ISNUMBER(SEARCH("software engineer",B251)),ISNUMBER(SEARCH("programmer",B251))),"Software Developer",ISNUMBER(SEARCH("business development",B251)),"Business Development",ISNUMBER(SEARCH("sales",B251)),"Sales Executive",ISNUMBER(SEARCH("marketing",B251)),"Marketing Executive",OR(ISNUMBER(SEARCH("hr ",B251)),ISNUMBER(SEARCH("recruit",B251)),ISNUMBER(SEARCH("human resource",B251))),"HR / Recruiter",OR(ISNUMBER(SEARCH("account",B251)),ISNUMBER(SEARCH("finance",B251)),ISNUMBER(SEARCH("tax",B251)),ISNUMBER(SEARCH("audit",B251))),"Accountant / Finance",OR(ISNUMBER(SEARCH("customer service",B251)),ISNUMBER(SEARCH("customer support",B251)),ISNUMBER(SEARCH("customer care",B251)),ISNUMBER(SEARCH("voice process",B251)),ISNUMBER(SEARCH("bpo",B251))),"Customer Support",ISNUMBER(SEARCH("engineer",B251)),"Engineer (Technical)",ISNUMBER(SEARCH("manager",B251)),"Manager",OR(ISNUMBER(SEARCH("teacher",B251)),ISNUMBER(SEARCH("trainer",B251)),ISNUMBER(SEARCH("faculty",B251))),"Teacher / Trainer",OR(ISNUMBER(SEARCH("doctor",B251)),ISNUMBER(SEARCH("nurse",B251)),ISNUMBER(SEARCH("medical",B251)),ISNUMBER(SEARCH("pharma",B251)),ISNUMBER(SEARCH("clinical",B251))),"Healthcare",TRUE,"Other")</f>
        <v/>
      </c>
      <c r="Q251" s="48">
        <f>IF(COUNTIFS($B$11:B251,B251,$C$11:C251,C251,$D$11:D251,D251,$L$11:L251,L251)&gt;1,"Duplicate","Unique")</f>
        <v/>
      </c>
    </row>
    <row r="252">
      <c r="A252" s="48">
        <f>Raw_Data!A243</f>
        <v/>
      </c>
      <c r="B252" s="48">
        <f>PROPER(TRIM(Raw_Data!B243))</f>
        <v/>
      </c>
      <c r="C252" s="48">
        <f>TRIM(Raw_Data!C243)</f>
        <v/>
      </c>
      <c r="D252" s="48">
        <f>IF(PROPER(TRIM(Raw_Data!D243))="Bangalore","Bengaluru",IF(PROPER(TRIM(Raw_Data!D243))="Gurgaon","Gurugram",IF(OR(PROPER(TRIM(Raw_Data!D243))="New Delhi",PROPER(TRIM(Raw_Data!D243))="Delhi"),"Delhi",PROPER(TRIM(Raw_Data!D243)))))</f>
        <v/>
      </c>
      <c r="E252" s="48">
        <f>Raw_Data!E243</f>
        <v/>
      </c>
      <c r="F252" s="48">
        <f>IF(TRIM(Raw_Data!F243&amp;"")="","Not Specified",Raw_Data!F243)</f>
        <v/>
      </c>
      <c r="G252" s="48">
        <f>Raw_Data!G243</f>
        <v/>
      </c>
      <c r="H252" s="48">
        <f>Raw_Data!H243</f>
        <v/>
      </c>
      <c r="I252" s="49">
        <f>IF(Raw_Data!I243="","",Raw_Data!I243)</f>
        <v/>
      </c>
      <c r="J252" s="49">
        <f>IF(Raw_Data!J243="","",Raw_Data!J243)</f>
        <v/>
      </c>
      <c r="K252" s="48">
        <f>IF(TRIM(Raw_Data!K243&amp;"")="","Not Specified",Raw_Data!K243)</f>
        <v/>
      </c>
      <c r="L252" s="56">
        <f>Raw_Data!L243</f>
        <v/>
      </c>
      <c r="M252" s="49">
        <f>IF(OR(I252="",J252=""),"",(I252+J252)/2)</f>
        <v/>
      </c>
      <c r="N252" s="49">
        <f>IF(OR(I252="",J252=""),"",J252-I252)</f>
        <v/>
      </c>
      <c r="O252" s="48">
        <f>TEXT(L252,"mmm-yyyy")</f>
        <v/>
      </c>
      <c r="P252" s="48">
        <f>_xlfn.IFS(ISNUMBER(SEARCH("data analy",B252)),"Data Analyst",ISNUMBER(SEARCH("business analy",B252)),"Business Analyst",OR(ISNUMBER(SEARCH("developer",B252)),ISNUMBER(SEARCH("software engineer",B252)),ISNUMBER(SEARCH("programmer",B252))),"Software Developer",ISNUMBER(SEARCH("business development",B252)),"Business Development",ISNUMBER(SEARCH("sales",B252)),"Sales Executive",ISNUMBER(SEARCH("marketing",B252)),"Marketing Executive",OR(ISNUMBER(SEARCH("hr ",B252)),ISNUMBER(SEARCH("recruit",B252)),ISNUMBER(SEARCH("human resource",B252))),"HR / Recruiter",OR(ISNUMBER(SEARCH("account",B252)),ISNUMBER(SEARCH("finance",B252)),ISNUMBER(SEARCH("tax",B252)),ISNUMBER(SEARCH("audit",B252))),"Accountant / Finance",OR(ISNUMBER(SEARCH("customer service",B252)),ISNUMBER(SEARCH("customer support",B252)),ISNUMBER(SEARCH("customer care",B252)),ISNUMBER(SEARCH("voice process",B252)),ISNUMBER(SEARCH("bpo",B252))),"Customer Support",ISNUMBER(SEARCH("engineer",B252)),"Engineer (Technical)",ISNUMBER(SEARCH("manager",B252)),"Manager",OR(ISNUMBER(SEARCH("teacher",B252)),ISNUMBER(SEARCH("trainer",B252)),ISNUMBER(SEARCH("faculty",B252))),"Teacher / Trainer",OR(ISNUMBER(SEARCH("doctor",B252)),ISNUMBER(SEARCH("nurse",B252)),ISNUMBER(SEARCH("medical",B252)),ISNUMBER(SEARCH("pharma",B252)),ISNUMBER(SEARCH("clinical",B252))),"Healthcare",TRUE,"Other")</f>
        <v/>
      </c>
      <c r="Q252" s="48">
        <f>IF(COUNTIFS($B$11:B252,B252,$C$11:C252,C252,$D$11:D252,D252,$L$11:L252,L252)&gt;1,"Duplicate","Unique")</f>
        <v/>
      </c>
    </row>
    <row r="253">
      <c r="A253" s="48">
        <f>Raw_Data!A244</f>
        <v/>
      </c>
      <c r="B253" s="48">
        <f>PROPER(TRIM(Raw_Data!B244))</f>
        <v/>
      </c>
      <c r="C253" s="48">
        <f>TRIM(Raw_Data!C244)</f>
        <v/>
      </c>
      <c r="D253" s="48">
        <f>IF(PROPER(TRIM(Raw_Data!D244))="Bangalore","Bengaluru",IF(PROPER(TRIM(Raw_Data!D244))="Gurgaon","Gurugram",IF(OR(PROPER(TRIM(Raw_Data!D244))="New Delhi",PROPER(TRIM(Raw_Data!D244))="Delhi"),"Delhi",PROPER(TRIM(Raw_Data!D244)))))</f>
        <v/>
      </c>
      <c r="E253" s="48">
        <f>Raw_Data!E244</f>
        <v/>
      </c>
      <c r="F253" s="48">
        <f>IF(TRIM(Raw_Data!F244&amp;"")="","Not Specified",Raw_Data!F244)</f>
        <v/>
      </c>
      <c r="G253" s="48">
        <f>Raw_Data!G244</f>
        <v/>
      </c>
      <c r="H253" s="48">
        <f>Raw_Data!H244</f>
        <v/>
      </c>
      <c r="I253" s="49">
        <f>IF(Raw_Data!I244="","",Raw_Data!I244)</f>
        <v/>
      </c>
      <c r="J253" s="49">
        <f>IF(Raw_Data!J244="","",Raw_Data!J244)</f>
        <v/>
      </c>
      <c r="K253" s="48">
        <f>IF(TRIM(Raw_Data!K244&amp;"")="","Not Specified",Raw_Data!K244)</f>
        <v/>
      </c>
      <c r="L253" s="56">
        <f>Raw_Data!L244</f>
        <v/>
      </c>
      <c r="M253" s="49">
        <f>IF(OR(I253="",J253=""),"",(I253+J253)/2)</f>
        <v/>
      </c>
      <c r="N253" s="49">
        <f>IF(OR(I253="",J253=""),"",J253-I253)</f>
        <v/>
      </c>
      <c r="O253" s="48">
        <f>TEXT(L253,"mmm-yyyy")</f>
        <v/>
      </c>
      <c r="P253" s="48">
        <f>_xlfn.IFS(ISNUMBER(SEARCH("data analy",B253)),"Data Analyst",ISNUMBER(SEARCH("business analy",B253)),"Business Analyst",OR(ISNUMBER(SEARCH("developer",B253)),ISNUMBER(SEARCH("software engineer",B253)),ISNUMBER(SEARCH("programmer",B253))),"Software Developer",ISNUMBER(SEARCH("business development",B253)),"Business Development",ISNUMBER(SEARCH("sales",B253)),"Sales Executive",ISNUMBER(SEARCH("marketing",B253)),"Marketing Executive",OR(ISNUMBER(SEARCH("hr ",B253)),ISNUMBER(SEARCH("recruit",B253)),ISNUMBER(SEARCH("human resource",B253))),"HR / Recruiter",OR(ISNUMBER(SEARCH("account",B253)),ISNUMBER(SEARCH("finance",B253)),ISNUMBER(SEARCH("tax",B253)),ISNUMBER(SEARCH("audit",B253))),"Accountant / Finance",OR(ISNUMBER(SEARCH("customer service",B253)),ISNUMBER(SEARCH("customer support",B253)),ISNUMBER(SEARCH("customer care",B253)),ISNUMBER(SEARCH("voice process",B253)),ISNUMBER(SEARCH("bpo",B253))),"Customer Support",ISNUMBER(SEARCH("engineer",B253)),"Engineer (Technical)",ISNUMBER(SEARCH("manager",B253)),"Manager",OR(ISNUMBER(SEARCH("teacher",B253)),ISNUMBER(SEARCH("trainer",B253)),ISNUMBER(SEARCH("faculty",B253))),"Teacher / Trainer",OR(ISNUMBER(SEARCH("doctor",B253)),ISNUMBER(SEARCH("nurse",B253)),ISNUMBER(SEARCH("medical",B253)),ISNUMBER(SEARCH("pharma",B253)),ISNUMBER(SEARCH("clinical",B253))),"Healthcare",TRUE,"Other")</f>
        <v/>
      </c>
      <c r="Q253" s="48">
        <f>IF(COUNTIFS($B$11:B253,B253,$C$11:C253,C253,$D$11:D253,D253,$L$11:L253,L253)&gt;1,"Duplicate","Unique")</f>
        <v/>
      </c>
    </row>
    <row r="254">
      <c r="A254" s="48">
        <f>Raw_Data!A245</f>
        <v/>
      </c>
      <c r="B254" s="48">
        <f>PROPER(TRIM(Raw_Data!B245))</f>
        <v/>
      </c>
      <c r="C254" s="48">
        <f>TRIM(Raw_Data!C245)</f>
        <v/>
      </c>
      <c r="D254" s="48">
        <f>IF(PROPER(TRIM(Raw_Data!D245))="Bangalore","Bengaluru",IF(PROPER(TRIM(Raw_Data!D245))="Gurgaon","Gurugram",IF(OR(PROPER(TRIM(Raw_Data!D245))="New Delhi",PROPER(TRIM(Raw_Data!D245))="Delhi"),"Delhi",PROPER(TRIM(Raw_Data!D245)))))</f>
        <v/>
      </c>
      <c r="E254" s="48">
        <f>Raw_Data!E245</f>
        <v/>
      </c>
      <c r="F254" s="48">
        <f>IF(TRIM(Raw_Data!F245&amp;"")="","Not Specified",Raw_Data!F245)</f>
        <v/>
      </c>
      <c r="G254" s="48">
        <f>Raw_Data!G245</f>
        <v/>
      </c>
      <c r="H254" s="48">
        <f>Raw_Data!H245</f>
        <v/>
      </c>
      <c r="I254" s="49">
        <f>IF(Raw_Data!I245="","",Raw_Data!I245)</f>
        <v/>
      </c>
      <c r="J254" s="49">
        <f>IF(Raw_Data!J245="","",Raw_Data!J245)</f>
        <v/>
      </c>
      <c r="K254" s="48">
        <f>IF(TRIM(Raw_Data!K245&amp;"")="","Not Specified",Raw_Data!K245)</f>
        <v/>
      </c>
      <c r="L254" s="56">
        <f>Raw_Data!L245</f>
        <v/>
      </c>
      <c r="M254" s="49">
        <f>IF(OR(I254="",J254=""),"",(I254+J254)/2)</f>
        <v/>
      </c>
      <c r="N254" s="49">
        <f>IF(OR(I254="",J254=""),"",J254-I254)</f>
        <v/>
      </c>
      <c r="O254" s="48">
        <f>TEXT(L254,"mmm-yyyy")</f>
        <v/>
      </c>
      <c r="P254" s="48">
        <f>_xlfn.IFS(ISNUMBER(SEARCH("data analy",B254)),"Data Analyst",ISNUMBER(SEARCH("business analy",B254)),"Business Analyst",OR(ISNUMBER(SEARCH("developer",B254)),ISNUMBER(SEARCH("software engineer",B254)),ISNUMBER(SEARCH("programmer",B254))),"Software Developer",ISNUMBER(SEARCH("business development",B254)),"Business Development",ISNUMBER(SEARCH("sales",B254)),"Sales Executive",ISNUMBER(SEARCH("marketing",B254)),"Marketing Executive",OR(ISNUMBER(SEARCH("hr ",B254)),ISNUMBER(SEARCH("recruit",B254)),ISNUMBER(SEARCH("human resource",B254))),"HR / Recruiter",OR(ISNUMBER(SEARCH("account",B254)),ISNUMBER(SEARCH("finance",B254)),ISNUMBER(SEARCH("tax",B254)),ISNUMBER(SEARCH("audit",B254))),"Accountant / Finance",OR(ISNUMBER(SEARCH("customer service",B254)),ISNUMBER(SEARCH("customer support",B254)),ISNUMBER(SEARCH("customer care",B254)),ISNUMBER(SEARCH("voice process",B254)),ISNUMBER(SEARCH("bpo",B254))),"Customer Support",ISNUMBER(SEARCH("engineer",B254)),"Engineer (Technical)",ISNUMBER(SEARCH("manager",B254)),"Manager",OR(ISNUMBER(SEARCH("teacher",B254)),ISNUMBER(SEARCH("trainer",B254)),ISNUMBER(SEARCH("faculty",B254))),"Teacher / Trainer",OR(ISNUMBER(SEARCH("doctor",B254)),ISNUMBER(SEARCH("nurse",B254)),ISNUMBER(SEARCH("medical",B254)),ISNUMBER(SEARCH("pharma",B254)),ISNUMBER(SEARCH("clinical",B254))),"Healthcare",TRUE,"Other")</f>
        <v/>
      </c>
      <c r="Q254" s="48">
        <f>IF(COUNTIFS($B$11:B254,B254,$C$11:C254,C254,$D$11:D254,D254,$L$11:L254,L254)&gt;1,"Duplicate","Unique")</f>
        <v/>
      </c>
    </row>
    <row r="255">
      <c r="A255" s="48">
        <f>Raw_Data!A246</f>
        <v/>
      </c>
      <c r="B255" s="48">
        <f>PROPER(TRIM(Raw_Data!B246))</f>
        <v/>
      </c>
      <c r="C255" s="48">
        <f>TRIM(Raw_Data!C246)</f>
        <v/>
      </c>
      <c r="D255" s="48">
        <f>IF(PROPER(TRIM(Raw_Data!D246))="Bangalore","Bengaluru",IF(PROPER(TRIM(Raw_Data!D246))="Gurgaon","Gurugram",IF(OR(PROPER(TRIM(Raw_Data!D246))="New Delhi",PROPER(TRIM(Raw_Data!D246))="Delhi"),"Delhi",PROPER(TRIM(Raw_Data!D246)))))</f>
        <v/>
      </c>
      <c r="E255" s="48">
        <f>Raw_Data!E246</f>
        <v/>
      </c>
      <c r="F255" s="48">
        <f>IF(TRIM(Raw_Data!F246&amp;"")="","Not Specified",Raw_Data!F246)</f>
        <v/>
      </c>
      <c r="G255" s="48">
        <f>Raw_Data!G246</f>
        <v/>
      </c>
      <c r="H255" s="48">
        <f>Raw_Data!H246</f>
        <v/>
      </c>
      <c r="I255" s="49">
        <f>IF(Raw_Data!I246="","",Raw_Data!I246)</f>
        <v/>
      </c>
      <c r="J255" s="49">
        <f>IF(Raw_Data!J246="","",Raw_Data!J246)</f>
        <v/>
      </c>
      <c r="K255" s="48">
        <f>IF(TRIM(Raw_Data!K246&amp;"")="","Not Specified",Raw_Data!K246)</f>
        <v/>
      </c>
      <c r="L255" s="56">
        <f>Raw_Data!L246</f>
        <v/>
      </c>
      <c r="M255" s="49">
        <f>IF(OR(I255="",J255=""),"",(I255+J255)/2)</f>
        <v/>
      </c>
      <c r="N255" s="49">
        <f>IF(OR(I255="",J255=""),"",J255-I255)</f>
        <v/>
      </c>
      <c r="O255" s="48">
        <f>TEXT(L255,"mmm-yyyy")</f>
        <v/>
      </c>
      <c r="P255" s="48">
        <f>_xlfn.IFS(ISNUMBER(SEARCH("data analy",B255)),"Data Analyst",ISNUMBER(SEARCH("business analy",B255)),"Business Analyst",OR(ISNUMBER(SEARCH("developer",B255)),ISNUMBER(SEARCH("software engineer",B255)),ISNUMBER(SEARCH("programmer",B255))),"Software Developer",ISNUMBER(SEARCH("business development",B255)),"Business Development",ISNUMBER(SEARCH("sales",B255)),"Sales Executive",ISNUMBER(SEARCH("marketing",B255)),"Marketing Executive",OR(ISNUMBER(SEARCH("hr ",B255)),ISNUMBER(SEARCH("recruit",B255)),ISNUMBER(SEARCH("human resource",B255))),"HR / Recruiter",OR(ISNUMBER(SEARCH("account",B255)),ISNUMBER(SEARCH("finance",B255)),ISNUMBER(SEARCH("tax",B255)),ISNUMBER(SEARCH("audit",B255))),"Accountant / Finance",OR(ISNUMBER(SEARCH("customer service",B255)),ISNUMBER(SEARCH("customer support",B255)),ISNUMBER(SEARCH("customer care",B255)),ISNUMBER(SEARCH("voice process",B255)),ISNUMBER(SEARCH("bpo",B255))),"Customer Support",ISNUMBER(SEARCH("engineer",B255)),"Engineer (Technical)",ISNUMBER(SEARCH("manager",B255)),"Manager",OR(ISNUMBER(SEARCH("teacher",B255)),ISNUMBER(SEARCH("trainer",B255)),ISNUMBER(SEARCH("faculty",B255))),"Teacher / Trainer",OR(ISNUMBER(SEARCH("doctor",B255)),ISNUMBER(SEARCH("nurse",B255)),ISNUMBER(SEARCH("medical",B255)),ISNUMBER(SEARCH("pharma",B255)),ISNUMBER(SEARCH("clinical",B255))),"Healthcare",TRUE,"Other")</f>
        <v/>
      </c>
      <c r="Q255" s="48">
        <f>IF(COUNTIFS($B$11:B255,B255,$C$11:C255,C255,$D$11:D255,D255,$L$11:L255,L255)&gt;1,"Duplicate","Unique")</f>
        <v/>
      </c>
    </row>
    <row r="256">
      <c r="A256" s="48">
        <f>Raw_Data!A247</f>
        <v/>
      </c>
      <c r="B256" s="48">
        <f>PROPER(TRIM(Raw_Data!B247))</f>
        <v/>
      </c>
      <c r="C256" s="48">
        <f>TRIM(Raw_Data!C247)</f>
        <v/>
      </c>
      <c r="D256" s="48">
        <f>IF(PROPER(TRIM(Raw_Data!D247))="Bangalore","Bengaluru",IF(PROPER(TRIM(Raw_Data!D247))="Gurgaon","Gurugram",IF(OR(PROPER(TRIM(Raw_Data!D247))="New Delhi",PROPER(TRIM(Raw_Data!D247))="Delhi"),"Delhi",PROPER(TRIM(Raw_Data!D247)))))</f>
        <v/>
      </c>
      <c r="E256" s="48">
        <f>Raw_Data!E247</f>
        <v/>
      </c>
      <c r="F256" s="48">
        <f>IF(TRIM(Raw_Data!F247&amp;"")="","Not Specified",Raw_Data!F247)</f>
        <v/>
      </c>
      <c r="G256" s="48">
        <f>Raw_Data!G247</f>
        <v/>
      </c>
      <c r="H256" s="48">
        <f>Raw_Data!H247</f>
        <v/>
      </c>
      <c r="I256" s="49">
        <f>IF(Raw_Data!I247="","",Raw_Data!I247)</f>
        <v/>
      </c>
      <c r="J256" s="49">
        <f>IF(Raw_Data!J247="","",Raw_Data!J247)</f>
        <v/>
      </c>
      <c r="K256" s="48">
        <f>IF(TRIM(Raw_Data!K247&amp;"")="","Not Specified",Raw_Data!K247)</f>
        <v/>
      </c>
      <c r="L256" s="56">
        <f>Raw_Data!L247</f>
        <v/>
      </c>
      <c r="M256" s="49">
        <f>IF(OR(I256="",J256=""),"",(I256+J256)/2)</f>
        <v/>
      </c>
      <c r="N256" s="49">
        <f>IF(OR(I256="",J256=""),"",J256-I256)</f>
        <v/>
      </c>
      <c r="O256" s="48">
        <f>TEXT(L256,"mmm-yyyy")</f>
        <v/>
      </c>
      <c r="P256" s="48">
        <f>_xlfn.IFS(ISNUMBER(SEARCH("data analy",B256)),"Data Analyst",ISNUMBER(SEARCH("business analy",B256)),"Business Analyst",OR(ISNUMBER(SEARCH("developer",B256)),ISNUMBER(SEARCH("software engineer",B256)),ISNUMBER(SEARCH("programmer",B256))),"Software Developer",ISNUMBER(SEARCH("business development",B256)),"Business Development",ISNUMBER(SEARCH("sales",B256)),"Sales Executive",ISNUMBER(SEARCH("marketing",B256)),"Marketing Executive",OR(ISNUMBER(SEARCH("hr ",B256)),ISNUMBER(SEARCH("recruit",B256)),ISNUMBER(SEARCH("human resource",B256))),"HR / Recruiter",OR(ISNUMBER(SEARCH("account",B256)),ISNUMBER(SEARCH("finance",B256)),ISNUMBER(SEARCH("tax",B256)),ISNUMBER(SEARCH("audit",B256))),"Accountant / Finance",OR(ISNUMBER(SEARCH("customer service",B256)),ISNUMBER(SEARCH("customer support",B256)),ISNUMBER(SEARCH("customer care",B256)),ISNUMBER(SEARCH("voice process",B256)),ISNUMBER(SEARCH("bpo",B256))),"Customer Support",ISNUMBER(SEARCH("engineer",B256)),"Engineer (Technical)",ISNUMBER(SEARCH("manager",B256)),"Manager",OR(ISNUMBER(SEARCH("teacher",B256)),ISNUMBER(SEARCH("trainer",B256)),ISNUMBER(SEARCH("faculty",B256))),"Teacher / Trainer",OR(ISNUMBER(SEARCH("doctor",B256)),ISNUMBER(SEARCH("nurse",B256)),ISNUMBER(SEARCH("medical",B256)),ISNUMBER(SEARCH("pharma",B256)),ISNUMBER(SEARCH("clinical",B256))),"Healthcare",TRUE,"Other")</f>
        <v/>
      </c>
      <c r="Q256" s="48">
        <f>IF(COUNTIFS($B$11:B256,B256,$C$11:C256,C256,$D$11:D256,D256,$L$11:L256,L256)&gt;1,"Duplicate","Unique")</f>
        <v/>
      </c>
    </row>
    <row r="257">
      <c r="A257" s="48">
        <f>Raw_Data!A248</f>
        <v/>
      </c>
      <c r="B257" s="48">
        <f>PROPER(TRIM(Raw_Data!B248))</f>
        <v/>
      </c>
      <c r="C257" s="48">
        <f>TRIM(Raw_Data!C248)</f>
        <v/>
      </c>
      <c r="D257" s="48">
        <f>IF(PROPER(TRIM(Raw_Data!D248))="Bangalore","Bengaluru",IF(PROPER(TRIM(Raw_Data!D248))="Gurgaon","Gurugram",IF(OR(PROPER(TRIM(Raw_Data!D248))="New Delhi",PROPER(TRIM(Raw_Data!D248))="Delhi"),"Delhi",PROPER(TRIM(Raw_Data!D248)))))</f>
        <v/>
      </c>
      <c r="E257" s="48">
        <f>Raw_Data!E248</f>
        <v/>
      </c>
      <c r="F257" s="48">
        <f>IF(TRIM(Raw_Data!F248&amp;"")="","Not Specified",Raw_Data!F248)</f>
        <v/>
      </c>
      <c r="G257" s="48">
        <f>Raw_Data!G248</f>
        <v/>
      </c>
      <c r="H257" s="48">
        <f>Raw_Data!H248</f>
        <v/>
      </c>
      <c r="I257" s="49">
        <f>IF(Raw_Data!I248="","",Raw_Data!I248)</f>
        <v/>
      </c>
      <c r="J257" s="49">
        <f>IF(Raw_Data!J248="","",Raw_Data!J248)</f>
        <v/>
      </c>
      <c r="K257" s="48">
        <f>IF(TRIM(Raw_Data!K248&amp;"")="","Not Specified",Raw_Data!K248)</f>
        <v/>
      </c>
      <c r="L257" s="56">
        <f>Raw_Data!L248</f>
        <v/>
      </c>
      <c r="M257" s="49">
        <f>IF(OR(I257="",J257=""),"",(I257+J257)/2)</f>
        <v/>
      </c>
      <c r="N257" s="49">
        <f>IF(OR(I257="",J257=""),"",J257-I257)</f>
        <v/>
      </c>
      <c r="O257" s="48">
        <f>TEXT(L257,"mmm-yyyy")</f>
        <v/>
      </c>
      <c r="P257" s="48">
        <f>_xlfn.IFS(ISNUMBER(SEARCH("data analy",B257)),"Data Analyst",ISNUMBER(SEARCH("business analy",B257)),"Business Analyst",OR(ISNUMBER(SEARCH("developer",B257)),ISNUMBER(SEARCH("software engineer",B257)),ISNUMBER(SEARCH("programmer",B257))),"Software Developer",ISNUMBER(SEARCH("business development",B257)),"Business Development",ISNUMBER(SEARCH("sales",B257)),"Sales Executive",ISNUMBER(SEARCH("marketing",B257)),"Marketing Executive",OR(ISNUMBER(SEARCH("hr ",B257)),ISNUMBER(SEARCH("recruit",B257)),ISNUMBER(SEARCH("human resource",B257))),"HR / Recruiter",OR(ISNUMBER(SEARCH("account",B257)),ISNUMBER(SEARCH("finance",B257)),ISNUMBER(SEARCH("tax",B257)),ISNUMBER(SEARCH("audit",B257))),"Accountant / Finance",OR(ISNUMBER(SEARCH("customer service",B257)),ISNUMBER(SEARCH("customer support",B257)),ISNUMBER(SEARCH("customer care",B257)),ISNUMBER(SEARCH("voice process",B257)),ISNUMBER(SEARCH("bpo",B257))),"Customer Support",ISNUMBER(SEARCH("engineer",B257)),"Engineer (Technical)",ISNUMBER(SEARCH("manager",B257)),"Manager",OR(ISNUMBER(SEARCH("teacher",B257)),ISNUMBER(SEARCH("trainer",B257)),ISNUMBER(SEARCH("faculty",B257))),"Teacher / Trainer",OR(ISNUMBER(SEARCH("doctor",B257)),ISNUMBER(SEARCH("nurse",B257)),ISNUMBER(SEARCH("medical",B257)),ISNUMBER(SEARCH("pharma",B257)),ISNUMBER(SEARCH("clinical",B257))),"Healthcare",TRUE,"Other")</f>
        <v/>
      </c>
      <c r="Q257" s="48">
        <f>IF(COUNTIFS($B$11:B257,B257,$C$11:C257,C257,$D$11:D257,D257,$L$11:L257,L257)&gt;1,"Duplicate","Unique")</f>
        <v/>
      </c>
    </row>
    <row r="258">
      <c r="A258" s="48">
        <f>Raw_Data!A249</f>
        <v/>
      </c>
      <c r="B258" s="48">
        <f>PROPER(TRIM(Raw_Data!B249))</f>
        <v/>
      </c>
      <c r="C258" s="48">
        <f>TRIM(Raw_Data!C249)</f>
        <v/>
      </c>
      <c r="D258" s="48">
        <f>IF(PROPER(TRIM(Raw_Data!D249))="Bangalore","Bengaluru",IF(PROPER(TRIM(Raw_Data!D249))="Gurgaon","Gurugram",IF(OR(PROPER(TRIM(Raw_Data!D249))="New Delhi",PROPER(TRIM(Raw_Data!D249))="Delhi"),"Delhi",PROPER(TRIM(Raw_Data!D249)))))</f>
        <v/>
      </c>
      <c r="E258" s="48">
        <f>Raw_Data!E249</f>
        <v/>
      </c>
      <c r="F258" s="48">
        <f>IF(TRIM(Raw_Data!F249&amp;"")="","Not Specified",Raw_Data!F249)</f>
        <v/>
      </c>
      <c r="G258" s="48">
        <f>Raw_Data!G249</f>
        <v/>
      </c>
      <c r="H258" s="48">
        <f>Raw_Data!H249</f>
        <v/>
      </c>
      <c r="I258" s="49">
        <f>IF(Raw_Data!I249="","",Raw_Data!I249)</f>
        <v/>
      </c>
      <c r="J258" s="49">
        <f>IF(Raw_Data!J249="","",Raw_Data!J249)</f>
        <v/>
      </c>
      <c r="K258" s="48">
        <f>IF(TRIM(Raw_Data!K249&amp;"")="","Not Specified",Raw_Data!K249)</f>
        <v/>
      </c>
      <c r="L258" s="56">
        <f>Raw_Data!L249</f>
        <v/>
      </c>
      <c r="M258" s="49">
        <f>IF(OR(I258="",J258=""),"",(I258+J258)/2)</f>
        <v/>
      </c>
      <c r="N258" s="49">
        <f>IF(OR(I258="",J258=""),"",J258-I258)</f>
        <v/>
      </c>
      <c r="O258" s="48">
        <f>TEXT(L258,"mmm-yyyy")</f>
        <v/>
      </c>
      <c r="P258" s="48">
        <f>_xlfn.IFS(ISNUMBER(SEARCH("data analy",B258)),"Data Analyst",ISNUMBER(SEARCH("business analy",B258)),"Business Analyst",OR(ISNUMBER(SEARCH("developer",B258)),ISNUMBER(SEARCH("software engineer",B258)),ISNUMBER(SEARCH("programmer",B258))),"Software Developer",ISNUMBER(SEARCH("business development",B258)),"Business Development",ISNUMBER(SEARCH("sales",B258)),"Sales Executive",ISNUMBER(SEARCH("marketing",B258)),"Marketing Executive",OR(ISNUMBER(SEARCH("hr ",B258)),ISNUMBER(SEARCH("recruit",B258)),ISNUMBER(SEARCH("human resource",B258))),"HR / Recruiter",OR(ISNUMBER(SEARCH("account",B258)),ISNUMBER(SEARCH("finance",B258)),ISNUMBER(SEARCH("tax",B258)),ISNUMBER(SEARCH("audit",B258))),"Accountant / Finance",OR(ISNUMBER(SEARCH("customer service",B258)),ISNUMBER(SEARCH("customer support",B258)),ISNUMBER(SEARCH("customer care",B258)),ISNUMBER(SEARCH("voice process",B258)),ISNUMBER(SEARCH("bpo",B258))),"Customer Support",ISNUMBER(SEARCH("engineer",B258)),"Engineer (Technical)",ISNUMBER(SEARCH("manager",B258)),"Manager",OR(ISNUMBER(SEARCH("teacher",B258)),ISNUMBER(SEARCH("trainer",B258)),ISNUMBER(SEARCH("faculty",B258))),"Teacher / Trainer",OR(ISNUMBER(SEARCH("doctor",B258)),ISNUMBER(SEARCH("nurse",B258)),ISNUMBER(SEARCH("medical",B258)),ISNUMBER(SEARCH("pharma",B258)),ISNUMBER(SEARCH("clinical",B258))),"Healthcare",TRUE,"Other")</f>
        <v/>
      </c>
      <c r="Q258" s="48">
        <f>IF(COUNTIFS($B$11:B258,B258,$C$11:C258,C258,$D$11:D258,D258,$L$11:L258,L258)&gt;1,"Duplicate","Unique")</f>
        <v/>
      </c>
    </row>
    <row r="259">
      <c r="A259" s="48">
        <f>Raw_Data!A250</f>
        <v/>
      </c>
      <c r="B259" s="48">
        <f>PROPER(TRIM(Raw_Data!B250))</f>
        <v/>
      </c>
      <c r="C259" s="48">
        <f>TRIM(Raw_Data!C250)</f>
        <v/>
      </c>
      <c r="D259" s="48">
        <f>IF(PROPER(TRIM(Raw_Data!D250))="Bangalore","Bengaluru",IF(PROPER(TRIM(Raw_Data!D250))="Gurgaon","Gurugram",IF(OR(PROPER(TRIM(Raw_Data!D250))="New Delhi",PROPER(TRIM(Raw_Data!D250))="Delhi"),"Delhi",PROPER(TRIM(Raw_Data!D250)))))</f>
        <v/>
      </c>
      <c r="E259" s="48">
        <f>Raw_Data!E250</f>
        <v/>
      </c>
      <c r="F259" s="48">
        <f>IF(TRIM(Raw_Data!F250&amp;"")="","Not Specified",Raw_Data!F250)</f>
        <v/>
      </c>
      <c r="G259" s="48">
        <f>Raw_Data!G250</f>
        <v/>
      </c>
      <c r="H259" s="48">
        <f>Raw_Data!H250</f>
        <v/>
      </c>
      <c r="I259" s="49">
        <f>IF(Raw_Data!I250="","",Raw_Data!I250)</f>
        <v/>
      </c>
      <c r="J259" s="49">
        <f>IF(Raw_Data!J250="","",Raw_Data!J250)</f>
        <v/>
      </c>
      <c r="K259" s="48">
        <f>IF(TRIM(Raw_Data!K250&amp;"")="","Not Specified",Raw_Data!K250)</f>
        <v/>
      </c>
      <c r="L259" s="56">
        <f>Raw_Data!L250</f>
        <v/>
      </c>
      <c r="M259" s="49">
        <f>IF(OR(I259="",J259=""),"",(I259+J259)/2)</f>
        <v/>
      </c>
      <c r="N259" s="49">
        <f>IF(OR(I259="",J259=""),"",J259-I259)</f>
        <v/>
      </c>
      <c r="O259" s="48">
        <f>TEXT(L259,"mmm-yyyy")</f>
        <v/>
      </c>
      <c r="P259" s="48">
        <f>_xlfn.IFS(ISNUMBER(SEARCH("data analy",B259)),"Data Analyst",ISNUMBER(SEARCH("business analy",B259)),"Business Analyst",OR(ISNUMBER(SEARCH("developer",B259)),ISNUMBER(SEARCH("software engineer",B259)),ISNUMBER(SEARCH("programmer",B259))),"Software Developer",ISNUMBER(SEARCH("business development",B259)),"Business Development",ISNUMBER(SEARCH("sales",B259)),"Sales Executive",ISNUMBER(SEARCH("marketing",B259)),"Marketing Executive",OR(ISNUMBER(SEARCH("hr ",B259)),ISNUMBER(SEARCH("recruit",B259)),ISNUMBER(SEARCH("human resource",B259))),"HR / Recruiter",OR(ISNUMBER(SEARCH("account",B259)),ISNUMBER(SEARCH("finance",B259)),ISNUMBER(SEARCH("tax",B259)),ISNUMBER(SEARCH("audit",B259))),"Accountant / Finance",OR(ISNUMBER(SEARCH("customer service",B259)),ISNUMBER(SEARCH("customer support",B259)),ISNUMBER(SEARCH("customer care",B259)),ISNUMBER(SEARCH("voice process",B259)),ISNUMBER(SEARCH("bpo",B259))),"Customer Support",ISNUMBER(SEARCH("engineer",B259)),"Engineer (Technical)",ISNUMBER(SEARCH("manager",B259)),"Manager",OR(ISNUMBER(SEARCH("teacher",B259)),ISNUMBER(SEARCH("trainer",B259)),ISNUMBER(SEARCH("faculty",B259))),"Teacher / Trainer",OR(ISNUMBER(SEARCH("doctor",B259)),ISNUMBER(SEARCH("nurse",B259)),ISNUMBER(SEARCH("medical",B259)),ISNUMBER(SEARCH("pharma",B259)),ISNUMBER(SEARCH("clinical",B259))),"Healthcare",TRUE,"Other")</f>
        <v/>
      </c>
      <c r="Q259" s="48">
        <f>IF(COUNTIFS($B$11:B259,B259,$C$11:C259,C259,$D$11:D259,D259,$L$11:L259,L259)&gt;1,"Duplicate","Unique")</f>
        <v/>
      </c>
    </row>
    <row r="260">
      <c r="A260" s="48">
        <f>Raw_Data!A251</f>
        <v/>
      </c>
      <c r="B260" s="48">
        <f>PROPER(TRIM(Raw_Data!B251))</f>
        <v/>
      </c>
      <c r="C260" s="48">
        <f>TRIM(Raw_Data!C251)</f>
        <v/>
      </c>
      <c r="D260" s="48">
        <f>IF(PROPER(TRIM(Raw_Data!D251))="Bangalore","Bengaluru",IF(PROPER(TRIM(Raw_Data!D251))="Gurgaon","Gurugram",IF(OR(PROPER(TRIM(Raw_Data!D251))="New Delhi",PROPER(TRIM(Raw_Data!D251))="Delhi"),"Delhi",PROPER(TRIM(Raw_Data!D251)))))</f>
        <v/>
      </c>
      <c r="E260" s="48">
        <f>Raw_Data!E251</f>
        <v/>
      </c>
      <c r="F260" s="48">
        <f>IF(TRIM(Raw_Data!F251&amp;"")="","Not Specified",Raw_Data!F251)</f>
        <v/>
      </c>
      <c r="G260" s="48">
        <f>Raw_Data!G251</f>
        <v/>
      </c>
      <c r="H260" s="48">
        <f>Raw_Data!H251</f>
        <v/>
      </c>
      <c r="I260" s="49">
        <f>IF(Raw_Data!I251="","",Raw_Data!I251)</f>
        <v/>
      </c>
      <c r="J260" s="49">
        <f>IF(Raw_Data!J251="","",Raw_Data!J251)</f>
        <v/>
      </c>
      <c r="K260" s="48">
        <f>IF(TRIM(Raw_Data!K251&amp;"")="","Not Specified",Raw_Data!K251)</f>
        <v/>
      </c>
      <c r="L260" s="56">
        <f>Raw_Data!L251</f>
        <v/>
      </c>
      <c r="M260" s="49">
        <f>IF(OR(I260="",J260=""),"",(I260+J260)/2)</f>
        <v/>
      </c>
      <c r="N260" s="49">
        <f>IF(OR(I260="",J260=""),"",J260-I260)</f>
        <v/>
      </c>
      <c r="O260" s="48">
        <f>TEXT(L260,"mmm-yyyy")</f>
        <v/>
      </c>
      <c r="P260" s="48">
        <f>_xlfn.IFS(ISNUMBER(SEARCH("data analy",B260)),"Data Analyst",ISNUMBER(SEARCH("business analy",B260)),"Business Analyst",OR(ISNUMBER(SEARCH("developer",B260)),ISNUMBER(SEARCH("software engineer",B260)),ISNUMBER(SEARCH("programmer",B260))),"Software Developer",ISNUMBER(SEARCH("business development",B260)),"Business Development",ISNUMBER(SEARCH("sales",B260)),"Sales Executive",ISNUMBER(SEARCH("marketing",B260)),"Marketing Executive",OR(ISNUMBER(SEARCH("hr ",B260)),ISNUMBER(SEARCH("recruit",B260)),ISNUMBER(SEARCH("human resource",B260))),"HR / Recruiter",OR(ISNUMBER(SEARCH("account",B260)),ISNUMBER(SEARCH("finance",B260)),ISNUMBER(SEARCH("tax",B260)),ISNUMBER(SEARCH("audit",B260))),"Accountant / Finance",OR(ISNUMBER(SEARCH("customer service",B260)),ISNUMBER(SEARCH("customer support",B260)),ISNUMBER(SEARCH("customer care",B260)),ISNUMBER(SEARCH("voice process",B260)),ISNUMBER(SEARCH("bpo",B260))),"Customer Support",ISNUMBER(SEARCH("engineer",B260)),"Engineer (Technical)",ISNUMBER(SEARCH("manager",B260)),"Manager",OR(ISNUMBER(SEARCH("teacher",B260)),ISNUMBER(SEARCH("trainer",B260)),ISNUMBER(SEARCH("faculty",B260))),"Teacher / Trainer",OR(ISNUMBER(SEARCH("doctor",B260)),ISNUMBER(SEARCH("nurse",B260)),ISNUMBER(SEARCH("medical",B260)),ISNUMBER(SEARCH("pharma",B260)),ISNUMBER(SEARCH("clinical",B260))),"Healthcare",TRUE,"Other")</f>
        <v/>
      </c>
      <c r="Q260" s="48">
        <f>IF(COUNTIFS($B$11:B260,B260,$C$11:C260,C260,$D$11:D260,D260,$L$11:L260,L260)&gt;1,"Duplicate","Unique")</f>
        <v/>
      </c>
    </row>
    <row r="261">
      <c r="A261" s="48">
        <f>Raw_Data!A252</f>
        <v/>
      </c>
      <c r="B261" s="48">
        <f>PROPER(TRIM(Raw_Data!B252))</f>
        <v/>
      </c>
      <c r="C261" s="48">
        <f>TRIM(Raw_Data!C252)</f>
        <v/>
      </c>
      <c r="D261" s="48">
        <f>IF(PROPER(TRIM(Raw_Data!D252))="Bangalore","Bengaluru",IF(PROPER(TRIM(Raw_Data!D252))="Gurgaon","Gurugram",IF(OR(PROPER(TRIM(Raw_Data!D252))="New Delhi",PROPER(TRIM(Raw_Data!D252))="Delhi"),"Delhi",PROPER(TRIM(Raw_Data!D252)))))</f>
        <v/>
      </c>
      <c r="E261" s="48">
        <f>Raw_Data!E252</f>
        <v/>
      </c>
      <c r="F261" s="48">
        <f>IF(TRIM(Raw_Data!F252&amp;"")="","Not Specified",Raw_Data!F252)</f>
        <v/>
      </c>
      <c r="G261" s="48">
        <f>Raw_Data!G252</f>
        <v/>
      </c>
      <c r="H261" s="48">
        <f>Raw_Data!H252</f>
        <v/>
      </c>
      <c r="I261" s="49">
        <f>IF(Raw_Data!I252="","",Raw_Data!I252)</f>
        <v/>
      </c>
      <c r="J261" s="49">
        <f>IF(Raw_Data!J252="","",Raw_Data!J252)</f>
        <v/>
      </c>
      <c r="K261" s="48">
        <f>IF(TRIM(Raw_Data!K252&amp;"")="","Not Specified",Raw_Data!K252)</f>
        <v/>
      </c>
      <c r="L261" s="56">
        <f>Raw_Data!L252</f>
        <v/>
      </c>
      <c r="M261" s="49">
        <f>IF(OR(I261="",J261=""),"",(I261+J261)/2)</f>
        <v/>
      </c>
      <c r="N261" s="49">
        <f>IF(OR(I261="",J261=""),"",J261-I261)</f>
        <v/>
      </c>
      <c r="O261" s="48">
        <f>TEXT(L261,"mmm-yyyy")</f>
        <v/>
      </c>
      <c r="P261" s="48">
        <f>_xlfn.IFS(ISNUMBER(SEARCH("data analy",B261)),"Data Analyst",ISNUMBER(SEARCH("business analy",B261)),"Business Analyst",OR(ISNUMBER(SEARCH("developer",B261)),ISNUMBER(SEARCH("software engineer",B261)),ISNUMBER(SEARCH("programmer",B261))),"Software Developer",ISNUMBER(SEARCH("business development",B261)),"Business Development",ISNUMBER(SEARCH("sales",B261)),"Sales Executive",ISNUMBER(SEARCH("marketing",B261)),"Marketing Executive",OR(ISNUMBER(SEARCH("hr ",B261)),ISNUMBER(SEARCH("recruit",B261)),ISNUMBER(SEARCH("human resource",B261))),"HR / Recruiter",OR(ISNUMBER(SEARCH("account",B261)),ISNUMBER(SEARCH("finance",B261)),ISNUMBER(SEARCH("tax",B261)),ISNUMBER(SEARCH("audit",B261))),"Accountant / Finance",OR(ISNUMBER(SEARCH("customer service",B261)),ISNUMBER(SEARCH("customer support",B261)),ISNUMBER(SEARCH("customer care",B261)),ISNUMBER(SEARCH("voice process",B261)),ISNUMBER(SEARCH("bpo",B261))),"Customer Support",ISNUMBER(SEARCH("engineer",B261)),"Engineer (Technical)",ISNUMBER(SEARCH("manager",B261)),"Manager",OR(ISNUMBER(SEARCH("teacher",B261)),ISNUMBER(SEARCH("trainer",B261)),ISNUMBER(SEARCH("faculty",B261))),"Teacher / Trainer",OR(ISNUMBER(SEARCH("doctor",B261)),ISNUMBER(SEARCH("nurse",B261)),ISNUMBER(SEARCH("medical",B261)),ISNUMBER(SEARCH("pharma",B261)),ISNUMBER(SEARCH("clinical",B261))),"Healthcare",TRUE,"Other")</f>
        <v/>
      </c>
      <c r="Q261" s="48">
        <f>IF(COUNTIFS($B$11:B261,B261,$C$11:C261,C261,$D$11:D261,D261,$L$11:L261,L261)&gt;1,"Duplicate","Unique")</f>
        <v/>
      </c>
    </row>
    <row r="262">
      <c r="A262" s="48">
        <f>Raw_Data!A253</f>
        <v/>
      </c>
      <c r="B262" s="48">
        <f>PROPER(TRIM(Raw_Data!B253))</f>
        <v/>
      </c>
      <c r="C262" s="48">
        <f>TRIM(Raw_Data!C253)</f>
        <v/>
      </c>
      <c r="D262" s="48">
        <f>IF(PROPER(TRIM(Raw_Data!D253))="Bangalore","Bengaluru",IF(PROPER(TRIM(Raw_Data!D253))="Gurgaon","Gurugram",IF(OR(PROPER(TRIM(Raw_Data!D253))="New Delhi",PROPER(TRIM(Raw_Data!D253))="Delhi"),"Delhi",PROPER(TRIM(Raw_Data!D253)))))</f>
        <v/>
      </c>
      <c r="E262" s="48">
        <f>Raw_Data!E253</f>
        <v/>
      </c>
      <c r="F262" s="48">
        <f>IF(TRIM(Raw_Data!F253&amp;"")="","Not Specified",Raw_Data!F253)</f>
        <v/>
      </c>
      <c r="G262" s="48">
        <f>Raw_Data!G253</f>
        <v/>
      </c>
      <c r="H262" s="48">
        <f>Raw_Data!H253</f>
        <v/>
      </c>
      <c r="I262" s="49">
        <f>IF(Raw_Data!I253="","",Raw_Data!I253)</f>
        <v/>
      </c>
      <c r="J262" s="49">
        <f>IF(Raw_Data!J253="","",Raw_Data!J253)</f>
        <v/>
      </c>
      <c r="K262" s="48">
        <f>IF(TRIM(Raw_Data!K253&amp;"")="","Not Specified",Raw_Data!K253)</f>
        <v/>
      </c>
      <c r="L262" s="56">
        <f>Raw_Data!L253</f>
        <v/>
      </c>
      <c r="M262" s="49">
        <f>IF(OR(I262="",J262=""),"",(I262+J262)/2)</f>
        <v/>
      </c>
      <c r="N262" s="49">
        <f>IF(OR(I262="",J262=""),"",J262-I262)</f>
        <v/>
      </c>
      <c r="O262" s="48">
        <f>TEXT(L262,"mmm-yyyy")</f>
        <v/>
      </c>
      <c r="P262" s="48">
        <f>_xlfn.IFS(ISNUMBER(SEARCH("data analy",B262)),"Data Analyst",ISNUMBER(SEARCH("business analy",B262)),"Business Analyst",OR(ISNUMBER(SEARCH("developer",B262)),ISNUMBER(SEARCH("software engineer",B262)),ISNUMBER(SEARCH("programmer",B262))),"Software Developer",ISNUMBER(SEARCH("business development",B262)),"Business Development",ISNUMBER(SEARCH("sales",B262)),"Sales Executive",ISNUMBER(SEARCH("marketing",B262)),"Marketing Executive",OR(ISNUMBER(SEARCH("hr ",B262)),ISNUMBER(SEARCH("recruit",B262)),ISNUMBER(SEARCH("human resource",B262))),"HR / Recruiter",OR(ISNUMBER(SEARCH("account",B262)),ISNUMBER(SEARCH("finance",B262)),ISNUMBER(SEARCH("tax",B262)),ISNUMBER(SEARCH("audit",B262))),"Accountant / Finance",OR(ISNUMBER(SEARCH("customer service",B262)),ISNUMBER(SEARCH("customer support",B262)),ISNUMBER(SEARCH("customer care",B262)),ISNUMBER(SEARCH("voice process",B262)),ISNUMBER(SEARCH("bpo",B262))),"Customer Support",ISNUMBER(SEARCH("engineer",B262)),"Engineer (Technical)",ISNUMBER(SEARCH("manager",B262)),"Manager",OR(ISNUMBER(SEARCH("teacher",B262)),ISNUMBER(SEARCH("trainer",B262)),ISNUMBER(SEARCH("faculty",B262))),"Teacher / Trainer",OR(ISNUMBER(SEARCH("doctor",B262)),ISNUMBER(SEARCH("nurse",B262)),ISNUMBER(SEARCH("medical",B262)),ISNUMBER(SEARCH("pharma",B262)),ISNUMBER(SEARCH("clinical",B262))),"Healthcare",TRUE,"Other")</f>
        <v/>
      </c>
      <c r="Q262" s="48">
        <f>IF(COUNTIFS($B$11:B262,B262,$C$11:C262,C262,$D$11:D262,D262,$L$11:L262,L262)&gt;1,"Duplicate","Unique")</f>
        <v/>
      </c>
    </row>
    <row r="263">
      <c r="A263" s="48">
        <f>Raw_Data!A254</f>
        <v/>
      </c>
      <c r="B263" s="48">
        <f>PROPER(TRIM(Raw_Data!B254))</f>
        <v/>
      </c>
      <c r="C263" s="48">
        <f>TRIM(Raw_Data!C254)</f>
        <v/>
      </c>
      <c r="D263" s="48">
        <f>IF(PROPER(TRIM(Raw_Data!D254))="Bangalore","Bengaluru",IF(PROPER(TRIM(Raw_Data!D254))="Gurgaon","Gurugram",IF(OR(PROPER(TRIM(Raw_Data!D254))="New Delhi",PROPER(TRIM(Raw_Data!D254))="Delhi"),"Delhi",PROPER(TRIM(Raw_Data!D254)))))</f>
        <v/>
      </c>
      <c r="E263" s="48">
        <f>Raw_Data!E254</f>
        <v/>
      </c>
      <c r="F263" s="48">
        <f>IF(TRIM(Raw_Data!F254&amp;"")="","Not Specified",Raw_Data!F254)</f>
        <v/>
      </c>
      <c r="G263" s="48">
        <f>Raw_Data!G254</f>
        <v/>
      </c>
      <c r="H263" s="48">
        <f>Raw_Data!H254</f>
        <v/>
      </c>
      <c r="I263" s="49">
        <f>IF(Raw_Data!I254="","",Raw_Data!I254)</f>
        <v/>
      </c>
      <c r="J263" s="49">
        <f>IF(Raw_Data!J254="","",Raw_Data!J254)</f>
        <v/>
      </c>
      <c r="K263" s="48">
        <f>IF(TRIM(Raw_Data!K254&amp;"")="","Not Specified",Raw_Data!K254)</f>
        <v/>
      </c>
      <c r="L263" s="56">
        <f>Raw_Data!L254</f>
        <v/>
      </c>
      <c r="M263" s="49">
        <f>IF(OR(I263="",J263=""),"",(I263+J263)/2)</f>
        <v/>
      </c>
      <c r="N263" s="49">
        <f>IF(OR(I263="",J263=""),"",J263-I263)</f>
        <v/>
      </c>
      <c r="O263" s="48">
        <f>TEXT(L263,"mmm-yyyy")</f>
        <v/>
      </c>
      <c r="P263" s="48">
        <f>_xlfn.IFS(ISNUMBER(SEARCH("data analy",B263)),"Data Analyst",ISNUMBER(SEARCH("business analy",B263)),"Business Analyst",OR(ISNUMBER(SEARCH("developer",B263)),ISNUMBER(SEARCH("software engineer",B263)),ISNUMBER(SEARCH("programmer",B263))),"Software Developer",ISNUMBER(SEARCH("business development",B263)),"Business Development",ISNUMBER(SEARCH("sales",B263)),"Sales Executive",ISNUMBER(SEARCH("marketing",B263)),"Marketing Executive",OR(ISNUMBER(SEARCH("hr ",B263)),ISNUMBER(SEARCH("recruit",B263)),ISNUMBER(SEARCH("human resource",B263))),"HR / Recruiter",OR(ISNUMBER(SEARCH("account",B263)),ISNUMBER(SEARCH("finance",B263)),ISNUMBER(SEARCH("tax",B263)),ISNUMBER(SEARCH("audit",B263))),"Accountant / Finance",OR(ISNUMBER(SEARCH("customer service",B263)),ISNUMBER(SEARCH("customer support",B263)),ISNUMBER(SEARCH("customer care",B263)),ISNUMBER(SEARCH("voice process",B263)),ISNUMBER(SEARCH("bpo",B263))),"Customer Support",ISNUMBER(SEARCH("engineer",B263)),"Engineer (Technical)",ISNUMBER(SEARCH("manager",B263)),"Manager",OR(ISNUMBER(SEARCH("teacher",B263)),ISNUMBER(SEARCH("trainer",B263)),ISNUMBER(SEARCH("faculty",B263))),"Teacher / Trainer",OR(ISNUMBER(SEARCH("doctor",B263)),ISNUMBER(SEARCH("nurse",B263)),ISNUMBER(SEARCH("medical",B263)),ISNUMBER(SEARCH("pharma",B263)),ISNUMBER(SEARCH("clinical",B263))),"Healthcare",TRUE,"Other")</f>
        <v/>
      </c>
      <c r="Q263" s="48">
        <f>IF(COUNTIFS($B$11:B263,B263,$C$11:C263,C263,$D$11:D263,D263,$L$11:L263,L263)&gt;1,"Duplicate","Unique")</f>
        <v/>
      </c>
    </row>
    <row r="264">
      <c r="A264" s="48">
        <f>Raw_Data!A255</f>
        <v/>
      </c>
      <c r="B264" s="48">
        <f>PROPER(TRIM(Raw_Data!B255))</f>
        <v/>
      </c>
      <c r="C264" s="48">
        <f>TRIM(Raw_Data!C255)</f>
        <v/>
      </c>
      <c r="D264" s="48">
        <f>IF(PROPER(TRIM(Raw_Data!D255))="Bangalore","Bengaluru",IF(PROPER(TRIM(Raw_Data!D255))="Gurgaon","Gurugram",IF(OR(PROPER(TRIM(Raw_Data!D255))="New Delhi",PROPER(TRIM(Raw_Data!D255))="Delhi"),"Delhi",PROPER(TRIM(Raw_Data!D255)))))</f>
        <v/>
      </c>
      <c r="E264" s="48">
        <f>Raw_Data!E255</f>
        <v/>
      </c>
      <c r="F264" s="48">
        <f>IF(TRIM(Raw_Data!F255&amp;"")="","Not Specified",Raw_Data!F255)</f>
        <v/>
      </c>
      <c r="G264" s="48">
        <f>Raw_Data!G255</f>
        <v/>
      </c>
      <c r="H264" s="48">
        <f>Raw_Data!H255</f>
        <v/>
      </c>
      <c r="I264" s="49">
        <f>IF(Raw_Data!I255="","",Raw_Data!I255)</f>
        <v/>
      </c>
      <c r="J264" s="49">
        <f>IF(Raw_Data!J255="","",Raw_Data!J255)</f>
        <v/>
      </c>
      <c r="K264" s="48">
        <f>IF(TRIM(Raw_Data!K255&amp;"")="","Not Specified",Raw_Data!K255)</f>
        <v/>
      </c>
      <c r="L264" s="56">
        <f>Raw_Data!L255</f>
        <v/>
      </c>
      <c r="M264" s="49">
        <f>IF(OR(I264="",J264=""),"",(I264+J264)/2)</f>
        <v/>
      </c>
      <c r="N264" s="49">
        <f>IF(OR(I264="",J264=""),"",J264-I264)</f>
        <v/>
      </c>
      <c r="O264" s="48">
        <f>TEXT(L264,"mmm-yyyy")</f>
        <v/>
      </c>
      <c r="P264" s="48">
        <f>_xlfn.IFS(ISNUMBER(SEARCH("data analy",B264)),"Data Analyst",ISNUMBER(SEARCH("business analy",B264)),"Business Analyst",OR(ISNUMBER(SEARCH("developer",B264)),ISNUMBER(SEARCH("software engineer",B264)),ISNUMBER(SEARCH("programmer",B264))),"Software Developer",ISNUMBER(SEARCH("business development",B264)),"Business Development",ISNUMBER(SEARCH("sales",B264)),"Sales Executive",ISNUMBER(SEARCH("marketing",B264)),"Marketing Executive",OR(ISNUMBER(SEARCH("hr ",B264)),ISNUMBER(SEARCH("recruit",B264)),ISNUMBER(SEARCH("human resource",B264))),"HR / Recruiter",OR(ISNUMBER(SEARCH("account",B264)),ISNUMBER(SEARCH("finance",B264)),ISNUMBER(SEARCH("tax",B264)),ISNUMBER(SEARCH("audit",B264))),"Accountant / Finance",OR(ISNUMBER(SEARCH("customer service",B264)),ISNUMBER(SEARCH("customer support",B264)),ISNUMBER(SEARCH("customer care",B264)),ISNUMBER(SEARCH("voice process",B264)),ISNUMBER(SEARCH("bpo",B264))),"Customer Support",ISNUMBER(SEARCH("engineer",B264)),"Engineer (Technical)",ISNUMBER(SEARCH("manager",B264)),"Manager",OR(ISNUMBER(SEARCH("teacher",B264)),ISNUMBER(SEARCH("trainer",B264)),ISNUMBER(SEARCH("faculty",B264))),"Teacher / Trainer",OR(ISNUMBER(SEARCH("doctor",B264)),ISNUMBER(SEARCH("nurse",B264)),ISNUMBER(SEARCH("medical",B264)),ISNUMBER(SEARCH("pharma",B264)),ISNUMBER(SEARCH("clinical",B264))),"Healthcare",TRUE,"Other")</f>
        <v/>
      </c>
      <c r="Q264" s="48">
        <f>IF(COUNTIFS($B$11:B264,B264,$C$11:C264,C264,$D$11:D264,D264,$L$11:L264,L264)&gt;1,"Duplicate","Unique")</f>
        <v/>
      </c>
    </row>
    <row r="265">
      <c r="A265" s="48">
        <f>Raw_Data!A256</f>
        <v/>
      </c>
      <c r="B265" s="48">
        <f>PROPER(TRIM(Raw_Data!B256))</f>
        <v/>
      </c>
      <c r="C265" s="48">
        <f>TRIM(Raw_Data!C256)</f>
        <v/>
      </c>
      <c r="D265" s="48">
        <f>IF(PROPER(TRIM(Raw_Data!D256))="Bangalore","Bengaluru",IF(PROPER(TRIM(Raw_Data!D256))="Gurgaon","Gurugram",IF(OR(PROPER(TRIM(Raw_Data!D256))="New Delhi",PROPER(TRIM(Raw_Data!D256))="Delhi"),"Delhi",PROPER(TRIM(Raw_Data!D256)))))</f>
        <v/>
      </c>
      <c r="E265" s="48">
        <f>Raw_Data!E256</f>
        <v/>
      </c>
      <c r="F265" s="48">
        <f>IF(TRIM(Raw_Data!F256&amp;"")="","Not Specified",Raw_Data!F256)</f>
        <v/>
      </c>
      <c r="G265" s="48">
        <f>Raw_Data!G256</f>
        <v/>
      </c>
      <c r="H265" s="48">
        <f>Raw_Data!H256</f>
        <v/>
      </c>
      <c r="I265" s="49">
        <f>IF(Raw_Data!I256="","",Raw_Data!I256)</f>
        <v/>
      </c>
      <c r="J265" s="49">
        <f>IF(Raw_Data!J256="","",Raw_Data!J256)</f>
        <v/>
      </c>
      <c r="K265" s="48">
        <f>IF(TRIM(Raw_Data!K256&amp;"")="","Not Specified",Raw_Data!K256)</f>
        <v/>
      </c>
      <c r="L265" s="56">
        <f>Raw_Data!L256</f>
        <v/>
      </c>
      <c r="M265" s="49">
        <f>IF(OR(I265="",J265=""),"",(I265+J265)/2)</f>
        <v/>
      </c>
      <c r="N265" s="49">
        <f>IF(OR(I265="",J265=""),"",J265-I265)</f>
        <v/>
      </c>
      <c r="O265" s="48">
        <f>TEXT(L265,"mmm-yyyy")</f>
        <v/>
      </c>
      <c r="P265" s="48">
        <f>_xlfn.IFS(ISNUMBER(SEARCH("data analy",B265)),"Data Analyst",ISNUMBER(SEARCH("business analy",B265)),"Business Analyst",OR(ISNUMBER(SEARCH("developer",B265)),ISNUMBER(SEARCH("software engineer",B265)),ISNUMBER(SEARCH("programmer",B265))),"Software Developer",ISNUMBER(SEARCH("business development",B265)),"Business Development",ISNUMBER(SEARCH("sales",B265)),"Sales Executive",ISNUMBER(SEARCH("marketing",B265)),"Marketing Executive",OR(ISNUMBER(SEARCH("hr ",B265)),ISNUMBER(SEARCH("recruit",B265)),ISNUMBER(SEARCH("human resource",B265))),"HR / Recruiter",OR(ISNUMBER(SEARCH("account",B265)),ISNUMBER(SEARCH("finance",B265)),ISNUMBER(SEARCH("tax",B265)),ISNUMBER(SEARCH("audit",B265))),"Accountant / Finance",OR(ISNUMBER(SEARCH("customer service",B265)),ISNUMBER(SEARCH("customer support",B265)),ISNUMBER(SEARCH("customer care",B265)),ISNUMBER(SEARCH("voice process",B265)),ISNUMBER(SEARCH("bpo",B265))),"Customer Support",ISNUMBER(SEARCH("engineer",B265)),"Engineer (Technical)",ISNUMBER(SEARCH("manager",B265)),"Manager",OR(ISNUMBER(SEARCH("teacher",B265)),ISNUMBER(SEARCH("trainer",B265)),ISNUMBER(SEARCH("faculty",B265))),"Teacher / Trainer",OR(ISNUMBER(SEARCH("doctor",B265)),ISNUMBER(SEARCH("nurse",B265)),ISNUMBER(SEARCH("medical",B265)),ISNUMBER(SEARCH("pharma",B265)),ISNUMBER(SEARCH("clinical",B265))),"Healthcare",TRUE,"Other")</f>
        <v/>
      </c>
      <c r="Q265" s="48">
        <f>IF(COUNTIFS($B$11:B265,B265,$C$11:C265,C265,$D$11:D265,D265,$L$11:L265,L265)&gt;1,"Duplicate","Unique")</f>
        <v/>
      </c>
    </row>
    <row r="266">
      <c r="A266" s="48">
        <f>Raw_Data!A257</f>
        <v/>
      </c>
      <c r="B266" s="48">
        <f>PROPER(TRIM(Raw_Data!B257))</f>
        <v/>
      </c>
      <c r="C266" s="48">
        <f>TRIM(Raw_Data!C257)</f>
        <v/>
      </c>
      <c r="D266" s="48">
        <f>IF(PROPER(TRIM(Raw_Data!D257))="Bangalore","Bengaluru",IF(PROPER(TRIM(Raw_Data!D257))="Gurgaon","Gurugram",IF(OR(PROPER(TRIM(Raw_Data!D257))="New Delhi",PROPER(TRIM(Raw_Data!D257))="Delhi"),"Delhi",PROPER(TRIM(Raw_Data!D257)))))</f>
        <v/>
      </c>
      <c r="E266" s="48">
        <f>Raw_Data!E257</f>
        <v/>
      </c>
      <c r="F266" s="48">
        <f>IF(TRIM(Raw_Data!F257&amp;"")="","Not Specified",Raw_Data!F257)</f>
        <v/>
      </c>
      <c r="G266" s="48">
        <f>Raw_Data!G257</f>
        <v/>
      </c>
      <c r="H266" s="48">
        <f>Raw_Data!H257</f>
        <v/>
      </c>
      <c r="I266" s="49">
        <f>IF(Raw_Data!I257="","",Raw_Data!I257)</f>
        <v/>
      </c>
      <c r="J266" s="49">
        <f>IF(Raw_Data!J257="","",Raw_Data!J257)</f>
        <v/>
      </c>
      <c r="K266" s="48">
        <f>IF(TRIM(Raw_Data!K257&amp;"")="","Not Specified",Raw_Data!K257)</f>
        <v/>
      </c>
      <c r="L266" s="56">
        <f>Raw_Data!L257</f>
        <v/>
      </c>
      <c r="M266" s="49">
        <f>IF(OR(I266="",J266=""),"",(I266+J266)/2)</f>
        <v/>
      </c>
      <c r="N266" s="49">
        <f>IF(OR(I266="",J266=""),"",J266-I266)</f>
        <v/>
      </c>
      <c r="O266" s="48">
        <f>TEXT(L266,"mmm-yyyy")</f>
        <v/>
      </c>
      <c r="P266" s="48">
        <f>_xlfn.IFS(ISNUMBER(SEARCH("data analy",B266)),"Data Analyst",ISNUMBER(SEARCH("business analy",B266)),"Business Analyst",OR(ISNUMBER(SEARCH("developer",B266)),ISNUMBER(SEARCH("software engineer",B266)),ISNUMBER(SEARCH("programmer",B266))),"Software Developer",ISNUMBER(SEARCH("business development",B266)),"Business Development",ISNUMBER(SEARCH("sales",B266)),"Sales Executive",ISNUMBER(SEARCH("marketing",B266)),"Marketing Executive",OR(ISNUMBER(SEARCH("hr ",B266)),ISNUMBER(SEARCH("recruit",B266)),ISNUMBER(SEARCH("human resource",B266))),"HR / Recruiter",OR(ISNUMBER(SEARCH("account",B266)),ISNUMBER(SEARCH("finance",B266)),ISNUMBER(SEARCH("tax",B266)),ISNUMBER(SEARCH("audit",B266))),"Accountant / Finance",OR(ISNUMBER(SEARCH("customer service",B266)),ISNUMBER(SEARCH("customer support",B266)),ISNUMBER(SEARCH("customer care",B266)),ISNUMBER(SEARCH("voice process",B266)),ISNUMBER(SEARCH("bpo",B266))),"Customer Support",ISNUMBER(SEARCH("engineer",B266)),"Engineer (Technical)",ISNUMBER(SEARCH("manager",B266)),"Manager",OR(ISNUMBER(SEARCH("teacher",B266)),ISNUMBER(SEARCH("trainer",B266)),ISNUMBER(SEARCH("faculty",B266))),"Teacher / Trainer",OR(ISNUMBER(SEARCH("doctor",B266)),ISNUMBER(SEARCH("nurse",B266)),ISNUMBER(SEARCH("medical",B266)),ISNUMBER(SEARCH("pharma",B266)),ISNUMBER(SEARCH("clinical",B266))),"Healthcare",TRUE,"Other")</f>
        <v/>
      </c>
      <c r="Q266" s="48">
        <f>IF(COUNTIFS($B$11:B266,B266,$C$11:C266,C266,$D$11:D266,D266,$L$11:L266,L266)&gt;1,"Duplicate","Unique")</f>
        <v/>
      </c>
    </row>
    <row r="267">
      <c r="A267" s="48">
        <f>Raw_Data!A258</f>
        <v/>
      </c>
      <c r="B267" s="48">
        <f>PROPER(TRIM(Raw_Data!B258))</f>
        <v/>
      </c>
      <c r="C267" s="48">
        <f>TRIM(Raw_Data!C258)</f>
        <v/>
      </c>
      <c r="D267" s="48">
        <f>IF(PROPER(TRIM(Raw_Data!D258))="Bangalore","Bengaluru",IF(PROPER(TRIM(Raw_Data!D258))="Gurgaon","Gurugram",IF(OR(PROPER(TRIM(Raw_Data!D258))="New Delhi",PROPER(TRIM(Raw_Data!D258))="Delhi"),"Delhi",PROPER(TRIM(Raw_Data!D258)))))</f>
        <v/>
      </c>
      <c r="E267" s="48">
        <f>Raw_Data!E258</f>
        <v/>
      </c>
      <c r="F267" s="48">
        <f>IF(TRIM(Raw_Data!F258&amp;"")="","Not Specified",Raw_Data!F258)</f>
        <v/>
      </c>
      <c r="G267" s="48">
        <f>Raw_Data!G258</f>
        <v/>
      </c>
      <c r="H267" s="48">
        <f>Raw_Data!H258</f>
        <v/>
      </c>
      <c r="I267" s="49">
        <f>IF(Raw_Data!I258="","",Raw_Data!I258)</f>
        <v/>
      </c>
      <c r="J267" s="49">
        <f>IF(Raw_Data!J258="","",Raw_Data!J258)</f>
        <v/>
      </c>
      <c r="K267" s="48">
        <f>IF(TRIM(Raw_Data!K258&amp;"")="","Not Specified",Raw_Data!K258)</f>
        <v/>
      </c>
      <c r="L267" s="56">
        <f>Raw_Data!L258</f>
        <v/>
      </c>
      <c r="M267" s="49">
        <f>IF(OR(I267="",J267=""),"",(I267+J267)/2)</f>
        <v/>
      </c>
      <c r="N267" s="49">
        <f>IF(OR(I267="",J267=""),"",J267-I267)</f>
        <v/>
      </c>
      <c r="O267" s="48">
        <f>TEXT(L267,"mmm-yyyy")</f>
        <v/>
      </c>
      <c r="P267" s="48">
        <f>_xlfn.IFS(ISNUMBER(SEARCH("data analy",B267)),"Data Analyst",ISNUMBER(SEARCH("business analy",B267)),"Business Analyst",OR(ISNUMBER(SEARCH("developer",B267)),ISNUMBER(SEARCH("software engineer",B267)),ISNUMBER(SEARCH("programmer",B267))),"Software Developer",ISNUMBER(SEARCH("business development",B267)),"Business Development",ISNUMBER(SEARCH("sales",B267)),"Sales Executive",ISNUMBER(SEARCH("marketing",B267)),"Marketing Executive",OR(ISNUMBER(SEARCH("hr ",B267)),ISNUMBER(SEARCH("recruit",B267)),ISNUMBER(SEARCH("human resource",B267))),"HR / Recruiter",OR(ISNUMBER(SEARCH("account",B267)),ISNUMBER(SEARCH("finance",B267)),ISNUMBER(SEARCH("tax",B267)),ISNUMBER(SEARCH("audit",B267))),"Accountant / Finance",OR(ISNUMBER(SEARCH("customer service",B267)),ISNUMBER(SEARCH("customer support",B267)),ISNUMBER(SEARCH("customer care",B267)),ISNUMBER(SEARCH("voice process",B267)),ISNUMBER(SEARCH("bpo",B267))),"Customer Support",ISNUMBER(SEARCH("engineer",B267)),"Engineer (Technical)",ISNUMBER(SEARCH("manager",B267)),"Manager",OR(ISNUMBER(SEARCH("teacher",B267)),ISNUMBER(SEARCH("trainer",B267)),ISNUMBER(SEARCH("faculty",B267))),"Teacher / Trainer",OR(ISNUMBER(SEARCH("doctor",B267)),ISNUMBER(SEARCH("nurse",B267)),ISNUMBER(SEARCH("medical",B267)),ISNUMBER(SEARCH("pharma",B267)),ISNUMBER(SEARCH("clinical",B267))),"Healthcare",TRUE,"Other")</f>
        <v/>
      </c>
      <c r="Q267" s="48">
        <f>IF(COUNTIFS($B$11:B267,B267,$C$11:C267,C267,$D$11:D267,D267,$L$11:L267,L267)&gt;1,"Duplicate","Unique")</f>
        <v/>
      </c>
    </row>
    <row r="268">
      <c r="A268" s="48">
        <f>Raw_Data!A259</f>
        <v/>
      </c>
      <c r="B268" s="48">
        <f>PROPER(TRIM(Raw_Data!B259))</f>
        <v/>
      </c>
      <c r="C268" s="48">
        <f>TRIM(Raw_Data!C259)</f>
        <v/>
      </c>
      <c r="D268" s="48">
        <f>IF(PROPER(TRIM(Raw_Data!D259))="Bangalore","Bengaluru",IF(PROPER(TRIM(Raw_Data!D259))="Gurgaon","Gurugram",IF(OR(PROPER(TRIM(Raw_Data!D259))="New Delhi",PROPER(TRIM(Raw_Data!D259))="Delhi"),"Delhi",PROPER(TRIM(Raw_Data!D259)))))</f>
        <v/>
      </c>
      <c r="E268" s="48">
        <f>Raw_Data!E259</f>
        <v/>
      </c>
      <c r="F268" s="48">
        <f>IF(TRIM(Raw_Data!F259&amp;"")="","Not Specified",Raw_Data!F259)</f>
        <v/>
      </c>
      <c r="G268" s="48">
        <f>Raw_Data!G259</f>
        <v/>
      </c>
      <c r="H268" s="48">
        <f>Raw_Data!H259</f>
        <v/>
      </c>
      <c r="I268" s="49">
        <f>IF(Raw_Data!I259="","",Raw_Data!I259)</f>
        <v/>
      </c>
      <c r="J268" s="49">
        <f>IF(Raw_Data!J259="","",Raw_Data!J259)</f>
        <v/>
      </c>
      <c r="K268" s="48">
        <f>IF(TRIM(Raw_Data!K259&amp;"")="","Not Specified",Raw_Data!K259)</f>
        <v/>
      </c>
      <c r="L268" s="56">
        <f>Raw_Data!L259</f>
        <v/>
      </c>
      <c r="M268" s="49">
        <f>IF(OR(I268="",J268=""),"",(I268+J268)/2)</f>
        <v/>
      </c>
      <c r="N268" s="49">
        <f>IF(OR(I268="",J268=""),"",J268-I268)</f>
        <v/>
      </c>
      <c r="O268" s="48">
        <f>TEXT(L268,"mmm-yyyy")</f>
        <v/>
      </c>
      <c r="P268" s="48">
        <f>_xlfn.IFS(ISNUMBER(SEARCH("data analy",B268)),"Data Analyst",ISNUMBER(SEARCH("business analy",B268)),"Business Analyst",OR(ISNUMBER(SEARCH("developer",B268)),ISNUMBER(SEARCH("software engineer",B268)),ISNUMBER(SEARCH("programmer",B268))),"Software Developer",ISNUMBER(SEARCH("business development",B268)),"Business Development",ISNUMBER(SEARCH("sales",B268)),"Sales Executive",ISNUMBER(SEARCH("marketing",B268)),"Marketing Executive",OR(ISNUMBER(SEARCH("hr ",B268)),ISNUMBER(SEARCH("recruit",B268)),ISNUMBER(SEARCH("human resource",B268))),"HR / Recruiter",OR(ISNUMBER(SEARCH("account",B268)),ISNUMBER(SEARCH("finance",B268)),ISNUMBER(SEARCH("tax",B268)),ISNUMBER(SEARCH("audit",B268))),"Accountant / Finance",OR(ISNUMBER(SEARCH("customer service",B268)),ISNUMBER(SEARCH("customer support",B268)),ISNUMBER(SEARCH("customer care",B268)),ISNUMBER(SEARCH("voice process",B268)),ISNUMBER(SEARCH("bpo",B268))),"Customer Support",ISNUMBER(SEARCH("engineer",B268)),"Engineer (Technical)",ISNUMBER(SEARCH("manager",B268)),"Manager",OR(ISNUMBER(SEARCH("teacher",B268)),ISNUMBER(SEARCH("trainer",B268)),ISNUMBER(SEARCH("faculty",B268))),"Teacher / Trainer",OR(ISNUMBER(SEARCH("doctor",B268)),ISNUMBER(SEARCH("nurse",B268)),ISNUMBER(SEARCH("medical",B268)),ISNUMBER(SEARCH("pharma",B268)),ISNUMBER(SEARCH("clinical",B268))),"Healthcare",TRUE,"Other")</f>
        <v/>
      </c>
      <c r="Q268" s="48">
        <f>IF(COUNTIFS($B$11:B268,B268,$C$11:C268,C268,$D$11:D268,D268,$L$11:L268,L268)&gt;1,"Duplicate","Unique")</f>
        <v/>
      </c>
    </row>
    <row r="269">
      <c r="A269" s="48">
        <f>Raw_Data!A260</f>
        <v/>
      </c>
      <c r="B269" s="48">
        <f>PROPER(TRIM(Raw_Data!B260))</f>
        <v/>
      </c>
      <c r="C269" s="48">
        <f>TRIM(Raw_Data!C260)</f>
        <v/>
      </c>
      <c r="D269" s="48">
        <f>IF(PROPER(TRIM(Raw_Data!D260))="Bangalore","Bengaluru",IF(PROPER(TRIM(Raw_Data!D260))="Gurgaon","Gurugram",IF(OR(PROPER(TRIM(Raw_Data!D260))="New Delhi",PROPER(TRIM(Raw_Data!D260))="Delhi"),"Delhi",PROPER(TRIM(Raw_Data!D260)))))</f>
        <v/>
      </c>
      <c r="E269" s="48">
        <f>Raw_Data!E260</f>
        <v/>
      </c>
      <c r="F269" s="48">
        <f>IF(TRIM(Raw_Data!F260&amp;"")="","Not Specified",Raw_Data!F260)</f>
        <v/>
      </c>
      <c r="G269" s="48">
        <f>Raw_Data!G260</f>
        <v/>
      </c>
      <c r="H269" s="48">
        <f>Raw_Data!H260</f>
        <v/>
      </c>
      <c r="I269" s="49">
        <f>IF(Raw_Data!I260="","",Raw_Data!I260)</f>
        <v/>
      </c>
      <c r="J269" s="49">
        <f>IF(Raw_Data!J260="","",Raw_Data!J260)</f>
        <v/>
      </c>
      <c r="K269" s="48">
        <f>IF(TRIM(Raw_Data!K260&amp;"")="","Not Specified",Raw_Data!K260)</f>
        <v/>
      </c>
      <c r="L269" s="56">
        <f>Raw_Data!L260</f>
        <v/>
      </c>
      <c r="M269" s="49">
        <f>IF(OR(I269="",J269=""),"",(I269+J269)/2)</f>
        <v/>
      </c>
      <c r="N269" s="49">
        <f>IF(OR(I269="",J269=""),"",J269-I269)</f>
        <v/>
      </c>
      <c r="O269" s="48">
        <f>TEXT(L269,"mmm-yyyy")</f>
        <v/>
      </c>
      <c r="P269" s="48">
        <f>_xlfn.IFS(ISNUMBER(SEARCH("data analy",B269)),"Data Analyst",ISNUMBER(SEARCH("business analy",B269)),"Business Analyst",OR(ISNUMBER(SEARCH("developer",B269)),ISNUMBER(SEARCH("software engineer",B269)),ISNUMBER(SEARCH("programmer",B269))),"Software Developer",ISNUMBER(SEARCH("business development",B269)),"Business Development",ISNUMBER(SEARCH("sales",B269)),"Sales Executive",ISNUMBER(SEARCH("marketing",B269)),"Marketing Executive",OR(ISNUMBER(SEARCH("hr ",B269)),ISNUMBER(SEARCH("recruit",B269)),ISNUMBER(SEARCH("human resource",B269))),"HR / Recruiter",OR(ISNUMBER(SEARCH("account",B269)),ISNUMBER(SEARCH("finance",B269)),ISNUMBER(SEARCH("tax",B269)),ISNUMBER(SEARCH("audit",B269))),"Accountant / Finance",OR(ISNUMBER(SEARCH("customer service",B269)),ISNUMBER(SEARCH("customer support",B269)),ISNUMBER(SEARCH("customer care",B269)),ISNUMBER(SEARCH("voice process",B269)),ISNUMBER(SEARCH("bpo",B269))),"Customer Support",ISNUMBER(SEARCH("engineer",B269)),"Engineer (Technical)",ISNUMBER(SEARCH("manager",B269)),"Manager",OR(ISNUMBER(SEARCH("teacher",B269)),ISNUMBER(SEARCH("trainer",B269)),ISNUMBER(SEARCH("faculty",B269))),"Teacher / Trainer",OR(ISNUMBER(SEARCH("doctor",B269)),ISNUMBER(SEARCH("nurse",B269)),ISNUMBER(SEARCH("medical",B269)),ISNUMBER(SEARCH("pharma",B269)),ISNUMBER(SEARCH("clinical",B269))),"Healthcare",TRUE,"Other")</f>
        <v/>
      </c>
      <c r="Q269" s="48">
        <f>IF(COUNTIFS($B$11:B269,B269,$C$11:C269,C269,$D$11:D269,D269,$L$11:L269,L269)&gt;1,"Duplicate","Unique")</f>
        <v/>
      </c>
    </row>
    <row r="270">
      <c r="A270" s="48">
        <f>Raw_Data!A261</f>
        <v/>
      </c>
      <c r="B270" s="48">
        <f>PROPER(TRIM(Raw_Data!B261))</f>
        <v/>
      </c>
      <c r="C270" s="48">
        <f>TRIM(Raw_Data!C261)</f>
        <v/>
      </c>
      <c r="D270" s="48">
        <f>IF(PROPER(TRIM(Raw_Data!D261))="Bangalore","Bengaluru",IF(PROPER(TRIM(Raw_Data!D261))="Gurgaon","Gurugram",IF(OR(PROPER(TRIM(Raw_Data!D261))="New Delhi",PROPER(TRIM(Raw_Data!D261))="Delhi"),"Delhi",PROPER(TRIM(Raw_Data!D261)))))</f>
        <v/>
      </c>
      <c r="E270" s="48">
        <f>Raw_Data!E261</f>
        <v/>
      </c>
      <c r="F270" s="48">
        <f>IF(TRIM(Raw_Data!F261&amp;"")="","Not Specified",Raw_Data!F261)</f>
        <v/>
      </c>
      <c r="G270" s="48">
        <f>Raw_Data!G261</f>
        <v/>
      </c>
      <c r="H270" s="48">
        <f>Raw_Data!H261</f>
        <v/>
      </c>
      <c r="I270" s="49">
        <f>IF(Raw_Data!I261="","",Raw_Data!I261)</f>
        <v/>
      </c>
      <c r="J270" s="49">
        <f>IF(Raw_Data!J261="","",Raw_Data!J261)</f>
        <v/>
      </c>
      <c r="K270" s="48">
        <f>IF(TRIM(Raw_Data!K261&amp;"")="","Not Specified",Raw_Data!K261)</f>
        <v/>
      </c>
      <c r="L270" s="56">
        <f>Raw_Data!L261</f>
        <v/>
      </c>
      <c r="M270" s="49">
        <f>IF(OR(I270="",J270=""),"",(I270+J270)/2)</f>
        <v/>
      </c>
      <c r="N270" s="49">
        <f>IF(OR(I270="",J270=""),"",J270-I270)</f>
        <v/>
      </c>
      <c r="O270" s="48">
        <f>TEXT(L270,"mmm-yyyy")</f>
        <v/>
      </c>
      <c r="P270" s="48">
        <f>_xlfn.IFS(ISNUMBER(SEARCH("data analy",B270)),"Data Analyst",ISNUMBER(SEARCH("business analy",B270)),"Business Analyst",OR(ISNUMBER(SEARCH("developer",B270)),ISNUMBER(SEARCH("software engineer",B270)),ISNUMBER(SEARCH("programmer",B270))),"Software Developer",ISNUMBER(SEARCH("business development",B270)),"Business Development",ISNUMBER(SEARCH("sales",B270)),"Sales Executive",ISNUMBER(SEARCH("marketing",B270)),"Marketing Executive",OR(ISNUMBER(SEARCH("hr ",B270)),ISNUMBER(SEARCH("recruit",B270)),ISNUMBER(SEARCH("human resource",B270))),"HR / Recruiter",OR(ISNUMBER(SEARCH("account",B270)),ISNUMBER(SEARCH("finance",B270)),ISNUMBER(SEARCH("tax",B270)),ISNUMBER(SEARCH("audit",B270))),"Accountant / Finance",OR(ISNUMBER(SEARCH("customer service",B270)),ISNUMBER(SEARCH("customer support",B270)),ISNUMBER(SEARCH("customer care",B270)),ISNUMBER(SEARCH("voice process",B270)),ISNUMBER(SEARCH("bpo",B270))),"Customer Support",ISNUMBER(SEARCH("engineer",B270)),"Engineer (Technical)",ISNUMBER(SEARCH("manager",B270)),"Manager",OR(ISNUMBER(SEARCH("teacher",B270)),ISNUMBER(SEARCH("trainer",B270)),ISNUMBER(SEARCH("faculty",B270))),"Teacher / Trainer",OR(ISNUMBER(SEARCH("doctor",B270)),ISNUMBER(SEARCH("nurse",B270)),ISNUMBER(SEARCH("medical",B270)),ISNUMBER(SEARCH("pharma",B270)),ISNUMBER(SEARCH("clinical",B270))),"Healthcare",TRUE,"Other")</f>
        <v/>
      </c>
      <c r="Q270" s="48">
        <f>IF(COUNTIFS($B$11:B270,B270,$C$11:C270,C270,$D$11:D270,D270,$L$11:L270,L270)&gt;1,"Duplicate","Unique")</f>
        <v/>
      </c>
    </row>
    <row r="271">
      <c r="A271" s="48">
        <f>Raw_Data!A262</f>
        <v/>
      </c>
      <c r="B271" s="48">
        <f>PROPER(TRIM(Raw_Data!B262))</f>
        <v/>
      </c>
      <c r="C271" s="48">
        <f>TRIM(Raw_Data!C262)</f>
        <v/>
      </c>
      <c r="D271" s="48">
        <f>IF(PROPER(TRIM(Raw_Data!D262))="Bangalore","Bengaluru",IF(PROPER(TRIM(Raw_Data!D262))="Gurgaon","Gurugram",IF(OR(PROPER(TRIM(Raw_Data!D262))="New Delhi",PROPER(TRIM(Raw_Data!D262))="Delhi"),"Delhi",PROPER(TRIM(Raw_Data!D262)))))</f>
        <v/>
      </c>
      <c r="E271" s="48">
        <f>Raw_Data!E262</f>
        <v/>
      </c>
      <c r="F271" s="48">
        <f>IF(TRIM(Raw_Data!F262&amp;"")="","Not Specified",Raw_Data!F262)</f>
        <v/>
      </c>
      <c r="G271" s="48">
        <f>Raw_Data!G262</f>
        <v/>
      </c>
      <c r="H271" s="48">
        <f>Raw_Data!H262</f>
        <v/>
      </c>
      <c r="I271" s="49">
        <f>IF(Raw_Data!I262="","",Raw_Data!I262)</f>
        <v/>
      </c>
      <c r="J271" s="49">
        <f>IF(Raw_Data!J262="","",Raw_Data!J262)</f>
        <v/>
      </c>
      <c r="K271" s="48">
        <f>IF(TRIM(Raw_Data!K262&amp;"")="","Not Specified",Raw_Data!K262)</f>
        <v/>
      </c>
      <c r="L271" s="56">
        <f>Raw_Data!L262</f>
        <v/>
      </c>
      <c r="M271" s="49">
        <f>IF(OR(I271="",J271=""),"",(I271+J271)/2)</f>
        <v/>
      </c>
      <c r="N271" s="49">
        <f>IF(OR(I271="",J271=""),"",J271-I271)</f>
        <v/>
      </c>
      <c r="O271" s="48">
        <f>TEXT(L271,"mmm-yyyy")</f>
        <v/>
      </c>
      <c r="P271" s="48">
        <f>_xlfn.IFS(ISNUMBER(SEARCH("data analy",B271)),"Data Analyst",ISNUMBER(SEARCH("business analy",B271)),"Business Analyst",OR(ISNUMBER(SEARCH("developer",B271)),ISNUMBER(SEARCH("software engineer",B271)),ISNUMBER(SEARCH("programmer",B271))),"Software Developer",ISNUMBER(SEARCH("business development",B271)),"Business Development",ISNUMBER(SEARCH("sales",B271)),"Sales Executive",ISNUMBER(SEARCH("marketing",B271)),"Marketing Executive",OR(ISNUMBER(SEARCH("hr ",B271)),ISNUMBER(SEARCH("recruit",B271)),ISNUMBER(SEARCH("human resource",B271))),"HR / Recruiter",OR(ISNUMBER(SEARCH("account",B271)),ISNUMBER(SEARCH("finance",B271)),ISNUMBER(SEARCH("tax",B271)),ISNUMBER(SEARCH("audit",B271))),"Accountant / Finance",OR(ISNUMBER(SEARCH("customer service",B271)),ISNUMBER(SEARCH("customer support",B271)),ISNUMBER(SEARCH("customer care",B271)),ISNUMBER(SEARCH("voice process",B271)),ISNUMBER(SEARCH("bpo",B271))),"Customer Support",ISNUMBER(SEARCH("engineer",B271)),"Engineer (Technical)",ISNUMBER(SEARCH("manager",B271)),"Manager",OR(ISNUMBER(SEARCH("teacher",B271)),ISNUMBER(SEARCH("trainer",B271)),ISNUMBER(SEARCH("faculty",B271))),"Teacher / Trainer",OR(ISNUMBER(SEARCH("doctor",B271)),ISNUMBER(SEARCH("nurse",B271)),ISNUMBER(SEARCH("medical",B271)),ISNUMBER(SEARCH("pharma",B271)),ISNUMBER(SEARCH("clinical",B271))),"Healthcare",TRUE,"Other")</f>
        <v/>
      </c>
      <c r="Q271" s="48">
        <f>IF(COUNTIFS($B$11:B271,B271,$C$11:C271,C271,$D$11:D271,D271,$L$11:L271,L271)&gt;1,"Duplicate","Unique")</f>
        <v/>
      </c>
    </row>
    <row r="272">
      <c r="A272" s="48">
        <f>Raw_Data!A263</f>
        <v/>
      </c>
      <c r="B272" s="48">
        <f>PROPER(TRIM(Raw_Data!B263))</f>
        <v/>
      </c>
      <c r="C272" s="48">
        <f>TRIM(Raw_Data!C263)</f>
        <v/>
      </c>
      <c r="D272" s="48">
        <f>IF(PROPER(TRIM(Raw_Data!D263))="Bangalore","Bengaluru",IF(PROPER(TRIM(Raw_Data!D263))="Gurgaon","Gurugram",IF(OR(PROPER(TRIM(Raw_Data!D263))="New Delhi",PROPER(TRIM(Raw_Data!D263))="Delhi"),"Delhi",PROPER(TRIM(Raw_Data!D263)))))</f>
        <v/>
      </c>
      <c r="E272" s="48">
        <f>Raw_Data!E263</f>
        <v/>
      </c>
      <c r="F272" s="48">
        <f>IF(TRIM(Raw_Data!F263&amp;"")="","Not Specified",Raw_Data!F263)</f>
        <v/>
      </c>
      <c r="G272" s="48">
        <f>Raw_Data!G263</f>
        <v/>
      </c>
      <c r="H272" s="48">
        <f>Raw_Data!H263</f>
        <v/>
      </c>
      <c r="I272" s="49">
        <f>IF(Raw_Data!I263="","",Raw_Data!I263)</f>
        <v/>
      </c>
      <c r="J272" s="49">
        <f>IF(Raw_Data!J263="","",Raw_Data!J263)</f>
        <v/>
      </c>
      <c r="K272" s="48">
        <f>IF(TRIM(Raw_Data!K263&amp;"")="","Not Specified",Raw_Data!K263)</f>
        <v/>
      </c>
      <c r="L272" s="56">
        <f>Raw_Data!L263</f>
        <v/>
      </c>
      <c r="M272" s="49">
        <f>IF(OR(I272="",J272=""),"",(I272+J272)/2)</f>
        <v/>
      </c>
      <c r="N272" s="49">
        <f>IF(OR(I272="",J272=""),"",J272-I272)</f>
        <v/>
      </c>
      <c r="O272" s="48">
        <f>TEXT(L272,"mmm-yyyy")</f>
        <v/>
      </c>
      <c r="P272" s="48">
        <f>_xlfn.IFS(ISNUMBER(SEARCH("data analy",B272)),"Data Analyst",ISNUMBER(SEARCH("business analy",B272)),"Business Analyst",OR(ISNUMBER(SEARCH("developer",B272)),ISNUMBER(SEARCH("software engineer",B272)),ISNUMBER(SEARCH("programmer",B272))),"Software Developer",ISNUMBER(SEARCH("business development",B272)),"Business Development",ISNUMBER(SEARCH("sales",B272)),"Sales Executive",ISNUMBER(SEARCH("marketing",B272)),"Marketing Executive",OR(ISNUMBER(SEARCH("hr ",B272)),ISNUMBER(SEARCH("recruit",B272)),ISNUMBER(SEARCH("human resource",B272))),"HR / Recruiter",OR(ISNUMBER(SEARCH("account",B272)),ISNUMBER(SEARCH("finance",B272)),ISNUMBER(SEARCH("tax",B272)),ISNUMBER(SEARCH("audit",B272))),"Accountant / Finance",OR(ISNUMBER(SEARCH("customer service",B272)),ISNUMBER(SEARCH("customer support",B272)),ISNUMBER(SEARCH("customer care",B272)),ISNUMBER(SEARCH("voice process",B272)),ISNUMBER(SEARCH("bpo",B272))),"Customer Support",ISNUMBER(SEARCH("engineer",B272)),"Engineer (Technical)",ISNUMBER(SEARCH("manager",B272)),"Manager",OR(ISNUMBER(SEARCH("teacher",B272)),ISNUMBER(SEARCH("trainer",B272)),ISNUMBER(SEARCH("faculty",B272))),"Teacher / Trainer",OR(ISNUMBER(SEARCH("doctor",B272)),ISNUMBER(SEARCH("nurse",B272)),ISNUMBER(SEARCH("medical",B272)),ISNUMBER(SEARCH("pharma",B272)),ISNUMBER(SEARCH("clinical",B272))),"Healthcare",TRUE,"Other")</f>
        <v/>
      </c>
      <c r="Q272" s="48">
        <f>IF(COUNTIFS($B$11:B272,B272,$C$11:C272,C272,$D$11:D272,D272,$L$11:L272,L272)&gt;1,"Duplicate","Unique")</f>
        <v/>
      </c>
    </row>
    <row r="273">
      <c r="A273" s="48">
        <f>Raw_Data!A264</f>
        <v/>
      </c>
      <c r="B273" s="48">
        <f>PROPER(TRIM(Raw_Data!B264))</f>
        <v/>
      </c>
      <c r="C273" s="48">
        <f>TRIM(Raw_Data!C264)</f>
        <v/>
      </c>
      <c r="D273" s="48">
        <f>IF(PROPER(TRIM(Raw_Data!D264))="Bangalore","Bengaluru",IF(PROPER(TRIM(Raw_Data!D264))="Gurgaon","Gurugram",IF(OR(PROPER(TRIM(Raw_Data!D264))="New Delhi",PROPER(TRIM(Raw_Data!D264))="Delhi"),"Delhi",PROPER(TRIM(Raw_Data!D264)))))</f>
        <v/>
      </c>
      <c r="E273" s="48">
        <f>Raw_Data!E264</f>
        <v/>
      </c>
      <c r="F273" s="48">
        <f>IF(TRIM(Raw_Data!F264&amp;"")="","Not Specified",Raw_Data!F264)</f>
        <v/>
      </c>
      <c r="G273" s="48">
        <f>Raw_Data!G264</f>
        <v/>
      </c>
      <c r="H273" s="48">
        <f>Raw_Data!H264</f>
        <v/>
      </c>
      <c r="I273" s="49">
        <f>IF(Raw_Data!I264="","",Raw_Data!I264)</f>
        <v/>
      </c>
      <c r="J273" s="49">
        <f>IF(Raw_Data!J264="","",Raw_Data!J264)</f>
        <v/>
      </c>
      <c r="K273" s="48">
        <f>IF(TRIM(Raw_Data!K264&amp;"")="","Not Specified",Raw_Data!K264)</f>
        <v/>
      </c>
      <c r="L273" s="56">
        <f>Raw_Data!L264</f>
        <v/>
      </c>
      <c r="M273" s="49">
        <f>IF(OR(I273="",J273=""),"",(I273+J273)/2)</f>
        <v/>
      </c>
      <c r="N273" s="49">
        <f>IF(OR(I273="",J273=""),"",J273-I273)</f>
        <v/>
      </c>
      <c r="O273" s="48">
        <f>TEXT(L273,"mmm-yyyy")</f>
        <v/>
      </c>
      <c r="P273" s="48">
        <f>_xlfn.IFS(ISNUMBER(SEARCH("data analy",B273)),"Data Analyst",ISNUMBER(SEARCH("business analy",B273)),"Business Analyst",OR(ISNUMBER(SEARCH("developer",B273)),ISNUMBER(SEARCH("software engineer",B273)),ISNUMBER(SEARCH("programmer",B273))),"Software Developer",ISNUMBER(SEARCH("business development",B273)),"Business Development",ISNUMBER(SEARCH("sales",B273)),"Sales Executive",ISNUMBER(SEARCH("marketing",B273)),"Marketing Executive",OR(ISNUMBER(SEARCH("hr ",B273)),ISNUMBER(SEARCH("recruit",B273)),ISNUMBER(SEARCH("human resource",B273))),"HR / Recruiter",OR(ISNUMBER(SEARCH("account",B273)),ISNUMBER(SEARCH("finance",B273)),ISNUMBER(SEARCH("tax",B273)),ISNUMBER(SEARCH("audit",B273))),"Accountant / Finance",OR(ISNUMBER(SEARCH("customer service",B273)),ISNUMBER(SEARCH("customer support",B273)),ISNUMBER(SEARCH("customer care",B273)),ISNUMBER(SEARCH("voice process",B273)),ISNUMBER(SEARCH("bpo",B273))),"Customer Support",ISNUMBER(SEARCH("engineer",B273)),"Engineer (Technical)",ISNUMBER(SEARCH("manager",B273)),"Manager",OR(ISNUMBER(SEARCH("teacher",B273)),ISNUMBER(SEARCH("trainer",B273)),ISNUMBER(SEARCH("faculty",B273))),"Teacher / Trainer",OR(ISNUMBER(SEARCH("doctor",B273)),ISNUMBER(SEARCH("nurse",B273)),ISNUMBER(SEARCH("medical",B273)),ISNUMBER(SEARCH("pharma",B273)),ISNUMBER(SEARCH("clinical",B273))),"Healthcare",TRUE,"Other")</f>
        <v/>
      </c>
      <c r="Q273" s="48">
        <f>IF(COUNTIFS($B$11:B273,B273,$C$11:C273,C273,$D$11:D273,D273,$L$11:L273,L273)&gt;1,"Duplicate","Unique")</f>
        <v/>
      </c>
    </row>
    <row r="274">
      <c r="A274" s="48">
        <f>Raw_Data!A265</f>
        <v/>
      </c>
      <c r="B274" s="48">
        <f>PROPER(TRIM(Raw_Data!B265))</f>
        <v/>
      </c>
      <c r="C274" s="48">
        <f>TRIM(Raw_Data!C265)</f>
        <v/>
      </c>
      <c r="D274" s="48">
        <f>IF(PROPER(TRIM(Raw_Data!D265))="Bangalore","Bengaluru",IF(PROPER(TRIM(Raw_Data!D265))="Gurgaon","Gurugram",IF(OR(PROPER(TRIM(Raw_Data!D265))="New Delhi",PROPER(TRIM(Raw_Data!D265))="Delhi"),"Delhi",PROPER(TRIM(Raw_Data!D265)))))</f>
        <v/>
      </c>
      <c r="E274" s="48">
        <f>Raw_Data!E265</f>
        <v/>
      </c>
      <c r="F274" s="48">
        <f>IF(TRIM(Raw_Data!F265&amp;"")="","Not Specified",Raw_Data!F265)</f>
        <v/>
      </c>
      <c r="G274" s="48">
        <f>Raw_Data!G265</f>
        <v/>
      </c>
      <c r="H274" s="48">
        <f>Raw_Data!H265</f>
        <v/>
      </c>
      <c r="I274" s="49">
        <f>IF(Raw_Data!I265="","",Raw_Data!I265)</f>
        <v/>
      </c>
      <c r="J274" s="49">
        <f>IF(Raw_Data!J265="","",Raw_Data!J265)</f>
        <v/>
      </c>
      <c r="K274" s="48">
        <f>IF(TRIM(Raw_Data!K265&amp;"")="","Not Specified",Raw_Data!K265)</f>
        <v/>
      </c>
      <c r="L274" s="56">
        <f>Raw_Data!L265</f>
        <v/>
      </c>
      <c r="M274" s="49">
        <f>IF(OR(I274="",J274=""),"",(I274+J274)/2)</f>
        <v/>
      </c>
      <c r="N274" s="49">
        <f>IF(OR(I274="",J274=""),"",J274-I274)</f>
        <v/>
      </c>
      <c r="O274" s="48">
        <f>TEXT(L274,"mmm-yyyy")</f>
        <v/>
      </c>
      <c r="P274" s="48">
        <f>_xlfn.IFS(ISNUMBER(SEARCH("data analy",B274)),"Data Analyst",ISNUMBER(SEARCH("business analy",B274)),"Business Analyst",OR(ISNUMBER(SEARCH("developer",B274)),ISNUMBER(SEARCH("software engineer",B274)),ISNUMBER(SEARCH("programmer",B274))),"Software Developer",ISNUMBER(SEARCH("business development",B274)),"Business Development",ISNUMBER(SEARCH("sales",B274)),"Sales Executive",ISNUMBER(SEARCH("marketing",B274)),"Marketing Executive",OR(ISNUMBER(SEARCH("hr ",B274)),ISNUMBER(SEARCH("recruit",B274)),ISNUMBER(SEARCH("human resource",B274))),"HR / Recruiter",OR(ISNUMBER(SEARCH("account",B274)),ISNUMBER(SEARCH("finance",B274)),ISNUMBER(SEARCH("tax",B274)),ISNUMBER(SEARCH("audit",B274))),"Accountant / Finance",OR(ISNUMBER(SEARCH("customer service",B274)),ISNUMBER(SEARCH("customer support",B274)),ISNUMBER(SEARCH("customer care",B274)),ISNUMBER(SEARCH("voice process",B274)),ISNUMBER(SEARCH("bpo",B274))),"Customer Support",ISNUMBER(SEARCH("engineer",B274)),"Engineer (Technical)",ISNUMBER(SEARCH("manager",B274)),"Manager",OR(ISNUMBER(SEARCH("teacher",B274)),ISNUMBER(SEARCH("trainer",B274)),ISNUMBER(SEARCH("faculty",B274))),"Teacher / Trainer",OR(ISNUMBER(SEARCH("doctor",B274)),ISNUMBER(SEARCH("nurse",B274)),ISNUMBER(SEARCH("medical",B274)),ISNUMBER(SEARCH("pharma",B274)),ISNUMBER(SEARCH("clinical",B274))),"Healthcare",TRUE,"Other")</f>
        <v/>
      </c>
      <c r="Q274" s="48">
        <f>IF(COUNTIFS($B$11:B274,B274,$C$11:C274,C274,$D$11:D274,D274,$L$11:L274,L274)&gt;1,"Duplicate","Unique")</f>
        <v/>
      </c>
    </row>
    <row r="275">
      <c r="A275" s="48">
        <f>Raw_Data!A266</f>
        <v/>
      </c>
      <c r="B275" s="48">
        <f>PROPER(TRIM(Raw_Data!B266))</f>
        <v/>
      </c>
      <c r="C275" s="48">
        <f>TRIM(Raw_Data!C266)</f>
        <v/>
      </c>
      <c r="D275" s="48">
        <f>IF(PROPER(TRIM(Raw_Data!D266))="Bangalore","Bengaluru",IF(PROPER(TRIM(Raw_Data!D266))="Gurgaon","Gurugram",IF(OR(PROPER(TRIM(Raw_Data!D266))="New Delhi",PROPER(TRIM(Raw_Data!D266))="Delhi"),"Delhi",PROPER(TRIM(Raw_Data!D266)))))</f>
        <v/>
      </c>
      <c r="E275" s="48">
        <f>Raw_Data!E266</f>
        <v/>
      </c>
      <c r="F275" s="48">
        <f>IF(TRIM(Raw_Data!F266&amp;"")="","Not Specified",Raw_Data!F266)</f>
        <v/>
      </c>
      <c r="G275" s="48">
        <f>Raw_Data!G266</f>
        <v/>
      </c>
      <c r="H275" s="48">
        <f>Raw_Data!H266</f>
        <v/>
      </c>
      <c r="I275" s="49">
        <f>IF(Raw_Data!I266="","",Raw_Data!I266)</f>
        <v/>
      </c>
      <c r="J275" s="49">
        <f>IF(Raw_Data!J266="","",Raw_Data!J266)</f>
        <v/>
      </c>
      <c r="K275" s="48">
        <f>IF(TRIM(Raw_Data!K266&amp;"")="","Not Specified",Raw_Data!K266)</f>
        <v/>
      </c>
      <c r="L275" s="56">
        <f>Raw_Data!L266</f>
        <v/>
      </c>
      <c r="M275" s="49">
        <f>IF(OR(I275="",J275=""),"",(I275+J275)/2)</f>
        <v/>
      </c>
      <c r="N275" s="49">
        <f>IF(OR(I275="",J275=""),"",J275-I275)</f>
        <v/>
      </c>
      <c r="O275" s="48">
        <f>TEXT(L275,"mmm-yyyy")</f>
        <v/>
      </c>
      <c r="P275" s="48">
        <f>_xlfn.IFS(ISNUMBER(SEARCH("data analy",B275)),"Data Analyst",ISNUMBER(SEARCH("business analy",B275)),"Business Analyst",OR(ISNUMBER(SEARCH("developer",B275)),ISNUMBER(SEARCH("software engineer",B275)),ISNUMBER(SEARCH("programmer",B275))),"Software Developer",ISNUMBER(SEARCH("business development",B275)),"Business Development",ISNUMBER(SEARCH("sales",B275)),"Sales Executive",ISNUMBER(SEARCH("marketing",B275)),"Marketing Executive",OR(ISNUMBER(SEARCH("hr ",B275)),ISNUMBER(SEARCH("recruit",B275)),ISNUMBER(SEARCH("human resource",B275))),"HR / Recruiter",OR(ISNUMBER(SEARCH("account",B275)),ISNUMBER(SEARCH("finance",B275)),ISNUMBER(SEARCH("tax",B275)),ISNUMBER(SEARCH("audit",B275))),"Accountant / Finance",OR(ISNUMBER(SEARCH("customer service",B275)),ISNUMBER(SEARCH("customer support",B275)),ISNUMBER(SEARCH("customer care",B275)),ISNUMBER(SEARCH("voice process",B275)),ISNUMBER(SEARCH("bpo",B275))),"Customer Support",ISNUMBER(SEARCH("engineer",B275)),"Engineer (Technical)",ISNUMBER(SEARCH("manager",B275)),"Manager",OR(ISNUMBER(SEARCH("teacher",B275)),ISNUMBER(SEARCH("trainer",B275)),ISNUMBER(SEARCH("faculty",B275))),"Teacher / Trainer",OR(ISNUMBER(SEARCH("doctor",B275)),ISNUMBER(SEARCH("nurse",B275)),ISNUMBER(SEARCH("medical",B275)),ISNUMBER(SEARCH("pharma",B275)),ISNUMBER(SEARCH("clinical",B275))),"Healthcare",TRUE,"Other")</f>
        <v/>
      </c>
      <c r="Q275" s="48">
        <f>IF(COUNTIFS($B$11:B275,B275,$C$11:C275,C275,$D$11:D275,D275,$L$11:L275,L275)&gt;1,"Duplicate","Unique")</f>
        <v/>
      </c>
    </row>
    <row r="276">
      <c r="A276" s="48">
        <f>Raw_Data!A267</f>
        <v/>
      </c>
      <c r="B276" s="48">
        <f>PROPER(TRIM(Raw_Data!B267))</f>
        <v/>
      </c>
      <c r="C276" s="48">
        <f>TRIM(Raw_Data!C267)</f>
        <v/>
      </c>
      <c r="D276" s="48">
        <f>IF(PROPER(TRIM(Raw_Data!D267))="Bangalore","Bengaluru",IF(PROPER(TRIM(Raw_Data!D267))="Gurgaon","Gurugram",IF(OR(PROPER(TRIM(Raw_Data!D267))="New Delhi",PROPER(TRIM(Raw_Data!D267))="Delhi"),"Delhi",PROPER(TRIM(Raw_Data!D267)))))</f>
        <v/>
      </c>
      <c r="E276" s="48">
        <f>Raw_Data!E267</f>
        <v/>
      </c>
      <c r="F276" s="48">
        <f>IF(TRIM(Raw_Data!F267&amp;"")="","Not Specified",Raw_Data!F267)</f>
        <v/>
      </c>
      <c r="G276" s="48">
        <f>Raw_Data!G267</f>
        <v/>
      </c>
      <c r="H276" s="48">
        <f>Raw_Data!H267</f>
        <v/>
      </c>
      <c r="I276" s="49">
        <f>IF(Raw_Data!I267="","",Raw_Data!I267)</f>
        <v/>
      </c>
      <c r="J276" s="49">
        <f>IF(Raw_Data!J267="","",Raw_Data!J267)</f>
        <v/>
      </c>
      <c r="K276" s="48">
        <f>IF(TRIM(Raw_Data!K267&amp;"")="","Not Specified",Raw_Data!K267)</f>
        <v/>
      </c>
      <c r="L276" s="56">
        <f>Raw_Data!L267</f>
        <v/>
      </c>
      <c r="M276" s="49">
        <f>IF(OR(I276="",J276=""),"",(I276+J276)/2)</f>
        <v/>
      </c>
      <c r="N276" s="49">
        <f>IF(OR(I276="",J276=""),"",J276-I276)</f>
        <v/>
      </c>
      <c r="O276" s="48">
        <f>TEXT(L276,"mmm-yyyy")</f>
        <v/>
      </c>
      <c r="P276" s="48">
        <f>_xlfn.IFS(ISNUMBER(SEARCH("data analy",B276)),"Data Analyst",ISNUMBER(SEARCH("business analy",B276)),"Business Analyst",OR(ISNUMBER(SEARCH("developer",B276)),ISNUMBER(SEARCH("software engineer",B276)),ISNUMBER(SEARCH("programmer",B276))),"Software Developer",ISNUMBER(SEARCH("business development",B276)),"Business Development",ISNUMBER(SEARCH("sales",B276)),"Sales Executive",ISNUMBER(SEARCH("marketing",B276)),"Marketing Executive",OR(ISNUMBER(SEARCH("hr ",B276)),ISNUMBER(SEARCH("recruit",B276)),ISNUMBER(SEARCH("human resource",B276))),"HR / Recruiter",OR(ISNUMBER(SEARCH("account",B276)),ISNUMBER(SEARCH("finance",B276)),ISNUMBER(SEARCH("tax",B276)),ISNUMBER(SEARCH("audit",B276))),"Accountant / Finance",OR(ISNUMBER(SEARCH("customer service",B276)),ISNUMBER(SEARCH("customer support",B276)),ISNUMBER(SEARCH("customer care",B276)),ISNUMBER(SEARCH("voice process",B276)),ISNUMBER(SEARCH("bpo",B276))),"Customer Support",ISNUMBER(SEARCH("engineer",B276)),"Engineer (Technical)",ISNUMBER(SEARCH("manager",B276)),"Manager",OR(ISNUMBER(SEARCH("teacher",B276)),ISNUMBER(SEARCH("trainer",B276)),ISNUMBER(SEARCH("faculty",B276))),"Teacher / Trainer",OR(ISNUMBER(SEARCH("doctor",B276)),ISNUMBER(SEARCH("nurse",B276)),ISNUMBER(SEARCH("medical",B276)),ISNUMBER(SEARCH("pharma",B276)),ISNUMBER(SEARCH("clinical",B276))),"Healthcare",TRUE,"Other")</f>
        <v/>
      </c>
      <c r="Q276" s="48">
        <f>IF(COUNTIFS($B$11:B276,B276,$C$11:C276,C276,$D$11:D276,D276,$L$11:L276,L276)&gt;1,"Duplicate","Unique")</f>
        <v/>
      </c>
    </row>
    <row r="277">
      <c r="A277" s="48">
        <f>Raw_Data!A268</f>
        <v/>
      </c>
      <c r="B277" s="48">
        <f>PROPER(TRIM(Raw_Data!B268))</f>
        <v/>
      </c>
      <c r="C277" s="48">
        <f>TRIM(Raw_Data!C268)</f>
        <v/>
      </c>
      <c r="D277" s="48">
        <f>IF(PROPER(TRIM(Raw_Data!D268))="Bangalore","Bengaluru",IF(PROPER(TRIM(Raw_Data!D268))="Gurgaon","Gurugram",IF(OR(PROPER(TRIM(Raw_Data!D268))="New Delhi",PROPER(TRIM(Raw_Data!D268))="Delhi"),"Delhi",PROPER(TRIM(Raw_Data!D268)))))</f>
        <v/>
      </c>
      <c r="E277" s="48">
        <f>Raw_Data!E268</f>
        <v/>
      </c>
      <c r="F277" s="48">
        <f>IF(TRIM(Raw_Data!F268&amp;"")="","Not Specified",Raw_Data!F268)</f>
        <v/>
      </c>
      <c r="G277" s="48">
        <f>Raw_Data!G268</f>
        <v/>
      </c>
      <c r="H277" s="48">
        <f>Raw_Data!H268</f>
        <v/>
      </c>
      <c r="I277" s="49">
        <f>IF(Raw_Data!I268="","",Raw_Data!I268)</f>
        <v/>
      </c>
      <c r="J277" s="49">
        <f>IF(Raw_Data!J268="","",Raw_Data!J268)</f>
        <v/>
      </c>
      <c r="K277" s="48">
        <f>IF(TRIM(Raw_Data!K268&amp;"")="","Not Specified",Raw_Data!K268)</f>
        <v/>
      </c>
      <c r="L277" s="56">
        <f>Raw_Data!L268</f>
        <v/>
      </c>
      <c r="M277" s="49">
        <f>IF(OR(I277="",J277=""),"",(I277+J277)/2)</f>
        <v/>
      </c>
      <c r="N277" s="49">
        <f>IF(OR(I277="",J277=""),"",J277-I277)</f>
        <v/>
      </c>
      <c r="O277" s="48">
        <f>TEXT(L277,"mmm-yyyy")</f>
        <v/>
      </c>
      <c r="P277" s="48">
        <f>_xlfn.IFS(ISNUMBER(SEARCH("data analy",B277)),"Data Analyst",ISNUMBER(SEARCH("business analy",B277)),"Business Analyst",OR(ISNUMBER(SEARCH("developer",B277)),ISNUMBER(SEARCH("software engineer",B277)),ISNUMBER(SEARCH("programmer",B277))),"Software Developer",ISNUMBER(SEARCH("business development",B277)),"Business Development",ISNUMBER(SEARCH("sales",B277)),"Sales Executive",ISNUMBER(SEARCH("marketing",B277)),"Marketing Executive",OR(ISNUMBER(SEARCH("hr ",B277)),ISNUMBER(SEARCH("recruit",B277)),ISNUMBER(SEARCH("human resource",B277))),"HR / Recruiter",OR(ISNUMBER(SEARCH("account",B277)),ISNUMBER(SEARCH("finance",B277)),ISNUMBER(SEARCH("tax",B277)),ISNUMBER(SEARCH("audit",B277))),"Accountant / Finance",OR(ISNUMBER(SEARCH("customer service",B277)),ISNUMBER(SEARCH("customer support",B277)),ISNUMBER(SEARCH("customer care",B277)),ISNUMBER(SEARCH("voice process",B277)),ISNUMBER(SEARCH("bpo",B277))),"Customer Support",ISNUMBER(SEARCH("engineer",B277)),"Engineer (Technical)",ISNUMBER(SEARCH("manager",B277)),"Manager",OR(ISNUMBER(SEARCH("teacher",B277)),ISNUMBER(SEARCH("trainer",B277)),ISNUMBER(SEARCH("faculty",B277))),"Teacher / Trainer",OR(ISNUMBER(SEARCH("doctor",B277)),ISNUMBER(SEARCH("nurse",B277)),ISNUMBER(SEARCH("medical",B277)),ISNUMBER(SEARCH("pharma",B277)),ISNUMBER(SEARCH("clinical",B277))),"Healthcare",TRUE,"Other")</f>
        <v/>
      </c>
      <c r="Q277" s="48">
        <f>IF(COUNTIFS($B$11:B277,B277,$C$11:C277,C277,$D$11:D277,D277,$L$11:L277,L277)&gt;1,"Duplicate","Unique")</f>
        <v/>
      </c>
    </row>
    <row r="278">
      <c r="A278" s="48">
        <f>Raw_Data!A269</f>
        <v/>
      </c>
      <c r="B278" s="48">
        <f>PROPER(TRIM(Raw_Data!B269))</f>
        <v/>
      </c>
      <c r="C278" s="48">
        <f>TRIM(Raw_Data!C269)</f>
        <v/>
      </c>
      <c r="D278" s="48">
        <f>IF(PROPER(TRIM(Raw_Data!D269))="Bangalore","Bengaluru",IF(PROPER(TRIM(Raw_Data!D269))="Gurgaon","Gurugram",IF(OR(PROPER(TRIM(Raw_Data!D269))="New Delhi",PROPER(TRIM(Raw_Data!D269))="Delhi"),"Delhi",PROPER(TRIM(Raw_Data!D269)))))</f>
        <v/>
      </c>
      <c r="E278" s="48">
        <f>Raw_Data!E269</f>
        <v/>
      </c>
      <c r="F278" s="48">
        <f>IF(TRIM(Raw_Data!F269&amp;"")="","Not Specified",Raw_Data!F269)</f>
        <v/>
      </c>
      <c r="G278" s="48">
        <f>Raw_Data!G269</f>
        <v/>
      </c>
      <c r="H278" s="48">
        <f>Raw_Data!H269</f>
        <v/>
      </c>
      <c r="I278" s="49">
        <f>IF(Raw_Data!I269="","",Raw_Data!I269)</f>
        <v/>
      </c>
      <c r="J278" s="49">
        <f>IF(Raw_Data!J269="","",Raw_Data!J269)</f>
        <v/>
      </c>
      <c r="K278" s="48">
        <f>IF(TRIM(Raw_Data!K269&amp;"")="","Not Specified",Raw_Data!K269)</f>
        <v/>
      </c>
      <c r="L278" s="56">
        <f>Raw_Data!L269</f>
        <v/>
      </c>
      <c r="M278" s="49">
        <f>IF(OR(I278="",J278=""),"",(I278+J278)/2)</f>
        <v/>
      </c>
      <c r="N278" s="49">
        <f>IF(OR(I278="",J278=""),"",J278-I278)</f>
        <v/>
      </c>
      <c r="O278" s="48">
        <f>TEXT(L278,"mmm-yyyy")</f>
        <v/>
      </c>
      <c r="P278" s="48">
        <f>_xlfn.IFS(ISNUMBER(SEARCH("data analy",B278)),"Data Analyst",ISNUMBER(SEARCH("business analy",B278)),"Business Analyst",OR(ISNUMBER(SEARCH("developer",B278)),ISNUMBER(SEARCH("software engineer",B278)),ISNUMBER(SEARCH("programmer",B278))),"Software Developer",ISNUMBER(SEARCH("business development",B278)),"Business Development",ISNUMBER(SEARCH("sales",B278)),"Sales Executive",ISNUMBER(SEARCH("marketing",B278)),"Marketing Executive",OR(ISNUMBER(SEARCH("hr ",B278)),ISNUMBER(SEARCH("recruit",B278)),ISNUMBER(SEARCH("human resource",B278))),"HR / Recruiter",OR(ISNUMBER(SEARCH("account",B278)),ISNUMBER(SEARCH("finance",B278)),ISNUMBER(SEARCH("tax",B278)),ISNUMBER(SEARCH("audit",B278))),"Accountant / Finance",OR(ISNUMBER(SEARCH("customer service",B278)),ISNUMBER(SEARCH("customer support",B278)),ISNUMBER(SEARCH("customer care",B278)),ISNUMBER(SEARCH("voice process",B278)),ISNUMBER(SEARCH("bpo",B278))),"Customer Support",ISNUMBER(SEARCH("engineer",B278)),"Engineer (Technical)",ISNUMBER(SEARCH("manager",B278)),"Manager",OR(ISNUMBER(SEARCH("teacher",B278)),ISNUMBER(SEARCH("trainer",B278)),ISNUMBER(SEARCH("faculty",B278))),"Teacher / Trainer",OR(ISNUMBER(SEARCH("doctor",B278)),ISNUMBER(SEARCH("nurse",B278)),ISNUMBER(SEARCH("medical",B278)),ISNUMBER(SEARCH("pharma",B278)),ISNUMBER(SEARCH("clinical",B278))),"Healthcare",TRUE,"Other")</f>
        <v/>
      </c>
      <c r="Q278" s="48">
        <f>IF(COUNTIFS($B$11:B278,B278,$C$11:C278,C278,$D$11:D278,D278,$L$11:L278,L278)&gt;1,"Duplicate","Unique")</f>
        <v/>
      </c>
    </row>
    <row r="279">
      <c r="A279" s="48">
        <f>Raw_Data!A270</f>
        <v/>
      </c>
      <c r="B279" s="48">
        <f>PROPER(TRIM(Raw_Data!B270))</f>
        <v/>
      </c>
      <c r="C279" s="48">
        <f>TRIM(Raw_Data!C270)</f>
        <v/>
      </c>
      <c r="D279" s="48">
        <f>IF(PROPER(TRIM(Raw_Data!D270))="Bangalore","Bengaluru",IF(PROPER(TRIM(Raw_Data!D270))="Gurgaon","Gurugram",IF(OR(PROPER(TRIM(Raw_Data!D270))="New Delhi",PROPER(TRIM(Raw_Data!D270))="Delhi"),"Delhi",PROPER(TRIM(Raw_Data!D270)))))</f>
        <v/>
      </c>
      <c r="E279" s="48">
        <f>Raw_Data!E270</f>
        <v/>
      </c>
      <c r="F279" s="48">
        <f>IF(TRIM(Raw_Data!F270&amp;"")="","Not Specified",Raw_Data!F270)</f>
        <v/>
      </c>
      <c r="G279" s="48">
        <f>Raw_Data!G270</f>
        <v/>
      </c>
      <c r="H279" s="48">
        <f>Raw_Data!H270</f>
        <v/>
      </c>
      <c r="I279" s="49">
        <f>IF(Raw_Data!I270="","",Raw_Data!I270)</f>
        <v/>
      </c>
      <c r="J279" s="49">
        <f>IF(Raw_Data!J270="","",Raw_Data!J270)</f>
        <v/>
      </c>
      <c r="K279" s="48">
        <f>IF(TRIM(Raw_Data!K270&amp;"")="","Not Specified",Raw_Data!K270)</f>
        <v/>
      </c>
      <c r="L279" s="56">
        <f>Raw_Data!L270</f>
        <v/>
      </c>
      <c r="M279" s="49">
        <f>IF(OR(I279="",J279=""),"",(I279+J279)/2)</f>
        <v/>
      </c>
      <c r="N279" s="49">
        <f>IF(OR(I279="",J279=""),"",J279-I279)</f>
        <v/>
      </c>
      <c r="O279" s="48">
        <f>TEXT(L279,"mmm-yyyy")</f>
        <v/>
      </c>
      <c r="P279" s="48">
        <f>_xlfn.IFS(ISNUMBER(SEARCH("data analy",B279)),"Data Analyst",ISNUMBER(SEARCH("business analy",B279)),"Business Analyst",OR(ISNUMBER(SEARCH("developer",B279)),ISNUMBER(SEARCH("software engineer",B279)),ISNUMBER(SEARCH("programmer",B279))),"Software Developer",ISNUMBER(SEARCH("business development",B279)),"Business Development",ISNUMBER(SEARCH("sales",B279)),"Sales Executive",ISNUMBER(SEARCH("marketing",B279)),"Marketing Executive",OR(ISNUMBER(SEARCH("hr ",B279)),ISNUMBER(SEARCH("recruit",B279)),ISNUMBER(SEARCH("human resource",B279))),"HR / Recruiter",OR(ISNUMBER(SEARCH("account",B279)),ISNUMBER(SEARCH("finance",B279)),ISNUMBER(SEARCH("tax",B279)),ISNUMBER(SEARCH("audit",B279))),"Accountant / Finance",OR(ISNUMBER(SEARCH("customer service",B279)),ISNUMBER(SEARCH("customer support",B279)),ISNUMBER(SEARCH("customer care",B279)),ISNUMBER(SEARCH("voice process",B279)),ISNUMBER(SEARCH("bpo",B279))),"Customer Support",ISNUMBER(SEARCH("engineer",B279)),"Engineer (Technical)",ISNUMBER(SEARCH("manager",B279)),"Manager",OR(ISNUMBER(SEARCH("teacher",B279)),ISNUMBER(SEARCH("trainer",B279)),ISNUMBER(SEARCH("faculty",B279))),"Teacher / Trainer",OR(ISNUMBER(SEARCH("doctor",B279)),ISNUMBER(SEARCH("nurse",B279)),ISNUMBER(SEARCH("medical",B279)),ISNUMBER(SEARCH("pharma",B279)),ISNUMBER(SEARCH("clinical",B279))),"Healthcare",TRUE,"Other")</f>
        <v/>
      </c>
      <c r="Q279" s="48">
        <f>IF(COUNTIFS($B$11:B279,B279,$C$11:C279,C279,$D$11:D279,D279,$L$11:L279,L279)&gt;1,"Duplicate","Unique")</f>
        <v/>
      </c>
    </row>
    <row r="280">
      <c r="A280" s="48">
        <f>Raw_Data!A271</f>
        <v/>
      </c>
      <c r="B280" s="48">
        <f>PROPER(TRIM(Raw_Data!B271))</f>
        <v/>
      </c>
      <c r="C280" s="48">
        <f>TRIM(Raw_Data!C271)</f>
        <v/>
      </c>
      <c r="D280" s="48">
        <f>IF(PROPER(TRIM(Raw_Data!D271))="Bangalore","Bengaluru",IF(PROPER(TRIM(Raw_Data!D271))="Gurgaon","Gurugram",IF(OR(PROPER(TRIM(Raw_Data!D271))="New Delhi",PROPER(TRIM(Raw_Data!D271))="Delhi"),"Delhi",PROPER(TRIM(Raw_Data!D271)))))</f>
        <v/>
      </c>
      <c r="E280" s="48">
        <f>Raw_Data!E271</f>
        <v/>
      </c>
      <c r="F280" s="48">
        <f>IF(TRIM(Raw_Data!F271&amp;"")="","Not Specified",Raw_Data!F271)</f>
        <v/>
      </c>
      <c r="G280" s="48">
        <f>Raw_Data!G271</f>
        <v/>
      </c>
      <c r="H280" s="48">
        <f>Raw_Data!H271</f>
        <v/>
      </c>
      <c r="I280" s="49">
        <f>IF(Raw_Data!I271="","",Raw_Data!I271)</f>
        <v/>
      </c>
      <c r="J280" s="49">
        <f>IF(Raw_Data!J271="","",Raw_Data!J271)</f>
        <v/>
      </c>
      <c r="K280" s="48">
        <f>IF(TRIM(Raw_Data!K271&amp;"")="","Not Specified",Raw_Data!K271)</f>
        <v/>
      </c>
      <c r="L280" s="56">
        <f>Raw_Data!L271</f>
        <v/>
      </c>
      <c r="M280" s="49">
        <f>IF(OR(I280="",J280=""),"",(I280+J280)/2)</f>
        <v/>
      </c>
      <c r="N280" s="49">
        <f>IF(OR(I280="",J280=""),"",J280-I280)</f>
        <v/>
      </c>
      <c r="O280" s="48">
        <f>TEXT(L280,"mmm-yyyy")</f>
        <v/>
      </c>
      <c r="P280" s="48">
        <f>_xlfn.IFS(ISNUMBER(SEARCH("data analy",B280)),"Data Analyst",ISNUMBER(SEARCH("business analy",B280)),"Business Analyst",OR(ISNUMBER(SEARCH("developer",B280)),ISNUMBER(SEARCH("software engineer",B280)),ISNUMBER(SEARCH("programmer",B280))),"Software Developer",ISNUMBER(SEARCH("business development",B280)),"Business Development",ISNUMBER(SEARCH("sales",B280)),"Sales Executive",ISNUMBER(SEARCH("marketing",B280)),"Marketing Executive",OR(ISNUMBER(SEARCH("hr ",B280)),ISNUMBER(SEARCH("recruit",B280)),ISNUMBER(SEARCH("human resource",B280))),"HR / Recruiter",OR(ISNUMBER(SEARCH("account",B280)),ISNUMBER(SEARCH("finance",B280)),ISNUMBER(SEARCH("tax",B280)),ISNUMBER(SEARCH("audit",B280))),"Accountant / Finance",OR(ISNUMBER(SEARCH("customer service",B280)),ISNUMBER(SEARCH("customer support",B280)),ISNUMBER(SEARCH("customer care",B280)),ISNUMBER(SEARCH("voice process",B280)),ISNUMBER(SEARCH("bpo",B280))),"Customer Support",ISNUMBER(SEARCH("engineer",B280)),"Engineer (Technical)",ISNUMBER(SEARCH("manager",B280)),"Manager",OR(ISNUMBER(SEARCH("teacher",B280)),ISNUMBER(SEARCH("trainer",B280)),ISNUMBER(SEARCH("faculty",B280))),"Teacher / Trainer",OR(ISNUMBER(SEARCH("doctor",B280)),ISNUMBER(SEARCH("nurse",B280)),ISNUMBER(SEARCH("medical",B280)),ISNUMBER(SEARCH("pharma",B280)),ISNUMBER(SEARCH("clinical",B280))),"Healthcare",TRUE,"Other")</f>
        <v/>
      </c>
      <c r="Q280" s="48">
        <f>IF(COUNTIFS($B$11:B280,B280,$C$11:C280,C280,$D$11:D280,D280,$L$11:L280,L280)&gt;1,"Duplicate","Unique")</f>
        <v/>
      </c>
    </row>
    <row r="281">
      <c r="A281" s="48">
        <f>Raw_Data!A272</f>
        <v/>
      </c>
      <c r="B281" s="48">
        <f>PROPER(TRIM(Raw_Data!B272))</f>
        <v/>
      </c>
      <c r="C281" s="48">
        <f>TRIM(Raw_Data!C272)</f>
        <v/>
      </c>
      <c r="D281" s="48">
        <f>IF(PROPER(TRIM(Raw_Data!D272))="Bangalore","Bengaluru",IF(PROPER(TRIM(Raw_Data!D272))="Gurgaon","Gurugram",IF(OR(PROPER(TRIM(Raw_Data!D272))="New Delhi",PROPER(TRIM(Raw_Data!D272))="Delhi"),"Delhi",PROPER(TRIM(Raw_Data!D272)))))</f>
        <v/>
      </c>
      <c r="E281" s="48">
        <f>Raw_Data!E272</f>
        <v/>
      </c>
      <c r="F281" s="48">
        <f>IF(TRIM(Raw_Data!F272&amp;"")="","Not Specified",Raw_Data!F272)</f>
        <v/>
      </c>
      <c r="G281" s="48">
        <f>Raw_Data!G272</f>
        <v/>
      </c>
      <c r="H281" s="48">
        <f>Raw_Data!H272</f>
        <v/>
      </c>
      <c r="I281" s="49">
        <f>IF(Raw_Data!I272="","",Raw_Data!I272)</f>
        <v/>
      </c>
      <c r="J281" s="49">
        <f>IF(Raw_Data!J272="","",Raw_Data!J272)</f>
        <v/>
      </c>
      <c r="K281" s="48">
        <f>IF(TRIM(Raw_Data!K272&amp;"")="","Not Specified",Raw_Data!K272)</f>
        <v/>
      </c>
      <c r="L281" s="56">
        <f>Raw_Data!L272</f>
        <v/>
      </c>
      <c r="M281" s="49">
        <f>IF(OR(I281="",J281=""),"",(I281+J281)/2)</f>
        <v/>
      </c>
      <c r="N281" s="49">
        <f>IF(OR(I281="",J281=""),"",J281-I281)</f>
        <v/>
      </c>
      <c r="O281" s="48">
        <f>TEXT(L281,"mmm-yyyy")</f>
        <v/>
      </c>
      <c r="P281" s="48">
        <f>_xlfn.IFS(ISNUMBER(SEARCH("data analy",B281)),"Data Analyst",ISNUMBER(SEARCH("business analy",B281)),"Business Analyst",OR(ISNUMBER(SEARCH("developer",B281)),ISNUMBER(SEARCH("software engineer",B281)),ISNUMBER(SEARCH("programmer",B281))),"Software Developer",ISNUMBER(SEARCH("business development",B281)),"Business Development",ISNUMBER(SEARCH("sales",B281)),"Sales Executive",ISNUMBER(SEARCH("marketing",B281)),"Marketing Executive",OR(ISNUMBER(SEARCH("hr ",B281)),ISNUMBER(SEARCH("recruit",B281)),ISNUMBER(SEARCH("human resource",B281))),"HR / Recruiter",OR(ISNUMBER(SEARCH("account",B281)),ISNUMBER(SEARCH("finance",B281)),ISNUMBER(SEARCH("tax",B281)),ISNUMBER(SEARCH("audit",B281))),"Accountant / Finance",OR(ISNUMBER(SEARCH("customer service",B281)),ISNUMBER(SEARCH("customer support",B281)),ISNUMBER(SEARCH("customer care",B281)),ISNUMBER(SEARCH("voice process",B281)),ISNUMBER(SEARCH("bpo",B281))),"Customer Support",ISNUMBER(SEARCH("engineer",B281)),"Engineer (Technical)",ISNUMBER(SEARCH("manager",B281)),"Manager",OR(ISNUMBER(SEARCH("teacher",B281)),ISNUMBER(SEARCH("trainer",B281)),ISNUMBER(SEARCH("faculty",B281))),"Teacher / Trainer",OR(ISNUMBER(SEARCH("doctor",B281)),ISNUMBER(SEARCH("nurse",B281)),ISNUMBER(SEARCH("medical",B281)),ISNUMBER(SEARCH("pharma",B281)),ISNUMBER(SEARCH("clinical",B281))),"Healthcare",TRUE,"Other")</f>
        <v/>
      </c>
      <c r="Q281" s="48">
        <f>IF(COUNTIFS($B$11:B281,B281,$C$11:C281,C281,$D$11:D281,D281,$L$11:L281,L281)&gt;1,"Duplicate","Unique")</f>
        <v/>
      </c>
    </row>
    <row r="282">
      <c r="A282" s="48">
        <f>Raw_Data!A273</f>
        <v/>
      </c>
      <c r="B282" s="48">
        <f>PROPER(TRIM(Raw_Data!B273))</f>
        <v/>
      </c>
      <c r="C282" s="48">
        <f>TRIM(Raw_Data!C273)</f>
        <v/>
      </c>
      <c r="D282" s="48">
        <f>IF(PROPER(TRIM(Raw_Data!D273))="Bangalore","Bengaluru",IF(PROPER(TRIM(Raw_Data!D273))="Gurgaon","Gurugram",IF(OR(PROPER(TRIM(Raw_Data!D273))="New Delhi",PROPER(TRIM(Raw_Data!D273))="Delhi"),"Delhi",PROPER(TRIM(Raw_Data!D273)))))</f>
        <v/>
      </c>
      <c r="E282" s="48">
        <f>Raw_Data!E273</f>
        <v/>
      </c>
      <c r="F282" s="48">
        <f>IF(TRIM(Raw_Data!F273&amp;"")="","Not Specified",Raw_Data!F273)</f>
        <v/>
      </c>
      <c r="G282" s="48">
        <f>Raw_Data!G273</f>
        <v/>
      </c>
      <c r="H282" s="48">
        <f>Raw_Data!H273</f>
        <v/>
      </c>
      <c r="I282" s="49">
        <f>IF(Raw_Data!I273="","",Raw_Data!I273)</f>
        <v/>
      </c>
      <c r="J282" s="49">
        <f>IF(Raw_Data!J273="","",Raw_Data!J273)</f>
        <v/>
      </c>
      <c r="K282" s="48">
        <f>IF(TRIM(Raw_Data!K273&amp;"")="","Not Specified",Raw_Data!K273)</f>
        <v/>
      </c>
      <c r="L282" s="56">
        <f>Raw_Data!L273</f>
        <v/>
      </c>
      <c r="M282" s="49">
        <f>IF(OR(I282="",J282=""),"",(I282+J282)/2)</f>
        <v/>
      </c>
      <c r="N282" s="49">
        <f>IF(OR(I282="",J282=""),"",J282-I282)</f>
        <v/>
      </c>
      <c r="O282" s="48">
        <f>TEXT(L282,"mmm-yyyy")</f>
        <v/>
      </c>
      <c r="P282" s="48">
        <f>_xlfn.IFS(ISNUMBER(SEARCH("data analy",B282)),"Data Analyst",ISNUMBER(SEARCH("business analy",B282)),"Business Analyst",OR(ISNUMBER(SEARCH("developer",B282)),ISNUMBER(SEARCH("software engineer",B282)),ISNUMBER(SEARCH("programmer",B282))),"Software Developer",ISNUMBER(SEARCH("business development",B282)),"Business Development",ISNUMBER(SEARCH("sales",B282)),"Sales Executive",ISNUMBER(SEARCH("marketing",B282)),"Marketing Executive",OR(ISNUMBER(SEARCH("hr ",B282)),ISNUMBER(SEARCH("recruit",B282)),ISNUMBER(SEARCH("human resource",B282))),"HR / Recruiter",OR(ISNUMBER(SEARCH("account",B282)),ISNUMBER(SEARCH("finance",B282)),ISNUMBER(SEARCH("tax",B282)),ISNUMBER(SEARCH("audit",B282))),"Accountant / Finance",OR(ISNUMBER(SEARCH("customer service",B282)),ISNUMBER(SEARCH("customer support",B282)),ISNUMBER(SEARCH("customer care",B282)),ISNUMBER(SEARCH("voice process",B282)),ISNUMBER(SEARCH("bpo",B282))),"Customer Support",ISNUMBER(SEARCH("engineer",B282)),"Engineer (Technical)",ISNUMBER(SEARCH("manager",B282)),"Manager",OR(ISNUMBER(SEARCH("teacher",B282)),ISNUMBER(SEARCH("trainer",B282)),ISNUMBER(SEARCH("faculty",B282))),"Teacher / Trainer",OR(ISNUMBER(SEARCH("doctor",B282)),ISNUMBER(SEARCH("nurse",B282)),ISNUMBER(SEARCH("medical",B282)),ISNUMBER(SEARCH("pharma",B282)),ISNUMBER(SEARCH("clinical",B282))),"Healthcare",TRUE,"Other")</f>
        <v/>
      </c>
      <c r="Q282" s="48">
        <f>IF(COUNTIFS($B$11:B282,B282,$C$11:C282,C282,$D$11:D282,D282,$L$11:L282,L282)&gt;1,"Duplicate","Unique")</f>
        <v/>
      </c>
    </row>
    <row r="283">
      <c r="A283" s="48">
        <f>Raw_Data!A274</f>
        <v/>
      </c>
      <c r="B283" s="48">
        <f>PROPER(TRIM(Raw_Data!B274))</f>
        <v/>
      </c>
      <c r="C283" s="48">
        <f>TRIM(Raw_Data!C274)</f>
        <v/>
      </c>
      <c r="D283" s="48">
        <f>IF(PROPER(TRIM(Raw_Data!D274))="Bangalore","Bengaluru",IF(PROPER(TRIM(Raw_Data!D274))="Gurgaon","Gurugram",IF(OR(PROPER(TRIM(Raw_Data!D274))="New Delhi",PROPER(TRIM(Raw_Data!D274))="Delhi"),"Delhi",PROPER(TRIM(Raw_Data!D274)))))</f>
        <v/>
      </c>
      <c r="E283" s="48">
        <f>Raw_Data!E274</f>
        <v/>
      </c>
      <c r="F283" s="48">
        <f>IF(TRIM(Raw_Data!F274&amp;"")="","Not Specified",Raw_Data!F274)</f>
        <v/>
      </c>
      <c r="G283" s="48">
        <f>Raw_Data!G274</f>
        <v/>
      </c>
      <c r="H283" s="48">
        <f>Raw_Data!H274</f>
        <v/>
      </c>
      <c r="I283" s="49">
        <f>IF(Raw_Data!I274="","",Raw_Data!I274)</f>
        <v/>
      </c>
      <c r="J283" s="49">
        <f>IF(Raw_Data!J274="","",Raw_Data!J274)</f>
        <v/>
      </c>
      <c r="K283" s="48">
        <f>IF(TRIM(Raw_Data!K274&amp;"")="","Not Specified",Raw_Data!K274)</f>
        <v/>
      </c>
      <c r="L283" s="56">
        <f>Raw_Data!L274</f>
        <v/>
      </c>
      <c r="M283" s="49">
        <f>IF(OR(I283="",J283=""),"",(I283+J283)/2)</f>
        <v/>
      </c>
      <c r="N283" s="49">
        <f>IF(OR(I283="",J283=""),"",J283-I283)</f>
        <v/>
      </c>
      <c r="O283" s="48">
        <f>TEXT(L283,"mmm-yyyy")</f>
        <v/>
      </c>
      <c r="P283" s="48">
        <f>_xlfn.IFS(ISNUMBER(SEARCH("data analy",B283)),"Data Analyst",ISNUMBER(SEARCH("business analy",B283)),"Business Analyst",OR(ISNUMBER(SEARCH("developer",B283)),ISNUMBER(SEARCH("software engineer",B283)),ISNUMBER(SEARCH("programmer",B283))),"Software Developer",ISNUMBER(SEARCH("business development",B283)),"Business Development",ISNUMBER(SEARCH("sales",B283)),"Sales Executive",ISNUMBER(SEARCH("marketing",B283)),"Marketing Executive",OR(ISNUMBER(SEARCH("hr ",B283)),ISNUMBER(SEARCH("recruit",B283)),ISNUMBER(SEARCH("human resource",B283))),"HR / Recruiter",OR(ISNUMBER(SEARCH("account",B283)),ISNUMBER(SEARCH("finance",B283)),ISNUMBER(SEARCH("tax",B283)),ISNUMBER(SEARCH("audit",B283))),"Accountant / Finance",OR(ISNUMBER(SEARCH("customer service",B283)),ISNUMBER(SEARCH("customer support",B283)),ISNUMBER(SEARCH("customer care",B283)),ISNUMBER(SEARCH("voice process",B283)),ISNUMBER(SEARCH("bpo",B283))),"Customer Support",ISNUMBER(SEARCH("engineer",B283)),"Engineer (Technical)",ISNUMBER(SEARCH("manager",B283)),"Manager",OR(ISNUMBER(SEARCH("teacher",B283)),ISNUMBER(SEARCH("trainer",B283)),ISNUMBER(SEARCH("faculty",B283))),"Teacher / Trainer",OR(ISNUMBER(SEARCH("doctor",B283)),ISNUMBER(SEARCH("nurse",B283)),ISNUMBER(SEARCH("medical",B283)),ISNUMBER(SEARCH("pharma",B283)),ISNUMBER(SEARCH("clinical",B283))),"Healthcare",TRUE,"Other")</f>
        <v/>
      </c>
      <c r="Q283" s="48">
        <f>IF(COUNTIFS($B$11:B283,B283,$C$11:C283,C283,$D$11:D283,D283,$L$11:L283,L283)&gt;1,"Duplicate","Unique")</f>
        <v/>
      </c>
    </row>
    <row r="284">
      <c r="A284" s="48">
        <f>Raw_Data!A275</f>
        <v/>
      </c>
      <c r="B284" s="48">
        <f>PROPER(TRIM(Raw_Data!B275))</f>
        <v/>
      </c>
      <c r="C284" s="48">
        <f>TRIM(Raw_Data!C275)</f>
        <v/>
      </c>
      <c r="D284" s="48">
        <f>IF(PROPER(TRIM(Raw_Data!D275))="Bangalore","Bengaluru",IF(PROPER(TRIM(Raw_Data!D275))="Gurgaon","Gurugram",IF(OR(PROPER(TRIM(Raw_Data!D275))="New Delhi",PROPER(TRIM(Raw_Data!D275))="Delhi"),"Delhi",PROPER(TRIM(Raw_Data!D275)))))</f>
        <v/>
      </c>
      <c r="E284" s="48">
        <f>Raw_Data!E275</f>
        <v/>
      </c>
      <c r="F284" s="48">
        <f>IF(TRIM(Raw_Data!F275&amp;"")="","Not Specified",Raw_Data!F275)</f>
        <v/>
      </c>
      <c r="G284" s="48">
        <f>Raw_Data!G275</f>
        <v/>
      </c>
      <c r="H284" s="48">
        <f>Raw_Data!H275</f>
        <v/>
      </c>
      <c r="I284" s="49">
        <f>IF(Raw_Data!I275="","",Raw_Data!I275)</f>
        <v/>
      </c>
      <c r="J284" s="49">
        <f>IF(Raw_Data!J275="","",Raw_Data!J275)</f>
        <v/>
      </c>
      <c r="K284" s="48">
        <f>IF(TRIM(Raw_Data!K275&amp;"")="","Not Specified",Raw_Data!K275)</f>
        <v/>
      </c>
      <c r="L284" s="56">
        <f>Raw_Data!L275</f>
        <v/>
      </c>
      <c r="M284" s="49">
        <f>IF(OR(I284="",J284=""),"",(I284+J284)/2)</f>
        <v/>
      </c>
      <c r="N284" s="49">
        <f>IF(OR(I284="",J284=""),"",J284-I284)</f>
        <v/>
      </c>
      <c r="O284" s="48">
        <f>TEXT(L284,"mmm-yyyy")</f>
        <v/>
      </c>
      <c r="P284" s="48">
        <f>_xlfn.IFS(ISNUMBER(SEARCH("data analy",B284)),"Data Analyst",ISNUMBER(SEARCH("business analy",B284)),"Business Analyst",OR(ISNUMBER(SEARCH("developer",B284)),ISNUMBER(SEARCH("software engineer",B284)),ISNUMBER(SEARCH("programmer",B284))),"Software Developer",ISNUMBER(SEARCH("business development",B284)),"Business Development",ISNUMBER(SEARCH("sales",B284)),"Sales Executive",ISNUMBER(SEARCH("marketing",B284)),"Marketing Executive",OR(ISNUMBER(SEARCH("hr ",B284)),ISNUMBER(SEARCH("recruit",B284)),ISNUMBER(SEARCH("human resource",B284))),"HR / Recruiter",OR(ISNUMBER(SEARCH("account",B284)),ISNUMBER(SEARCH("finance",B284)),ISNUMBER(SEARCH("tax",B284)),ISNUMBER(SEARCH("audit",B284))),"Accountant / Finance",OR(ISNUMBER(SEARCH("customer service",B284)),ISNUMBER(SEARCH("customer support",B284)),ISNUMBER(SEARCH("customer care",B284)),ISNUMBER(SEARCH("voice process",B284)),ISNUMBER(SEARCH("bpo",B284))),"Customer Support",ISNUMBER(SEARCH("engineer",B284)),"Engineer (Technical)",ISNUMBER(SEARCH("manager",B284)),"Manager",OR(ISNUMBER(SEARCH("teacher",B284)),ISNUMBER(SEARCH("trainer",B284)),ISNUMBER(SEARCH("faculty",B284))),"Teacher / Trainer",OR(ISNUMBER(SEARCH("doctor",B284)),ISNUMBER(SEARCH("nurse",B284)),ISNUMBER(SEARCH("medical",B284)),ISNUMBER(SEARCH("pharma",B284)),ISNUMBER(SEARCH("clinical",B284))),"Healthcare",TRUE,"Other")</f>
        <v/>
      </c>
      <c r="Q284" s="48">
        <f>IF(COUNTIFS($B$11:B284,B284,$C$11:C284,C284,$D$11:D284,D284,$L$11:L284,L284)&gt;1,"Duplicate","Unique")</f>
        <v/>
      </c>
    </row>
    <row r="285">
      <c r="A285" s="48">
        <f>Raw_Data!A276</f>
        <v/>
      </c>
      <c r="B285" s="48">
        <f>PROPER(TRIM(Raw_Data!B276))</f>
        <v/>
      </c>
      <c r="C285" s="48">
        <f>TRIM(Raw_Data!C276)</f>
        <v/>
      </c>
      <c r="D285" s="48">
        <f>IF(PROPER(TRIM(Raw_Data!D276))="Bangalore","Bengaluru",IF(PROPER(TRIM(Raw_Data!D276))="Gurgaon","Gurugram",IF(OR(PROPER(TRIM(Raw_Data!D276))="New Delhi",PROPER(TRIM(Raw_Data!D276))="Delhi"),"Delhi",PROPER(TRIM(Raw_Data!D276)))))</f>
        <v/>
      </c>
      <c r="E285" s="48">
        <f>Raw_Data!E276</f>
        <v/>
      </c>
      <c r="F285" s="48">
        <f>IF(TRIM(Raw_Data!F276&amp;"")="","Not Specified",Raw_Data!F276)</f>
        <v/>
      </c>
      <c r="G285" s="48">
        <f>Raw_Data!G276</f>
        <v/>
      </c>
      <c r="H285" s="48">
        <f>Raw_Data!H276</f>
        <v/>
      </c>
      <c r="I285" s="49">
        <f>IF(Raw_Data!I276="","",Raw_Data!I276)</f>
        <v/>
      </c>
      <c r="J285" s="49">
        <f>IF(Raw_Data!J276="","",Raw_Data!J276)</f>
        <v/>
      </c>
      <c r="K285" s="48">
        <f>IF(TRIM(Raw_Data!K276&amp;"")="","Not Specified",Raw_Data!K276)</f>
        <v/>
      </c>
      <c r="L285" s="56">
        <f>Raw_Data!L276</f>
        <v/>
      </c>
      <c r="M285" s="49">
        <f>IF(OR(I285="",J285=""),"",(I285+J285)/2)</f>
        <v/>
      </c>
      <c r="N285" s="49">
        <f>IF(OR(I285="",J285=""),"",J285-I285)</f>
        <v/>
      </c>
      <c r="O285" s="48">
        <f>TEXT(L285,"mmm-yyyy")</f>
        <v/>
      </c>
      <c r="P285" s="48">
        <f>_xlfn.IFS(ISNUMBER(SEARCH("data analy",B285)),"Data Analyst",ISNUMBER(SEARCH("business analy",B285)),"Business Analyst",OR(ISNUMBER(SEARCH("developer",B285)),ISNUMBER(SEARCH("software engineer",B285)),ISNUMBER(SEARCH("programmer",B285))),"Software Developer",ISNUMBER(SEARCH("business development",B285)),"Business Development",ISNUMBER(SEARCH("sales",B285)),"Sales Executive",ISNUMBER(SEARCH("marketing",B285)),"Marketing Executive",OR(ISNUMBER(SEARCH("hr ",B285)),ISNUMBER(SEARCH("recruit",B285)),ISNUMBER(SEARCH("human resource",B285))),"HR / Recruiter",OR(ISNUMBER(SEARCH("account",B285)),ISNUMBER(SEARCH("finance",B285)),ISNUMBER(SEARCH("tax",B285)),ISNUMBER(SEARCH("audit",B285))),"Accountant / Finance",OR(ISNUMBER(SEARCH("customer service",B285)),ISNUMBER(SEARCH("customer support",B285)),ISNUMBER(SEARCH("customer care",B285)),ISNUMBER(SEARCH("voice process",B285)),ISNUMBER(SEARCH("bpo",B285))),"Customer Support",ISNUMBER(SEARCH("engineer",B285)),"Engineer (Technical)",ISNUMBER(SEARCH("manager",B285)),"Manager",OR(ISNUMBER(SEARCH("teacher",B285)),ISNUMBER(SEARCH("trainer",B285)),ISNUMBER(SEARCH("faculty",B285))),"Teacher / Trainer",OR(ISNUMBER(SEARCH("doctor",B285)),ISNUMBER(SEARCH("nurse",B285)),ISNUMBER(SEARCH("medical",B285)),ISNUMBER(SEARCH("pharma",B285)),ISNUMBER(SEARCH("clinical",B285))),"Healthcare",TRUE,"Other")</f>
        <v/>
      </c>
      <c r="Q285" s="48">
        <f>IF(COUNTIFS($B$11:B285,B285,$C$11:C285,C285,$D$11:D285,D285,$L$11:L285,L285)&gt;1,"Duplicate","Unique")</f>
        <v/>
      </c>
    </row>
    <row r="286">
      <c r="A286" s="48">
        <f>Raw_Data!A277</f>
        <v/>
      </c>
      <c r="B286" s="48">
        <f>PROPER(TRIM(Raw_Data!B277))</f>
        <v/>
      </c>
      <c r="C286" s="48">
        <f>TRIM(Raw_Data!C277)</f>
        <v/>
      </c>
      <c r="D286" s="48">
        <f>IF(PROPER(TRIM(Raw_Data!D277))="Bangalore","Bengaluru",IF(PROPER(TRIM(Raw_Data!D277))="Gurgaon","Gurugram",IF(OR(PROPER(TRIM(Raw_Data!D277))="New Delhi",PROPER(TRIM(Raw_Data!D277))="Delhi"),"Delhi",PROPER(TRIM(Raw_Data!D277)))))</f>
        <v/>
      </c>
      <c r="E286" s="48">
        <f>Raw_Data!E277</f>
        <v/>
      </c>
      <c r="F286" s="48">
        <f>IF(TRIM(Raw_Data!F277&amp;"")="","Not Specified",Raw_Data!F277)</f>
        <v/>
      </c>
      <c r="G286" s="48">
        <f>Raw_Data!G277</f>
        <v/>
      </c>
      <c r="H286" s="48">
        <f>Raw_Data!H277</f>
        <v/>
      </c>
      <c r="I286" s="49">
        <f>IF(Raw_Data!I277="","",Raw_Data!I277)</f>
        <v/>
      </c>
      <c r="J286" s="49">
        <f>IF(Raw_Data!J277="","",Raw_Data!J277)</f>
        <v/>
      </c>
      <c r="K286" s="48">
        <f>IF(TRIM(Raw_Data!K277&amp;"")="","Not Specified",Raw_Data!K277)</f>
        <v/>
      </c>
      <c r="L286" s="56">
        <f>Raw_Data!L277</f>
        <v/>
      </c>
      <c r="M286" s="49">
        <f>IF(OR(I286="",J286=""),"",(I286+J286)/2)</f>
        <v/>
      </c>
      <c r="N286" s="49">
        <f>IF(OR(I286="",J286=""),"",J286-I286)</f>
        <v/>
      </c>
      <c r="O286" s="48">
        <f>TEXT(L286,"mmm-yyyy")</f>
        <v/>
      </c>
      <c r="P286" s="48">
        <f>_xlfn.IFS(ISNUMBER(SEARCH("data analy",B286)),"Data Analyst",ISNUMBER(SEARCH("business analy",B286)),"Business Analyst",OR(ISNUMBER(SEARCH("developer",B286)),ISNUMBER(SEARCH("software engineer",B286)),ISNUMBER(SEARCH("programmer",B286))),"Software Developer",ISNUMBER(SEARCH("business development",B286)),"Business Development",ISNUMBER(SEARCH("sales",B286)),"Sales Executive",ISNUMBER(SEARCH("marketing",B286)),"Marketing Executive",OR(ISNUMBER(SEARCH("hr ",B286)),ISNUMBER(SEARCH("recruit",B286)),ISNUMBER(SEARCH("human resource",B286))),"HR / Recruiter",OR(ISNUMBER(SEARCH("account",B286)),ISNUMBER(SEARCH("finance",B286)),ISNUMBER(SEARCH("tax",B286)),ISNUMBER(SEARCH("audit",B286))),"Accountant / Finance",OR(ISNUMBER(SEARCH("customer service",B286)),ISNUMBER(SEARCH("customer support",B286)),ISNUMBER(SEARCH("customer care",B286)),ISNUMBER(SEARCH("voice process",B286)),ISNUMBER(SEARCH("bpo",B286))),"Customer Support",ISNUMBER(SEARCH("engineer",B286)),"Engineer (Technical)",ISNUMBER(SEARCH("manager",B286)),"Manager",OR(ISNUMBER(SEARCH("teacher",B286)),ISNUMBER(SEARCH("trainer",B286)),ISNUMBER(SEARCH("faculty",B286))),"Teacher / Trainer",OR(ISNUMBER(SEARCH("doctor",B286)),ISNUMBER(SEARCH("nurse",B286)),ISNUMBER(SEARCH("medical",B286)),ISNUMBER(SEARCH("pharma",B286)),ISNUMBER(SEARCH("clinical",B286))),"Healthcare",TRUE,"Other")</f>
        <v/>
      </c>
      <c r="Q286" s="48">
        <f>IF(COUNTIFS($B$11:B286,B286,$C$11:C286,C286,$D$11:D286,D286,$L$11:L286,L286)&gt;1,"Duplicate","Unique")</f>
        <v/>
      </c>
    </row>
    <row r="287">
      <c r="A287" s="48">
        <f>Raw_Data!A278</f>
        <v/>
      </c>
      <c r="B287" s="48">
        <f>PROPER(TRIM(Raw_Data!B278))</f>
        <v/>
      </c>
      <c r="C287" s="48">
        <f>TRIM(Raw_Data!C278)</f>
        <v/>
      </c>
      <c r="D287" s="48">
        <f>IF(PROPER(TRIM(Raw_Data!D278))="Bangalore","Bengaluru",IF(PROPER(TRIM(Raw_Data!D278))="Gurgaon","Gurugram",IF(OR(PROPER(TRIM(Raw_Data!D278))="New Delhi",PROPER(TRIM(Raw_Data!D278))="Delhi"),"Delhi",PROPER(TRIM(Raw_Data!D278)))))</f>
        <v/>
      </c>
      <c r="E287" s="48">
        <f>Raw_Data!E278</f>
        <v/>
      </c>
      <c r="F287" s="48">
        <f>IF(TRIM(Raw_Data!F278&amp;"")="","Not Specified",Raw_Data!F278)</f>
        <v/>
      </c>
      <c r="G287" s="48">
        <f>Raw_Data!G278</f>
        <v/>
      </c>
      <c r="H287" s="48">
        <f>Raw_Data!H278</f>
        <v/>
      </c>
      <c r="I287" s="49">
        <f>IF(Raw_Data!I278="","",Raw_Data!I278)</f>
        <v/>
      </c>
      <c r="J287" s="49">
        <f>IF(Raw_Data!J278="","",Raw_Data!J278)</f>
        <v/>
      </c>
      <c r="K287" s="48">
        <f>IF(TRIM(Raw_Data!K278&amp;"")="","Not Specified",Raw_Data!K278)</f>
        <v/>
      </c>
      <c r="L287" s="56">
        <f>Raw_Data!L278</f>
        <v/>
      </c>
      <c r="M287" s="49">
        <f>IF(OR(I287="",J287=""),"",(I287+J287)/2)</f>
        <v/>
      </c>
      <c r="N287" s="49">
        <f>IF(OR(I287="",J287=""),"",J287-I287)</f>
        <v/>
      </c>
      <c r="O287" s="48">
        <f>TEXT(L287,"mmm-yyyy")</f>
        <v/>
      </c>
      <c r="P287" s="48">
        <f>_xlfn.IFS(ISNUMBER(SEARCH("data analy",B287)),"Data Analyst",ISNUMBER(SEARCH("business analy",B287)),"Business Analyst",OR(ISNUMBER(SEARCH("developer",B287)),ISNUMBER(SEARCH("software engineer",B287)),ISNUMBER(SEARCH("programmer",B287))),"Software Developer",ISNUMBER(SEARCH("business development",B287)),"Business Development",ISNUMBER(SEARCH("sales",B287)),"Sales Executive",ISNUMBER(SEARCH("marketing",B287)),"Marketing Executive",OR(ISNUMBER(SEARCH("hr ",B287)),ISNUMBER(SEARCH("recruit",B287)),ISNUMBER(SEARCH("human resource",B287))),"HR / Recruiter",OR(ISNUMBER(SEARCH("account",B287)),ISNUMBER(SEARCH("finance",B287)),ISNUMBER(SEARCH("tax",B287)),ISNUMBER(SEARCH("audit",B287))),"Accountant / Finance",OR(ISNUMBER(SEARCH("customer service",B287)),ISNUMBER(SEARCH("customer support",B287)),ISNUMBER(SEARCH("customer care",B287)),ISNUMBER(SEARCH("voice process",B287)),ISNUMBER(SEARCH("bpo",B287))),"Customer Support",ISNUMBER(SEARCH("engineer",B287)),"Engineer (Technical)",ISNUMBER(SEARCH("manager",B287)),"Manager",OR(ISNUMBER(SEARCH("teacher",B287)),ISNUMBER(SEARCH("trainer",B287)),ISNUMBER(SEARCH("faculty",B287))),"Teacher / Trainer",OR(ISNUMBER(SEARCH("doctor",B287)),ISNUMBER(SEARCH("nurse",B287)),ISNUMBER(SEARCH("medical",B287)),ISNUMBER(SEARCH("pharma",B287)),ISNUMBER(SEARCH("clinical",B287))),"Healthcare",TRUE,"Other")</f>
        <v/>
      </c>
      <c r="Q287" s="48">
        <f>IF(COUNTIFS($B$11:B287,B287,$C$11:C287,C287,$D$11:D287,D287,$L$11:L287,L287)&gt;1,"Duplicate","Unique")</f>
        <v/>
      </c>
    </row>
    <row r="288">
      <c r="A288" s="48">
        <f>Raw_Data!A279</f>
        <v/>
      </c>
      <c r="B288" s="48">
        <f>PROPER(TRIM(Raw_Data!B279))</f>
        <v/>
      </c>
      <c r="C288" s="48">
        <f>TRIM(Raw_Data!C279)</f>
        <v/>
      </c>
      <c r="D288" s="48">
        <f>IF(PROPER(TRIM(Raw_Data!D279))="Bangalore","Bengaluru",IF(PROPER(TRIM(Raw_Data!D279))="Gurgaon","Gurugram",IF(OR(PROPER(TRIM(Raw_Data!D279))="New Delhi",PROPER(TRIM(Raw_Data!D279))="Delhi"),"Delhi",PROPER(TRIM(Raw_Data!D279)))))</f>
        <v/>
      </c>
      <c r="E288" s="48">
        <f>Raw_Data!E279</f>
        <v/>
      </c>
      <c r="F288" s="48">
        <f>IF(TRIM(Raw_Data!F279&amp;"")="","Not Specified",Raw_Data!F279)</f>
        <v/>
      </c>
      <c r="G288" s="48">
        <f>Raw_Data!G279</f>
        <v/>
      </c>
      <c r="H288" s="48">
        <f>Raw_Data!H279</f>
        <v/>
      </c>
      <c r="I288" s="49">
        <f>IF(Raw_Data!I279="","",Raw_Data!I279)</f>
        <v/>
      </c>
      <c r="J288" s="49">
        <f>IF(Raw_Data!J279="","",Raw_Data!J279)</f>
        <v/>
      </c>
      <c r="K288" s="48">
        <f>IF(TRIM(Raw_Data!K279&amp;"")="","Not Specified",Raw_Data!K279)</f>
        <v/>
      </c>
      <c r="L288" s="56">
        <f>Raw_Data!L279</f>
        <v/>
      </c>
      <c r="M288" s="49">
        <f>IF(OR(I288="",J288=""),"",(I288+J288)/2)</f>
        <v/>
      </c>
      <c r="N288" s="49">
        <f>IF(OR(I288="",J288=""),"",J288-I288)</f>
        <v/>
      </c>
      <c r="O288" s="48">
        <f>TEXT(L288,"mmm-yyyy")</f>
        <v/>
      </c>
      <c r="P288" s="48">
        <f>_xlfn.IFS(ISNUMBER(SEARCH("data analy",B288)),"Data Analyst",ISNUMBER(SEARCH("business analy",B288)),"Business Analyst",OR(ISNUMBER(SEARCH("developer",B288)),ISNUMBER(SEARCH("software engineer",B288)),ISNUMBER(SEARCH("programmer",B288))),"Software Developer",ISNUMBER(SEARCH("business development",B288)),"Business Development",ISNUMBER(SEARCH("sales",B288)),"Sales Executive",ISNUMBER(SEARCH("marketing",B288)),"Marketing Executive",OR(ISNUMBER(SEARCH("hr ",B288)),ISNUMBER(SEARCH("recruit",B288)),ISNUMBER(SEARCH("human resource",B288))),"HR / Recruiter",OR(ISNUMBER(SEARCH("account",B288)),ISNUMBER(SEARCH("finance",B288)),ISNUMBER(SEARCH("tax",B288)),ISNUMBER(SEARCH("audit",B288))),"Accountant / Finance",OR(ISNUMBER(SEARCH("customer service",B288)),ISNUMBER(SEARCH("customer support",B288)),ISNUMBER(SEARCH("customer care",B288)),ISNUMBER(SEARCH("voice process",B288)),ISNUMBER(SEARCH("bpo",B288))),"Customer Support",ISNUMBER(SEARCH("engineer",B288)),"Engineer (Technical)",ISNUMBER(SEARCH("manager",B288)),"Manager",OR(ISNUMBER(SEARCH("teacher",B288)),ISNUMBER(SEARCH("trainer",B288)),ISNUMBER(SEARCH("faculty",B288))),"Teacher / Trainer",OR(ISNUMBER(SEARCH("doctor",B288)),ISNUMBER(SEARCH("nurse",B288)),ISNUMBER(SEARCH("medical",B288)),ISNUMBER(SEARCH("pharma",B288)),ISNUMBER(SEARCH("clinical",B288))),"Healthcare",TRUE,"Other")</f>
        <v/>
      </c>
      <c r="Q288" s="48">
        <f>IF(COUNTIFS($B$11:B288,B288,$C$11:C288,C288,$D$11:D288,D288,$L$11:L288,L288)&gt;1,"Duplicate","Unique")</f>
        <v/>
      </c>
    </row>
    <row r="289">
      <c r="A289" s="48">
        <f>Raw_Data!A280</f>
        <v/>
      </c>
      <c r="B289" s="48">
        <f>PROPER(TRIM(Raw_Data!B280))</f>
        <v/>
      </c>
      <c r="C289" s="48">
        <f>TRIM(Raw_Data!C280)</f>
        <v/>
      </c>
      <c r="D289" s="48">
        <f>IF(PROPER(TRIM(Raw_Data!D280))="Bangalore","Bengaluru",IF(PROPER(TRIM(Raw_Data!D280))="Gurgaon","Gurugram",IF(OR(PROPER(TRIM(Raw_Data!D280))="New Delhi",PROPER(TRIM(Raw_Data!D280))="Delhi"),"Delhi",PROPER(TRIM(Raw_Data!D280)))))</f>
        <v/>
      </c>
      <c r="E289" s="48">
        <f>Raw_Data!E280</f>
        <v/>
      </c>
      <c r="F289" s="48">
        <f>IF(TRIM(Raw_Data!F280&amp;"")="","Not Specified",Raw_Data!F280)</f>
        <v/>
      </c>
      <c r="G289" s="48">
        <f>Raw_Data!G280</f>
        <v/>
      </c>
      <c r="H289" s="48">
        <f>Raw_Data!H280</f>
        <v/>
      </c>
      <c r="I289" s="49">
        <f>IF(Raw_Data!I280="","",Raw_Data!I280)</f>
        <v/>
      </c>
      <c r="J289" s="49">
        <f>IF(Raw_Data!J280="","",Raw_Data!J280)</f>
        <v/>
      </c>
      <c r="K289" s="48">
        <f>IF(TRIM(Raw_Data!K280&amp;"")="","Not Specified",Raw_Data!K280)</f>
        <v/>
      </c>
      <c r="L289" s="56">
        <f>Raw_Data!L280</f>
        <v/>
      </c>
      <c r="M289" s="49">
        <f>IF(OR(I289="",J289=""),"",(I289+J289)/2)</f>
        <v/>
      </c>
      <c r="N289" s="49">
        <f>IF(OR(I289="",J289=""),"",J289-I289)</f>
        <v/>
      </c>
      <c r="O289" s="48">
        <f>TEXT(L289,"mmm-yyyy")</f>
        <v/>
      </c>
      <c r="P289" s="48">
        <f>_xlfn.IFS(ISNUMBER(SEARCH("data analy",B289)),"Data Analyst",ISNUMBER(SEARCH("business analy",B289)),"Business Analyst",OR(ISNUMBER(SEARCH("developer",B289)),ISNUMBER(SEARCH("software engineer",B289)),ISNUMBER(SEARCH("programmer",B289))),"Software Developer",ISNUMBER(SEARCH("business development",B289)),"Business Development",ISNUMBER(SEARCH("sales",B289)),"Sales Executive",ISNUMBER(SEARCH("marketing",B289)),"Marketing Executive",OR(ISNUMBER(SEARCH("hr ",B289)),ISNUMBER(SEARCH("recruit",B289)),ISNUMBER(SEARCH("human resource",B289))),"HR / Recruiter",OR(ISNUMBER(SEARCH("account",B289)),ISNUMBER(SEARCH("finance",B289)),ISNUMBER(SEARCH("tax",B289)),ISNUMBER(SEARCH("audit",B289))),"Accountant / Finance",OR(ISNUMBER(SEARCH("customer service",B289)),ISNUMBER(SEARCH("customer support",B289)),ISNUMBER(SEARCH("customer care",B289)),ISNUMBER(SEARCH("voice process",B289)),ISNUMBER(SEARCH("bpo",B289))),"Customer Support",ISNUMBER(SEARCH("engineer",B289)),"Engineer (Technical)",ISNUMBER(SEARCH("manager",B289)),"Manager",OR(ISNUMBER(SEARCH("teacher",B289)),ISNUMBER(SEARCH("trainer",B289)),ISNUMBER(SEARCH("faculty",B289))),"Teacher / Trainer",OR(ISNUMBER(SEARCH("doctor",B289)),ISNUMBER(SEARCH("nurse",B289)),ISNUMBER(SEARCH("medical",B289)),ISNUMBER(SEARCH("pharma",B289)),ISNUMBER(SEARCH("clinical",B289))),"Healthcare",TRUE,"Other")</f>
        <v/>
      </c>
      <c r="Q289" s="48">
        <f>IF(COUNTIFS($B$11:B289,B289,$C$11:C289,C289,$D$11:D289,D289,$L$11:L289,L289)&gt;1,"Duplicate","Unique")</f>
        <v/>
      </c>
    </row>
    <row r="290">
      <c r="A290" s="48">
        <f>Raw_Data!A281</f>
        <v/>
      </c>
      <c r="B290" s="48">
        <f>PROPER(TRIM(Raw_Data!B281))</f>
        <v/>
      </c>
      <c r="C290" s="48">
        <f>TRIM(Raw_Data!C281)</f>
        <v/>
      </c>
      <c r="D290" s="48">
        <f>IF(PROPER(TRIM(Raw_Data!D281))="Bangalore","Bengaluru",IF(PROPER(TRIM(Raw_Data!D281))="Gurgaon","Gurugram",IF(OR(PROPER(TRIM(Raw_Data!D281))="New Delhi",PROPER(TRIM(Raw_Data!D281))="Delhi"),"Delhi",PROPER(TRIM(Raw_Data!D281)))))</f>
        <v/>
      </c>
      <c r="E290" s="48">
        <f>Raw_Data!E281</f>
        <v/>
      </c>
      <c r="F290" s="48">
        <f>IF(TRIM(Raw_Data!F281&amp;"")="","Not Specified",Raw_Data!F281)</f>
        <v/>
      </c>
      <c r="G290" s="48">
        <f>Raw_Data!G281</f>
        <v/>
      </c>
      <c r="H290" s="48">
        <f>Raw_Data!H281</f>
        <v/>
      </c>
      <c r="I290" s="49">
        <f>IF(Raw_Data!I281="","",Raw_Data!I281)</f>
        <v/>
      </c>
      <c r="J290" s="49">
        <f>IF(Raw_Data!J281="","",Raw_Data!J281)</f>
        <v/>
      </c>
      <c r="K290" s="48">
        <f>IF(TRIM(Raw_Data!K281&amp;"")="","Not Specified",Raw_Data!K281)</f>
        <v/>
      </c>
      <c r="L290" s="56">
        <f>Raw_Data!L281</f>
        <v/>
      </c>
      <c r="M290" s="49">
        <f>IF(OR(I290="",J290=""),"",(I290+J290)/2)</f>
        <v/>
      </c>
      <c r="N290" s="49">
        <f>IF(OR(I290="",J290=""),"",J290-I290)</f>
        <v/>
      </c>
      <c r="O290" s="48">
        <f>TEXT(L290,"mmm-yyyy")</f>
        <v/>
      </c>
      <c r="P290" s="48">
        <f>_xlfn.IFS(ISNUMBER(SEARCH("data analy",B290)),"Data Analyst",ISNUMBER(SEARCH("business analy",B290)),"Business Analyst",OR(ISNUMBER(SEARCH("developer",B290)),ISNUMBER(SEARCH("software engineer",B290)),ISNUMBER(SEARCH("programmer",B290))),"Software Developer",ISNUMBER(SEARCH("business development",B290)),"Business Development",ISNUMBER(SEARCH("sales",B290)),"Sales Executive",ISNUMBER(SEARCH("marketing",B290)),"Marketing Executive",OR(ISNUMBER(SEARCH("hr ",B290)),ISNUMBER(SEARCH("recruit",B290)),ISNUMBER(SEARCH("human resource",B290))),"HR / Recruiter",OR(ISNUMBER(SEARCH("account",B290)),ISNUMBER(SEARCH("finance",B290)),ISNUMBER(SEARCH("tax",B290)),ISNUMBER(SEARCH("audit",B290))),"Accountant / Finance",OR(ISNUMBER(SEARCH("customer service",B290)),ISNUMBER(SEARCH("customer support",B290)),ISNUMBER(SEARCH("customer care",B290)),ISNUMBER(SEARCH("voice process",B290)),ISNUMBER(SEARCH("bpo",B290))),"Customer Support",ISNUMBER(SEARCH("engineer",B290)),"Engineer (Technical)",ISNUMBER(SEARCH("manager",B290)),"Manager",OR(ISNUMBER(SEARCH("teacher",B290)),ISNUMBER(SEARCH("trainer",B290)),ISNUMBER(SEARCH("faculty",B290))),"Teacher / Trainer",OR(ISNUMBER(SEARCH("doctor",B290)),ISNUMBER(SEARCH("nurse",B290)),ISNUMBER(SEARCH("medical",B290)),ISNUMBER(SEARCH("pharma",B290)),ISNUMBER(SEARCH("clinical",B290))),"Healthcare",TRUE,"Other")</f>
        <v/>
      </c>
      <c r="Q290" s="48">
        <f>IF(COUNTIFS($B$11:B290,B290,$C$11:C290,C290,$D$11:D290,D290,$L$11:L290,L290)&gt;1,"Duplicate","Unique")</f>
        <v/>
      </c>
    </row>
    <row r="291">
      <c r="A291" s="48">
        <f>Raw_Data!A282</f>
        <v/>
      </c>
      <c r="B291" s="48">
        <f>PROPER(TRIM(Raw_Data!B282))</f>
        <v/>
      </c>
      <c r="C291" s="48">
        <f>TRIM(Raw_Data!C282)</f>
        <v/>
      </c>
      <c r="D291" s="48">
        <f>IF(PROPER(TRIM(Raw_Data!D282))="Bangalore","Bengaluru",IF(PROPER(TRIM(Raw_Data!D282))="Gurgaon","Gurugram",IF(OR(PROPER(TRIM(Raw_Data!D282))="New Delhi",PROPER(TRIM(Raw_Data!D282))="Delhi"),"Delhi",PROPER(TRIM(Raw_Data!D282)))))</f>
        <v/>
      </c>
      <c r="E291" s="48">
        <f>Raw_Data!E282</f>
        <v/>
      </c>
      <c r="F291" s="48">
        <f>IF(TRIM(Raw_Data!F282&amp;"")="","Not Specified",Raw_Data!F282)</f>
        <v/>
      </c>
      <c r="G291" s="48">
        <f>Raw_Data!G282</f>
        <v/>
      </c>
      <c r="H291" s="48">
        <f>Raw_Data!H282</f>
        <v/>
      </c>
      <c r="I291" s="49">
        <f>IF(Raw_Data!I282="","",Raw_Data!I282)</f>
        <v/>
      </c>
      <c r="J291" s="49">
        <f>IF(Raw_Data!J282="","",Raw_Data!J282)</f>
        <v/>
      </c>
      <c r="K291" s="48">
        <f>IF(TRIM(Raw_Data!K282&amp;"")="","Not Specified",Raw_Data!K282)</f>
        <v/>
      </c>
      <c r="L291" s="56">
        <f>Raw_Data!L282</f>
        <v/>
      </c>
      <c r="M291" s="49">
        <f>IF(OR(I291="",J291=""),"",(I291+J291)/2)</f>
        <v/>
      </c>
      <c r="N291" s="49">
        <f>IF(OR(I291="",J291=""),"",J291-I291)</f>
        <v/>
      </c>
      <c r="O291" s="48">
        <f>TEXT(L291,"mmm-yyyy")</f>
        <v/>
      </c>
      <c r="P291" s="48">
        <f>_xlfn.IFS(ISNUMBER(SEARCH("data analy",B291)),"Data Analyst",ISNUMBER(SEARCH("business analy",B291)),"Business Analyst",OR(ISNUMBER(SEARCH("developer",B291)),ISNUMBER(SEARCH("software engineer",B291)),ISNUMBER(SEARCH("programmer",B291))),"Software Developer",ISNUMBER(SEARCH("business development",B291)),"Business Development",ISNUMBER(SEARCH("sales",B291)),"Sales Executive",ISNUMBER(SEARCH("marketing",B291)),"Marketing Executive",OR(ISNUMBER(SEARCH("hr ",B291)),ISNUMBER(SEARCH("recruit",B291)),ISNUMBER(SEARCH("human resource",B291))),"HR / Recruiter",OR(ISNUMBER(SEARCH("account",B291)),ISNUMBER(SEARCH("finance",B291)),ISNUMBER(SEARCH("tax",B291)),ISNUMBER(SEARCH("audit",B291))),"Accountant / Finance",OR(ISNUMBER(SEARCH("customer service",B291)),ISNUMBER(SEARCH("customer support",B291)),ISNUMBER(SEARCH("customer care",B291)),ISNUMBER(SEARCH("voice process",B291)),ISNUMBER(SEARCH("bpo",B291))),"Customer Support",ISNUMBER(SEARCH("engineer",B291)),"Engineer (Technical)",ISNUMBER(SEARCH("manager",B291)),"Manager",OR(ISNUMBER(SEARCH("teacher",B291)),ISNUMBER(SEARCH("trainer",B291)),ISNUMBER(SEARCH("faculty",B291))),"Teacher / Trainer",OR(ISNUMBER(SEARCH("doctor",B291)),ISNUMBER(SEARCH("nurse",B291)),ISNUMBER(SEARCH("medical",B291)),ISNUMBER(SEARCH("pharma",B291)),ISNUMBER(SEARCH("clinical",B291))),"Healthcare",TRUE,"Other")</f>
        <v/>
      </c>
      <c r="Q291" s="48">
        <f>IF(COUNTIFS($B$11:B291,B291,$C$11:C291,C291,$D$11:D291,D291,$L$11:L291,L291)&gt;1,"Duplicate","Unique")</f>
        <v/>
      </c>
    </row>
    <row r="292">
      <c r="A292" s="48">
        <f>Raw_Data!A283</f>
        <v/>
      </c>
      <c r="B292" s="48">
        <f>PROPER(TRIM(Raw_Data!B283))</f>
        <v/>
      </c>
      <c r="C292" s="48">
        <f>TRIM(Raw_Data!C283)</f>
        <v/>
      </c>
      <c r="D292" s="48">
        <f>IF(PROPER(TRIM(Raw_Data!D283))="Bangalore","Bengaluru",IF(PROPER(TRIM(Raw_Data!D283))="Gurgaon","Gurugram",IF(OR(PROPER(TRIM(Raw_Data!D283))="New Delhi",PROPER(TRIM(Raw_Data!D283))="Delhi"),"Delhi",PROPER(TRIM(Raw_Data!D283)))))</f>
        <v/>
      </c>
      <c r="E292" s="48">
        <f>Raw_Data!E283</f>
        <v/>
      </c>
      <c r="F292" s="48">
        <f>IF(TRIM(Raw_Data!F283&amp;"")="","Not Specified",Raw_Data!F283)</f>
        <v/>
      </c>
      <c r="G292" s="48">
        <f>Raw_Data!G283</f>
        <v/>
      </c>
      <c r="H292" s="48">
        <f>Raw_Data!H283</f>
        <v/>
      </c>
      <c r="I292" s="49">
        <f>IF(Raw_Data!I283="","",Raw_Data!I283)</f>
        <v/>
      </c>
      <c r="J292" s="49">
        <f>IF(Raw_Data!J283="","",Raw_Data!J283)</f>
        <v/>
      </c>
      <c r="K292" s="48">
        <f>IF(TRIM(Raw_Data!K283&amp;"")="","Not Specified",Raw_Data!K283)</f>
        <v/>
      </c>
      <c r="L292" s="56">
        <f>Raw_Data!L283</f>
        <v/>
      </c>
      <c r="M292" s="49">
        <f>IF(OR(I292="",J292=""),"",(I292+J292)/2)</f>
        <v/>
      </c>
      <c r="N292" s="49">
        <f>IF(OR(I292="",J292=""),"",J292-I292)</f>
        <v/>
      </c>
      <c r="O292" s="48">
        <f>TEXT(L292,"mmm-yyyy")</f>
        <v/>
      </c>
      <c r="P292" s="48">
        <f>_xlfn.IFS(ISNUMBER(SEARCH("data analy",B292)),"Data Analyst",ISNUMBER(SEARCH("business analy",B292)),"Business Analyst",OR(ISNUMBER(SEARCH("developer",B292)),ISNUMBER(SEARCH("software engineer",B292)),ISNUMBER(SEARCH("programmer",B292))),"Software Developer",ISNUMBER(SEARCH("business development",B292)),"Business Development",ISNUMBER(SEARCH("sales",B292)),"Sales Executive",ISNUMBER(SEARCH("marketing",B292)),"Marketing Executive",OR(ISNUMBER(SEARCH("hr ",B292)),ISNUMBER(SEARCH("recruit",B292)),ISNUMBER(SEARCH("human resource",B292))),"HR / Recruiter",OR(ISNUMBER(SEARCH("account",B292)),ISNUMBER(SEARCH("finance",B292)),ISNUMBER(SEARCH("tax",B292)),ISNUMBER(SEARCH("audit",B292))),"Accountant / Finance",OR(ISNUMBER(SEARCH("customer service",B292)),ISNUMBER(SEARCH("customer support",B292)),ISNUMBER(SEARCH("customer care",B292)),ISNUMBER(SEARCH("voice process",B292)),ISNUMBER(SEARCH("bpo",B292))),"Customer Support",ISNUMBER(SEARCH("engineer",B292)),"Engineer (Technical)",ISNUMBER(SEARCH("manager",B292)),"Manager",OR(ISNUMBER(SEARCH("teacher",B292)),ISNUMBER(SEARCH("trainer",B292)),ISNUMBER(SEARCH("faculty",B292))),"Teacher / Trainer",OR(ISNUMBER(SEARCH("doctor",B292)),ISNUMBER(SEARCH("nurse",B292)),ISNUMBER(SEARCH("medical",B292)),ISNUMBER(SEARCH("pharma",B292)),ISNUMBER(SEARCH("clinical",B292))),"Healthcare",TRUE,"Other")</f>
        <v/>
      </c>
      <c r="Q292" s="48">
        <f>IF(COUNTIFS($B$11:B292,B292,$C$11:C292,C292,$D$11:D292,D292,$L$11:L292,L292)&gt;1,"Duplicate","Unique")</f>
        <v/>
      </c>
    </row>
    <row r="293">
      <c r="A293" s="48">
        <f>Raw_Data!A284</f>
        <v/>
      </c>
      <c r="B293" s="48">
        <f>PROPER(TRIM(Raw_Data!B284))</f>
        <v/>
      </c>
      <c r="C293" s="48">
        <f>TRIM(Raw_Data!C284)</f>
        <v/>
      </c>
      <c r="D293" s="48">
        <f>IF(PROPER(TRIM(Raw_Data!D284))="Bangalore","Bengaluru",IF(PROPER(TRIM(Raw_Data!D284))="Gurgaon","Gurugram",IF(OR(PROPER(TRIM(Raw_Data!D284))="New Delhi",PROPER(TRIM(Raw_Data!D284))="Delhi"),"Delhi",PROPER(TRIM(Raw_Data!D284)))))</f>
        <v/>
      </c>
      <c r="E293" s="48">
        <f>Raw_Data!E284</f>
        <v/>
      </c>
      <c r="F293" s="48">
        <f>IF(TRIM(Raw_Data!F284&amp;"")="","Not Specified",Raw_Data!F284)</f>
        <v/>
      </c>
      <c r="G293" s="48">
        <f>Raw_Data!G284</f>
        <v/>
      </c>
      <c r="H293" s="48">
        <f>Raw_Data!H284</f>
        <v/>
      </c>
      <c r="I293" s="49">
        <f>IF(Raw_Data!I284="","",Raw_Data!I284)</f>
        <v/>
      </c>
      <c r="J293" s="49">
        <f>IF(Raw_Data!J284="","",Raw_Data!J284)</f>
        <v/>
      </c>
      <c r="K293" s="48">
        <f>IF(TRIM(Raw_Data!K284&amp;"")="","Not Specified",Raw_Data!K284)</f>
        <v/>
      </c>
      <c r="L293" s="56">
        <f>Raw_Data!L284</f>
        <v/>
      </c>
      <c r="M293" s="49">
        <f>IF(OR(I293="",J293=""),"",(I293+J293)/2)</f>
        <v/>
      </c>
      <c r="N293" s="49">
        <f>IF(OR(I293="",J293=""),"",J293-I293)</f>
        <v/>
      </c>
      <c r="O293" s="48">
        <f>TEXT(L293,"mmm-yyyy")</f>
        <v/>
      </c>
      <c r="P293" s="48">
        <f>_xlfn.IFS(ISNUMBER(SEARCH("data analy",B293)),"Data Analyst",ISNUMBER(SEARCH("business analy",B293)),"Business Analyst",OR(ISNUMBER(SEARCH("developer",B293)),ISNUMBER(SEARCH("software engineer",B293)),ISNUMBER(SEARCH("programmer",B293))),"Software Developer",ISNUMBER(SEARCH("business development",B293)),"Business Development",ISNUMBER(SEARCH("sales",B293)),"Sales Executive",ISNUMBER(SEARCH("marketing",B293)),"Marketing Executive",OR(ISNUMBER(SEARCH("hr ",B293)),ISNUMBER(SEARCH("recruit",B293)),ISNUMBER(SEARCH("human resource",B293))),"HR / Recruiter",OR(ISNUMBER(SEARCH("account",B293)),ISNUMBER(SEARCH("finance",B293)),ISNUMBER(SEARCH("tax",B293)),ISNUMBER(SEARCH("audit",B293))),"Accountant / Finance",OR(ISNUMBER(SEARCH("customer service",B293)),ISNUMBER(SEARCH("customer support",B293)),ISNUMBER(SEARCH("customer care",B293)),ISNUMBER(SEARCH("voice process",B293)),ISNUMBER(SEARCH("bpo",B293))),"Customer Support",ISNUMBER(SEARCH("engineer",B293)),"Engineer (Technical)",ISNUMBER(SEARCH("manager",B293)),"Manager",OR(ISNUMBER(SEARCH("teacher",B293)),ISNUMBER(SEARCH("trainer",B293)),ISNUMBER(SEARCH("faculty",B293))),"Teacher / Trainer",OR(ISNUMBER(SEARCH("doctor",B293)),ISNUMBER(SEARCH("nurse",B293)),ISNUMBER(SEARCH("medical",B293)),ISNUMBER(SEARCH("pharma",B293)),ISNUMBER(SEARCH("clinical",B293))),"Healthcare",TRUE,"Other")</f>
        <v/>
      </c>
      <c r="Q293" s="48">
        <f>IF(COUNTIFS($B$11:B293,B293,$C$11:C293,C293,$D$11:D293,D293,$L$11:L293,L293)&gt;1,"Duplicate","Unique")</f>
        <v/>
      </c>
    </row>
    <row r="294">
      <c r="A294" s="48">
        <f>Raw_Data!A285</f>
        <v/>
      </c>
      <c r="B294" s="48">
        <f>PROPER(TRIM(Raw_Data!B285))</f>
        <v/>
      </c>
      <c r="C294" s="48">
        <f>TRIM(Raw_Data!C285)</f>
        <v/>
      </c>
      <c r="D294" s="48">
        <f>IF(PROPER(TRIM(Raw_Data!D285))="Bangalore","Bengaluru",IF(PROPER(TRIM(Raw_Data!D285))="Gurgaon","Gurugram",IF(OR(PROPER(TRIM(Raw_Data!D285))="New Delhi",PROPER(TRIM(Raw_Data!D285))="Delhi"),"Delhi",PROPER(TRIM(Raw_Data!D285)))))</f>
        <v/>
      </c>
      <c r="E294" s="48">
        <f>Raw_Data!E285</f>
        <v/>
      </c>
      <c r="F294" s="48">
        <f>IF(TRIM(Raw_Data!F285&amp;"")="","Not Specified",Raw_Data!F285)</f>
        <v/>
      </c>
      <c r="G294" s="48">
        <f>Raw_Data!G285</f>
        <v/>
      </c>
      <c r="H294" s="48">
        <f>Raw_Data!H285</f>
        <v/>
      </c>
      <c r="I294" s="49">
        <f>IF(Raw_Data!I285="","",Raw_Data!I285)</f>
        <v/>
      </c>
      <c r="J294" s="49">
        <f>IF(Raw_Data!J285="","",Raw_Data!J285)</f>
        <v/>
      </c>
      <c r="K294" s="48">
        <f>IF(TRIM(Raw_Data!K285&amp;"")="","Not Specified",Raw_Data!K285)</f>
        <v/>
      </c>
      <c r="L294" s="56">
        <f>Raw_Data!L285</f>
        <v/>
      </c>
      <c r="M294" s="49">
        <f>IF(OR(I294="",J294=""),"",(I294+J294)/2)</f>
        <v/>
      </c>
      <c r="N294" s="49">
        <f>IF(OR(I294="",J294=""),"",J294-I294)</f>
        <v/>
      </c>
      <c r="O294" s="48">
        <f>TEXT(L294,"mmm-yyyy")</f>
        <v/>
      </c>
      <c r="P294" s="48">
        <f>_xlfn.IFS(ISNUMBER(SEARCH("data analy",B294)),"Data Analyst",ISNUMBER(SEARCH("business analy",B294)),"Business Analyst",OR(ISNUMBER(SEARCH("developer",B294)),ISNUMBER(SEARCH("software engineer",B294)),ISNUMBER(SEARCH("programmer",B294))),"Software Developer",ISNUMBER(SEARCH("business development",B294)),"Business Development",ISNUMBER(SEARCH("sales",B294)),"Sales Executive",ISNUMBER(SEARCH("marketing",B294)),"Marketing Executive",OR(ISNUMBER(SEARCH("hr ",B294)),ISNUMBER(SEARCH("recruit",B294)),ISNUMBER(SEARCH("human resource",B294))),"HR / Recruiter",OR(ISNUMBER(SEARCH("account",B294)),ISNUMBER(SEARCH("finance",B294)),ISNUMBER(SEARCH("tax",B294)),ISNUMBER(SEARCH("audit",B294))),"Accountant / Finance",OR(ISNUMBER(SEARCH("customer service",B294)),ISNUMBER(SEARCH("customer support",B294)),ISNUMBER(SEARCH("customer care",B294)),ISNUMBER(SEARCH("voice process",B294)),ISNUMBER(SEARCH("bpo",B294))),"Customer Support",ISNUMBER(SEARCH("engineer",B294)),"Engineer (Technical)",ISNUMBER(SEARCH("manager",B294)),"Manager",OR(ISNUMBER(SEARCH("teacher",B294)),ISNUMBER(SEARCH("trainer",B294)),ISNUMBER(SEARCH("faculty",B294))),"Teacher / Trainer",OR(ISNUMBER(SEARCH("doctor",B294)),ISNUMBER(SEARCH("nurse",B294)),ISNUMBER(SEARCH("medical",B294)),ISNUMBER(SEARCH("pharma",B294)),ISNUMBER(SEARCH("clinical",B294))),"Healthcare",TRUE,"Other")</f>
        <v/>
      </c>
      <c r="Q294" s="48">
        <f>IF(COUNTIFS($B$11:B294,B294,$C$11:C294,C294,$D$11:D294,D294,$L$11:L294,L294)&gt;1,"Duplicate","Unique")</f>
        <v/>
      </c>
    </row>
    <row r="295">
      <c r="A295" s="48">
        <f>Raw_Data!A286</f>
        <v/>
      </c>
      <c r="B295" s="48">
        <f>PROPER(TRIM(Raw_Data!B286))</f>
        <v/>
      </c>
      <c r="C295" s="48">
        <f>TRIM(Raw_Data!C286)</f>
        <v/>
      </c>
      <c r="D295" s="48">
        <f>IF(PROPER(TRIM(Raw_Data!D286))="Bangalore","Bengaluru",IF(PROPER(TRIM(Raw_Data!D286))="Gurgaon","Gurugram",IF(OR(PROPER(TRIM(Raw_Data!D286))="New Delhi",PROPER(TRIM(Raw_Data!D286))="Delhi"),"Delhi",PROPER(TRIM(Raw_Data!D286)))))</f>
        <v/>
      </c>
      <c r="E295" s="48">
        <f>Raw_Data!E286</f>
        <v/>
      </c>
      <c r="F295" s="48">
        <f>IF(TRIM(Raw_Data!F286&amp;"")="","Not Specified",Raw_Data!F286)</f>
        <v/>
      </c>
      <c r="G295" s="48">
        <f>Raw_Data!G286</f>
        <v/>
      </c>
      <c r="H295" s="48">
        <f>Raw_Data!H286</f>
        <v/>
      </c>
      <c r="I295" s="49">
        <f>IF(Raw_Data!I286="","",Raw_Data!I286)</f>
        <v/>
      </c>
      <c r="J295" s="49">
        <f>IF(Raw_Data!J286="","",Raw_Data!J286)</f>
        <v/>
      </c>
      <c r="K295" s="48">
        <f>IF(TRIM(Raw_Data!K286&amp;"")="","Not Specified",Raw_Data!K286)</f>
        <v/>
      </c>
      <c r="L295" s="56">
        <f>Raw_Data!L286</f>
        <v/>
      </c>
      <c r="M295" s="49">
        <f>IF(OR(I295="",J295=""),"",(I295+J295)/2)</f>
        <v/>
      </c>
      <c r="N295" s="49">
        <f>IF(OR(I295="",J295=""),"",J295-I295)</f>
        <v/>
      </c>
      <c r="O295" s="48">
        <f>TEXT(L295,"mmm-yyyy")</f>
        <v/>
      </c>
      <c r="P295" s="48">
        <f>_xlfn.IFS(ISNUMBER(SEARCH("data analy",B295)),"Data Analyst",ISNUMBER(SEARCH("business analy",B295)),"Business Analyst",OR(ISNUMBER(SEARCH("developer",B295)),ISNUMBER(SEARCH("software engineer",B295)),ISNUMBER(SEARCH("programmer",B295))),"Software Developer",ISNUMBER(SEARCH("business development",B295)),"Business Development",ISNUMBER(SEARCH("sales",B295)),"Sales Executive",ISNUMBER(SEARCH("marketing",B295)),"Marketing Executive",OR(ISNUMBER(SEARCH("hr ",B295)),ISNUMBER(SEARCH("recruit",B295)),ISNUMBER(SEARCH("human resource",B295))),"HR / Recruiter",OR(ISNUMBER(SEARCH("account",B295)),ISNUMBER(SEARCH("finance",B295)),ISNUMBER(SEARCH("tax",B295)),ISNUMBER(SEARCH("audit",B295))),"Accountant / Finance",OR(ISNUMBER(SEARCH("customer service",B295)),ISNUMBER(SEARCH("customer support",B295)),ISNUMBER(SEARCH("customer care",B295)),ISNUMBER(SEARCH("voice process",B295)),ISNUMBER(SEARCH("bpo",B295))),"Customer Support",ISNUMBER(SEARCH("engineer",B295)),"Engineer (Technical)",ISNUMBER(SEARCH("manager",B295)),"Manager",OR(ISNUMBER(SEARCH("teacher",B295)),ISNUMBER(SEARCH("trainer",B295)),ISNUMBER(SEARCH("faculty",B295))),"Teacher / Trainer",OR(ISNUMBER(SEARCH("doctor",B295)),ISNUMBER(SEARCH("nurse",B295)),ISNUMBER(SEARCH("medical",B295)),ISNUMBER(SEARCH("pharma",B295)),ISNUMBER(SEARCH("clinical",B295))),"Healthcare",TRUE,"Other")</f>
        <v/>
      </c>
      <c r="Q295" s="48">
        <f>IF(COUNTIFS($B$11:B295,B295,$C$11:C295,C295,$D$11:D295,D295,$L$11:L295,L295)&gt;1,"Duplicate","Unique")</f>
        <v/>
      </c>
    </row>
    <row r="296">
      <c r="A296" s="48">
        <f>Raw_Data!A287</f>
        <v/>
      </c>
      <c r="B296" s="48">
        <f>PROPER(TRIM(Raw_Data!B287))</f>
        <v/>
      </c>
      <c r="C296" s="48">
        <f>TRIM(Raw_Data!C287)</f>
        <v/>
      </c>
      <c r="D296" s="48">
        <f>IF(PROPER(TRIM(Raw_Data!D287))="Bangalore","Bengaluru",IF(PROPER(TRIM(Raw_Data!D287))="Gurgaon","Gurugram",IF(OR(PROPER(TRIM(Raw_Data!D287))="New Delhi",PROPER(TRIM(Raw_Data!D287))="Delhi"),"Delhi",PROPER(TRIM(Raw_Data!D287)))))</f>
        <v/>
      </c>
      <c r="E296" s="48">
        <f>Raw_Data!E287</f>
        <v/>
      </c>
      <c r="F296" s="48">
        <f>IF(TRIM(Raw_Data!F287&amp;"")="","Not Specified",Raw_Data!F287)</f>
        <v/>
      </c>
      <c r="G296" s="48">
        <f>Raw_Data!G287</f>
        <v/>
      </c>
      <c r="H296" s="48">
        <f>Raw_Data!H287</f>
        <v/>
      </c>
      <c r="I296" s="49">
        <f>IF(Raw_Data!I287="","",Raw_Data!I287)</f>
        <v/>
      </c>
      <c r="J296" s="49">
        <f>IF(Raw_Data!J287="","",Raw_Data!J287)</f>
        <v/>
      </c>
      <c r="K296" s="48">
        <f>IF(TRIM(Raw_Data!K287&amp;"")="","Not Specified",Raw_Data!K287)</f>
        <v/>
      </c>
      <c r="L296" s="56">
        <f>Raw_Data!L287</f>
        <v/>
      </c>
      <c r="M296" s="49">
        <f>IF(OR(I296="",J296=""),"",(I296+J296)/2)</f>
        <v/>
      </c>
      <c r="N296" s="49">
        <f>IF(OR(I296="",J296=""),"",J296-I296)</f>
        <v/>
      </c>
      <c r="O296" s="48">
        <f>TEXT(L296,"mmm-yyyy")</f>
        <v/>
      </c>
      <c r="P296" s="48">
        <f>_xlfn.IFS(ISNUMBER(SEARCH("data analy",B296)),"Data Analyst",ISNUMBER(SEARCH("business analy",B296)),"Business Analyst",OR(ISNUMBER(SEARCH("developer",B296)),ISNUMBER(SEARCH("software engineer",B296)),ISNUMBER(SEARCH("programmer",B296))),"Software Developer",ISNUMBER(SEARCH("business development",B296)),"Business Development",ISNUMBER(SEARCH("sales",B296)),"Sales Executive",ISNUMBER(SEARCH("marketing",B296)),"Marketing Executive",OR(ISNUMBER(SEARCH("hr ",B296)),ISNUMBER(SEARCH("recruit",B296)),ISNUMBER(SEARCH("human resource",B296))),"HR / Recruiter",OR(ISNUMBER(SEARCH("account",B296)),ISNUMBER(SEARCH("finance",B296)),ISNUMBER(SEARCH("tax",B296)),ISNUMBER(SEARCH("audit",B296))),"Accountant / Finance",OR(ISNUMBER(SEARCH("customer service",B296)),ISNUMBER(SEARCH("customer support",B296)),ISNUMBER(SEARCH("customer care",B296)),ISNUMBER(SEARCH("voice process",B296)),ISNUMBER(SEARCH("bpo",B296))),"Customer Support",ISNUMBER(SEARCH("engineer",B296)),"Engineer (Technical)",ISNUMBER(SEARCH("manager",B296)),"Manager",OR(ISNUMBER(SEARCH("teacher",B296)),ISNUMBER(SEARCH("trainer",B296)),ISNUMBER(SEARCH("faculty",B296))),"Teacher / Trainer",OR(ISNUMBER(SEARCH("doctor",B296)),ISNUMBER(SEARCH("nurse",B296)),ISNUMBER(SEARCH("medical",B296)),ISNUMBER(SEARCH("pharma",B296)),ISNUMBER(SEARCH("clinical",B296))),"Healthcare",TRUE,"Other")</f>
        <v/>
      </c>
      <c r="Q296" s="48">
        <f>IF(COUNTIFS($B$11:B296,B296,$C$11:C296,C296,$D$11:D296,D296,$L$11:L296,L296)&gt;1,"Duplicate","Unique")</f>
        <v/>
      </c>
    </row>
    <row r="297">
      <c r="A297" s="48">
        <f>Raw_Data!A288</f>
        <v/>
      </c>
      <c r="B297" s="48">
        <f>PROPER(TRIM(Raw_Data!B288))</f>
        <v/>
      </c>
      <c r="C297" s="48">
        <f>TRIM(Raw_Data!C288)</f>
        <v/>
      </c>
      <c r="D297" s="48">
        <f>IF(PROPER(TRIM(Raw_Data!D288))="Bangalore","Bengaluru",IF(PROPER(TRIM(Raw_Data!D288))="Gurgaon","Gurugram",IF(OR(PROPER(TRIM(Raw_Data!D288))="New Delhi",PROPER(TRIM(Raw_Data!D288))="Delhi"),"Delhi",PROPER(TRIM(Raw_Data!D288)))))</f>
        <v/>
      </c>
      <c r="E297" s="48">
        <f>Raw_Data!E288</f>
        <v/>
      </c>
      <c r="F297" s="48">
        <f>IF(TRIM(Raw_Data!F288&amp;"")="","Not Specified",Raw_Data!F288)</f>
        <v/>
      </c>
      <c r="G297" s="48">
        <f>Raw_Data!G288</f>
        <v/>
      </c>
      <c r="H297" s="48">
        <f>Raw_Data!H288</f>
        <v/>
      </c>
      <c r="I297" s="49">
        <f>IF(Raw_Data!I288="","",Raw_Data!I288)</f>
        <v/>
      </c>
      <c r="J297" s="49">
        <f>IF(Raw_Data!J288="","",Raw_Data!J288)</f>
        <v/>
      </c>
      <c r="K297" s="48">
        <f>IF(TRIM(Raw_Data!K288&amp;"")="","Not Specified",Raw_Data!K288)</f>
        <v/>
      </c>
      <c r="L297" s="56">
        <f>Raw_Data!L288</f>
        <v/>
      </c>
      <c r="M297" s="49">
        <f>IF(OR(I297="",J297=""),"",(I297+J297)/2)</f>
        <v/>
      </c>
      <c r="N297" s="49">
        <f>IF(OR(I297="",J297=""),"",J297-I297)</f>
        <v/>
      </c>
      <c r="O297" s="48">
        <f>TEXT(L297,"mmm-yyyy")</f>
        <v/>
      </c>
      <c r="P297" s="48">
        <f>_xlfn.IFS(ISNUMBER(SEARCH("data analy",B297)),"Data Analyst",ISNUMBER(SEARCH("business analy",B297)),"Business Analyst",OR(ISNUMBER(SEARCH("developer",B297)),ISNUMBER(SEARCH("software engineer",B297)),ISNUMBER(SEARCH("programmer",B297))),"Software Developer",ISNUMBER(SEARCH("business development",B297)),"Business Development",ISNUMBER(SEARCH("sales",B297)),"Sales Executive",ISNUMBER(SEARCH("marketing",B297)),"Marketing Executive",OR(ISNUMBER(SEARCH("hr ",B297)),ISNUMBER(SEARCH("recruit",B297)),ISNUMBER(SEARCH("human resource",B297))),"HR / Recruiter",OR(ISNUMBER(SEARCH("account",B297)),ISNUMBER(SEARCH("finance",B297)),ISNUMBER(SEARCH("tax",B297)),ISNUMBER(SEARCH("audit",B297))),"Accountant / Finance",OR(ISNUMBER(SEARCH("customer service",B297)),ISNUMBER(SEARCH("customer support",B297)),ISNUMBER(SEARCH("customer care",B297)),ISNUMBER(SEARCH("voice process",B297)),ISNUMBER(SEARCH("bpo",B297))),"Customer Support",ISNUMBER(SEARCH("engineer",B297)),"Engineer (Technical)",ISNUMBER(SEARCH("manager",B297)),"Manager",OR(ISNUMBER(SEARCH("teacher",B297)),ISNUMBER(SEARCH("trainer",B297)),ISNUMBER(SEARCH("faculty",B297))),"Teacher / Trainer",OR(ISNUMBER(SEARCH("doctor",B297)),ISNUMBER(SEARCH("nurse",B297)),ISNUMBER(SEARCH("medical",B297)),ISNUMBER(SEARCH("pharma",B297)),ISNUMBER(SEARCH("clinical",B297))),"Healthcare",TRUE,"Other")</f>
        <v/>
      </c>
      <c r="Q297" s="48">
        <f>IF(COUNTIFS($B$11:B297,B297,$C$11:C297,C297,$D$11:D297,D297,$L$11:L297,L297)&gt;1,"Duplicate","Unique")</f>
        <v/>
      </c>
    </row>
    <row r="298">
      <c r="A298" s="48">
        <f>Raw_Data!A289</f>
        <v/>
      </c>
      <c r="B298" s="48">
        <f>PROPER(TRIM(Raw_Data!B289))</f>
        <v/>
      </c>
      <c r="C298" s="48">
        <f>TRIM(Raw_Data!C289)</f>
        <v/>
      </c>
      <c r="D298" s="48">
        <f>IF(PROPER(TRIM(Raw_Data!D289))="Bangalore","Bengaluru",IF(PROPER(TRIM(Raw_Data!D289))="Gurgaon","Gurugram",IF(OR(PROPER(TRIM(Raw_Data!D289))="New Delhi",PROPER(TRIM(Raw_Data!D289))="Delhi"),"Delhi",PROPER(TRIM(Raw_Data!D289)))))</f>
        <v/>
      </c>
      <c r="E298" s="48">
        <f>Raw_Data!E289</f>
        <v/>
      </c>
      <c r="F298" s="48">
        <f>IF(TRIM(Raw_Data!F289&amp;"")="","Not Specified",Raw_Data!F289)</f>
        <v/>
      </c>
      <c r="G298" s="48">
        <f>Raw_Data!G289</f>
        <v/>
      </c>
      <c r="H298" s="48">
        <f>Raw_Data!H289</f>
        <v/>
      </c>
      <c r="I298" s="49">
        <f>IF(Raw_Data!I289="","",Raw_Data!I289)</f>
        <v/>
      </c>
      <c r="J298" s="49">
        <f>IF(Raw_Data!J289="","",Raw_Data!J289)</f>
        <v/>
      </c>
      <c r="K298" s="48">
        <f>IF(TRIM(Raw_Data!K289&amp;"")="","Not Specified",Raw_Data!K289)</f>
        <v/>
      </c>
      <c r="L298" s="56">
        <f>Raw_Data!L289</f>
        <v/>
      </c>
      <c r="M298" s="49">
        <f>IF(OR(I298="",J298=""),"",(I298+J298)/2)</f>
        <v/>
      </c>
      <c r="N298" s="49">
        <f>IF(OR(I298="",J298=""),"",J298-I298)</f>
        <v/>
      </c>
      <c r="O298" s="48">
        <f>TEXT(L298,"mmm-yyyy")</f>
        <v/>
      </c>
      <c r="P298" s="48">
        <f>_xlfn.IFS(ISNUMBER(SEARCH("data analy",B298)),"Data Analyst",ISNUMBER(SEARCH("business analy",B298)),"Business Analyst",OR(ISNUMBER(SEARCH("developer",B298)),ISNUMBER(SEARCH("software engineer",B298)),ISNUMBER(SEARCH("programmer",B298))),"Software Developer",ISNUMBER(SEARCH("business development",B298)),"Business Development",ISNUMBER(SEARCH("sales",B298)),"Sales Executive",ISNUMBER(SEARCH("marketing",B298)),"Marketing Executive",OR(ISNUMBER(SEARCH("hr ",B298)),ISNUMBER(SEARCH("recruit",B298)),ISNUMBER(SEARCH("human resource",B298))),"HR / Recruiter",OR(ISNUMBER(SEARCH("account",B298)),ISNUMBER(SEARCH("finance",B298)),ISNUMBER(SEARCH("tax",B298)),ISNUMBER(SEARCH("audit",B298))),"Accountant / Finance",OR(ISNUMBER(SEARCH("customer service",B298)),ISNUMBER(SEARCH("customer support",B298)),ISNUMBER(SEARCH("customer care",B298)),ISNUMBER(SEARCH("voice process",B298)),ISNUMBER(SEARCH("bpo",B298))),"Customer Support",ISNUMBER(SEARCH("engineer",B298)),"Engineer (Technical)",ISNUMBER(SEARCH("manager",B298)),"Manager",OR(ISNUMBER(SEARCH("teacher",B298)),ISNUMBER(SEARCH("trainer",B298)),ISNUMBER(SEARCH("faculty",B298))),"Teacher / Trainer",OR(ISNUMBER(SEARCH("doctor",B298)),ISNUMBER(SEARCH("nurse",B298)),ISNUMBER(SEARCH("medical",B298)),ISNUMBER(SEARCH("pharma",B298)),ISNUMBER(SEARCH("clinical",B298))),"Healthcare",TRUE,"Other")</f>
        <v/>
      </c>
      <c r="Q298" s="48">
        <f>IF(COUNTIFS($B$11:B298,B298,$C$11:C298,C298,$D$11:D298,D298,$L$11:L298,L298)&gt;1,"Duplicate","Unique")</f>
        <v/>
      </c>
    </row>
    <row r="299">
      <c r="A299" s="48">
        <f>Raw_Data!A290</f>
        <v/>
      </c>
      <c r="B299" s="48">
        <f>PROPER(TRIM(Raw_Data!B290))</f>
        <v/>
      </c>
      <c r="C299" s="48">
        <f>TRIM(Raw_Data!C290)</f>
        <v/>
      </c>
      <c r="D299" s="48">
        <f>IF(PROPER(TRIM(Raw_Data!D290))="Bangalore","Bengaluru",IF(PROPER(TRIM(Raw_Data!D290))="Gurgaon","Gurugram",IF(OR(PROPER(TRIM(Raw_Data!D290))="New Delhi",PROPER(TRIM(Raw_Data!D290))="Delhi"),"Delhi",PROPER(TRIM(Raw_Data!D290)))))</f>
        <v/>
      </c>
      <c r="E299" s="48">
        <f>Raw_Data!E290</f>
        <v/>
      </c>
      <c r="F299" s="48">
        <f>IF(TRIM(Raw_Data!F290&amp;"")="","Not Specified",Raw_Data!F290)</f>
        <v/>
      </c>
      <c r="G299" s="48">
        <f>Raw_Data!G290</f>
        <v/>
      </c>
      <c r="H299" s="48">
        <f>Raw_Data!H290</f>
        <v/>
      </c>
      <c r="I299" s="49">
        <f>IF(Raw_Data!I290="","",Raw_Data!I290)</f>
        <v/>
      </c>
      <c r="J299" s="49">
        <f>IF(Raw_Data!J290="","",Raw_Data!J290)</f>
        <v/>
      </c>
      <c r="K299" s="48">
        <f>IF(TRIM(Raw_Data!K290&amp;"")="","Not Specified",Raw_Data!K290)</f>
        <v/>
      </c>
      <c r="L299" s="56">
        <f>Raw_Data!L290</f>
        <v/>
      </c>
      <c r="M299" s="49">
        <f>IF(OR(I299="",J299=""),"",(I299+J299)/2)</f>
        <v/>
      </c>
      <c r="N299" s="49">
        <f>IF(OR(I299="",J299=""),"",J299-I299)</f>
        <v/>
      </c>
      <c r="O299" s="48">
        <f>TEXT(L299,"mmm-yyyy")</f>
        <v/>
      </c>
      <c r="P299" s="48">
        <f>_xlfn.IFS(ISNUMBER(SEARCH("data analy",B299)),"Data Analyst",ISNUMBER(SEARCH("business analy",B299)),"Business Analyst",OR(ISNUMBER(SEARCH("developer",B299)),ISNUMBER(SEARCH("software engineer",B299)),ISNUMBER(SEARCH("programmer",B299))),"Software Developer",ISNUMBER(SEARCH("business development",B299)),"Business Development",ISNUMBER(SEARCH("sales",B299)),"Sales Executive",ISNUMBER(SEARCH("marketing",B299)),"Marketing Executive",OR(ISNUMBER(SEARCH("hr ",B299)),ISNUMBER(SEARCH("recruit",B299)),ISNUMBER(SEARCH("human resource",B299))),"HR / Recruiter",OR(ISNUMBER(SEARCH("account",B299)),ISNUMBER(SEARCH("finance",B299)),ISNUMBER(SEARCH("tax",B299)),ISNUMBER(SEARCH("audit",B299))),"Accountant / Finance",OR(ISNUMBER(SEARCH("customer service",B299)),ISNUMBER(SEARCH("customer support",B299)),ISNUMBER(SEARCH("customer care",B299)),ISNUMBER(SEARCH("voice process",B299)),ISNUMBER(SEARCH("bpo",B299))),"Customer Support",ISNUMBER(SEARCH("engineer",B299)),"Engineer (Technical)",ISNUMBER(SEARCH("manager",B299)),"Manager",OR(ISNUMBER(SEARCH("teacher",B299)),ISNUMBER(SEARCH("trainer",B299)),ISNUMBER(SEARCH("faculty",B299))),"Teacher / Trainer",OR(ISNUMBER(SEARCH("doctor",B299)),ISNUMBER(SEARCH("nurse",B299)),ISNUMBER(SEARCH("medical",B299)),ISNUMBER(SEARCH("pharma",B299)),ISNUMBER(SEARCH("clinical",B299))),"Healthcare",TRUE,"Other")</f>
        <v/>
      </c>
      <c r="Q299" s="48">
        <f>IF(COUNTIFS($B$11:B299,B299,$C$11:C299,C299,$D$11:D299,D299,$L$11:L299,L299)&gt;1,"Duplicate","Unique")</f>
        <v/>
      </c>
    </row>
    <row r="300">
      <c r="A300" s="48">
        <f>Raw_Data!A291</f>
        <v/>
      </c>
      <c r="B300" s="48">
        <f>PROPER(TRIM(Raw_Data!B291))</f>
        <v/>
      </c>
      <c r="C300" s="48">
        <f>TRIM(Raw_Data!C291)</f>
        <v/>
      </c>
      <c r="D300" s="48">
        <f>IF(PROPER(TRIM(Raw_Data!D291))="Bangalore","Bengaluru",IF(PROPER(TRIM(Raw_Data!D291))="Gurgaon","Gurugram",IF(OR(PROPER(TRIM(Raw_Data!D291))="New Delhi",PROPER(TRIM(Raw_Data!D291))="Delhi"),"Delhi",PROPER(TRIM(Raw_Data!D291)))))</f>
        <v/>
      </c>
      <c r="E300" s="48">
        <f>Raw_Data!E291</f>
        <v/>
      </c>
      <c r="F300" s="48">
        <f>IF(TRIM(Raw_Data!F291&amp;"")="","Not Specified",Raw_Data!F291)</f>
        <v/>
      </c>
      <c r="G300" s="48">
        <f>Raw_Data!G291</f>
        <v/>
      </c>
      <c r="H300" s="48">
        <f>Raw_Data!H291</f>
        <v/>
      </c>
      <c r="I300" s="49">
        <f>IF(Raw_Data!I291="","",Raw_Data!I291)</f>
        <v/>
      </c>
      <c r="J300" s="49">
        <f>IF(Raw_Data!J291="","",Raw_Data!J291)</f>
        <v/>
      </c>
      <c r="K300" s="48">
        <f>IF(TRIM(Raw_Data!K291&amp;"")="","Not Specified",Raw_Data!K291)</f>
        <v/>
      </c>
      <c r="L300" s="56">
        <f>Raw_Data!L291</f>
        <v/>
      </c>
      <c r="M300" s="49">
        <f>IF(OR(I300="",J300=""),"",(I300+J300)/2)</f>
        <v/>
      </c>
      <c r="N300" s="49">
        <f>IF(OR(I300="",J300=""),"",J300-I300)</f>
        <v/>
      </c>
      <c r="O300" s="48">
        <f>TEXT(L300,"mmm-yyyy")</f>
        <v/>
      </c>
      <c r="P300" s="48">
        <f>_xlfn.IFS(ISNUMBER(SEARCH("data analy",B300)),"Data Analyst",ISNUMBER(SEARCH("business analy",B300)),"Business Analyst",OR(ISNUMBER(SEARCH("developer",B300)),ISNUMBER(SEARCH("software engineer",B300)),ISNUMBER(SEARCH("programmer",B300))),"Software Developer",ISNUMBER(SEARCH("business development",B300)),"Business Development",ISNUMBER(SEARCH("sales",B300)),"Sales Executive",ISNUMBER(SEARCH("marketing",B300)),"Marketing Executive",OR(ISNUMBER(SEARCH("hr ",B300)),ISNUMBER(SEARCH("recruit",B300)),ISNUMBER(SEARCH("human resource",B300))),"HR / Recruiter",OR(ISNUMBER(SEARCH("account",B300)),ISNUMBER(SEARCH("finance",B300)),ISNUMBER(SEARCH("tax",B300)),ISNUMBER(SEARCH("audit",B300))),"Accountant / Finance",OR(ISNUMBER(SEARCH("customer service",B300)),ISNUMBER(SEARCH("customer support",B300)),ISNUMBER(SEARCH("customer care",B300)),ISNUMBER(SEARCH("voice process",B300)),ISNUMBER(SEARCH("bpo",B300))),"Customer Support",ISNUMBER(SEARCH("engineer",B300)),"Engineer (Technical)",ISNUMBER(SEARCH("manager",B300)),"Manager",OR(ISNUMBER(SEARCH("teacher",B300)),ISNUMBER(SEARCH("trainer",B300)),ISNUMBER(SEARCH("faculty",B300))),"Teacher / Trainer",OR(ISNUMBER(SEARCH("doctor",B300)),ISNUMBER(SEARCH("nurse",B300)),ISNUMBER(SEARCH("medical",B300)),ISNUMBER(SEARCH("pharma",B300)),ISNUMBER(SEARCH("clinical",B300))),"Healthcare",TRUE,"Other")</f>
        <v/>
      </c>
      <c r="Q300" s="48">
        <f>IF(COUNTIFS($B$11:B300,B300,$C$11:C300,C300,$D$11:D300,D300,$L$11:L300,L300)&gt;1,"Duplicate","Unique")</f>
        <v/>
      </c>
    </row>
    <row r="301">
      <c r="A301" s="48">
        <f>Raw_Data!A292</f>
        <v/>
      </c>
      <c r="B301" s="48">
        <f>PROPER(TRIM(Raw_Data!B292))</f>
        <v/>
      </c>
      <c r="C301" s="48">
        <f>TRIM(Raw_Data!C292)</f>
        <v/>
      </c>
      <c r="D301" s="48">
        <f>IF(PROPER(TRIM(Raw_Data!D292))="Bangalore","Bengaluru",IF(PROPER(TRIM(Raw_Data!D292))="Gurgaon","Gurugram",IF(OR(PROPER(TRIM(Raw_Data!D292))="New Delhi",PROPER(TRIM(Raw_Data!D292))="Delhi"),"Delhi",PROPER(TRIM(Raw_Data!D292)))))</f>
        <v/>
      </c>
      <c r="E301" s="48">
        <f>Raw_Data!E292</f>
        <v/>
      </c>
      <c r="F301" s="48">
        <f>IF(TRIM(Raw_Data!F292&amp;"")="","Not Specified",Raw_Data!F292)</f>
        <v/>
      </c>
      <c r="G301" s="48">
        <f>Raw_Data!G292</f>
        <v/>
      </c>
      <c r="H301" s="48">
        <f>Raw_Data!H292</f>
        <v/>
      </c>
      <c r="I301" s="49">
        <f>IF(Raw_Data!I292="","",Raw_Data!I292)</f>
        <v/>
      </c>
      <c r="J301" s="49">
        <f>IF(Raw_Data!J292="","",Raw_Data!J292)</f>
        <v/>
      </c>
      <c r="K301" s="48">
        <f>IF(TRIM(Raw_Data!K292&amp;"")="","Not Specified",Raw_Data!K292)</f>
        <v/>
      </c>
      <c r="L301" s="56">
        <f>Raw_Data!L292</f>
        <v/>
      </c>
      <c r="M301" s="49">
        <f>IF(OR(I301="",J301=""),"",(I301+J301)/2)</f>
        <v/>
      </c>
      <c r="N301" s="49">
        <f>IF(OR(I301="",J301=""),"",J301-I301)</f>
        <v/>
      </c>
      <c r="O301" s="48">
        <f>TEXT(L301,"mmm-yyyy")</f>
        <v/>
      </c>
      <c r="P301" s="48">
        <f>_xlfn.IFS(ISNUMBER(SEARCH("data analy",B301)),"Data Analyst",ISNUMBER(SEARCH("business analy",B301)),"Business Analyst",OR(ISNUMBER(SEARCH("developer",B301)),ISNUMBER(SEARCH("software engineer",B301)),ISNUMBER(SEARCH("programmer",B301))),"Software Developer",ISNUMBER(SEARCH("business development",B301)),"Business Development",ISNUMBER(SEARCH("sales",B301)),"Sales Executive",ISNUMBER(SEARCH("marketing",B301)),"Marketing Executive",OR(ISNUMBER(SEARCH("hr ",B301)),ISNUMBER(SEARCH("recruit",B301)),ISNUMBER(SEARCH("human resource",B301))),"HR / Recruiter",OR(ISNUMBER(SEARCH("account",B301)),ISNUMBER(SEARCH("finance",B301)),ISNUMBER(SEARCH("tax",B301)),ISNUMBER(SEARCH("audit",B301))),"Accountant / Finance",OR(ISNUMBER(SEARCH("customer service",B301)),ISNUMBER(SEARCH("customer support",B301)),ISNUMBER(SEARCH("customer care",B301)),ISNUMBER(SEARCH("voice process",B301)),ISNUMBER(SEARCH("bpo",B301))),"Customer Support",ISNUMBER(SEARCH("engineer",B301)),"Engineer (Technical)",ISNUMBER(SEARCH("manager",B301)),"Manager",OR(ISNUMBER(SEARCH("teacher",B301)),ISNUMBER(SEARCH("trainer",B301)),ISNUMBER(SEARCH("faculty",B301))),"Teacher / Trainer",OR(ISNUMBER(SEARCH("doctor",B301)),ISNUMBER(SEARCH("nurse",B301)),ISNUMBER(SEARCH("medical",B301)),ISNUMBER(SEARCH("pharma",B301)),ISNUMBER(SEARCH("clinical",B301))),"Healthcare",TRUE,"Other")</f>
        <v/>
      </c>
      <c r="Q301" s="48">
        <f>IF(COUNTIFS($B$11:B301,B301,$C$11:C301,C301,$D$11:D301,D301,$L$11:L301,L301)&gt;1,"Duplicate","Unique")</f>
        <v/>
      </c>
    </row>
    <row r="302">
      <c r="A302" s="48">
        <f>Raw_Data!A293</f>
        <v/>
      </c>
      <c r="B302" s="48">
        <f>PROPER(TRIM(Raw_Data!B293))</f>
        <v/>
      </c>
      <c r="C302" s="48">
        <f>TRIM(Raw_Data!C293)</f>
        <v/>
      </c>
      <c r="D302" s="48">
        <f>IF(PROPER(TRIM(Raw_Data!D293))="Bangalore","Bengaluru",IF(PROPER(TRIM(Raw_Data!D293))="Gurgaon","Gurugram",IF(OR(PROPER(TRIM(Raw_Data!D293))="New Delhi",PROPER(TRIM(Raw_Data!D293))="Delhi"),"Delhi",PROPER(TRIM(Raw_Data!D293)))))</f>
        <v/>
      </c>
      <c r="E302" s="48">
        <f>Raw_Data!E293</f>
        <v/>
      </c>
      <c r="F302" s="48">
        <f>IF(TRIM(Raw_Data!F293&amp;"")="","Not Specified",Raw_Data!F293)</f>
        <v/>
      </c>
      <c r="G302" s="48">
        <f>Raw_Data!G293</f>
        <v/>
      </c>
      <c r="H302" s="48">
        <f>Raw_Data!H293</f>
        <v/>
      </c>
      <c r="I302" s="49">
        <f>IF(Raw_Data!I293="","",Raw_Data!I293)</f>
        <v/>
      </c>
      <c r="J302" s="49">
        <f>IF(Raw_Data!J293="","",Raw_Data!J293)</f>
        <v/>
      </c>
      <c r="K302" s="48">
        <f>IF(TRIM(Raw_Data!K293&amp;"")="","Not Specified",Raw_Data!K293)</f>
        <v/>
      </c>
      <c r="L302" s="56">
        <f>Raw_Data!L293</f>
        <v/>
      </c>
      <c r="M302" s="49">
        <f>IF(OR(I302="",J302=""),"",(I302+J302)/2)</f>
        <v/>
      </c>
      <c r="N302" s="49">
        <f>IF(OR(I302="",J302=""),"",J302-I302)</f>
        <v/>
      </c>
      <c r="O302" s="48">
        <f>TEXT(L302,"mmm-yyyy")</f>
        <v/>
      </c>
      <c r="P302" s="48">
        <f>_xlfn.IFS(ISNUMBER(SEARCH("data analy",B302)),"Data Analyst",ISNUMBER(SEARCH("business analy",B302)),"Business Analyst",OR(ISNUMBER(SEARCH("developer",B302)),ISNUMBER(SEARCH("software engineer",B302)),ISNUMBER(SEARCH("programmer",B302))),"Software Developer",ISNUMBER(SEARCH("business development",B302)),"Business Development",ISNUMBER(SEARCH("sales",B302)),"Sales Executive",ISNUMBER(SEARCH("marketing",B302)),"Marketing Executive",OR(ISNUMBER(SEARCH("hr ",B302)),ISNUMBER(SEARCH("recruit",B302)),ISNUMBER(SEARCH("human resource",B302))),"HR / Recruiter",OR(ISNUMBER(SEARCH("account",B302)),ISNUMBER(SEARCH("finance",B302)),ISNUMBER(SEARCH("tax",B302)),ISNUMBER(SEARCH("audit",B302))),"Accountant / Finance",OR(ISNUMBER(SEARCH("customer service",B302)),ISNUMBER(SEARCH("customer support",B302)),ISNUMBER(SEARCH("customer care",B302)),ISNUMBER(SEARCH("voice process",B302)),ISNUMBER(SEARCH("bpo",B302))),"Customer Support",ISNUMBER(SEARCH("engineer",B302)),"Engineer (Technical)",ISNUMBER(SEARCH("manager",B302)),"Manager",OR(ISNUMBER(SEARCH("teacher",B302)),ISNUMBER(SEARCH("trainer",B302)),ISNUMBER(SEARCH("faculty",B302))),"Teacher / Trainer",OR(ISNUMBER(SEARCH("doctor",B302)),ISNUMBER(SEARCH("nurse",B302)),ISNUMBER(SEARCH("medical",B302)),ISNUMBER(SEARCH("pharma",B302)),ISNUMBER(SEARCH("clinical",B302))),"Healthcare",TRUE,"Other")</f>
        <v/>
      </c>
      <c r="Q302" s="48">
        <f>IF(COUNTIFS($B$11:B302,B302,$C$11:C302,C302,$D$11:D302,D302,$L$11:L302,L302)&gt;1,"Duplicate","Unique")</f>
        <v/>
      </c>
    </row>
    <row r="303">
      <c r="A303" s="48">
        <f>Raw_Data!A294</f>
        <v/>
      </c>
      <c r="B303" s="48">
        <f>PROPER(TRIM(Raw_Data!B294))</f>
        <v/>
      </c>
      <c r="C303" s="48">
        <f>TRIM(Raw_Data!C294)</f>
        <v/>
      </c>
      <c r="D303" s="48">
        <f>IF(PROPER(TRIM(Raw_Data!D294))="Bangalore","Bengaluru",IF(PROPER(TRIM(Raw_Data!D294))="Gurgaon","Gurugram",IF(OR(PROPER(TRIM(Raw_Data!D294))="New Delhi",PROPER(TRIM(Raw_Data!D294))="Delhi"),"Delhi",PROPER(TRIM(Raw_Data!D294)))))</f>
        <v/>
      </c>
      <c r="E303" s="48">
        <f>Raw_Data!E294</f>
        <v/>
      </c>
      <c r="F303" s="48">
        <f>IF(TRIM(Raw_Data!F294&amp;"")="","Not Specified",Raw_Data!F294)</f>
        <v/>
      </c>
      <c r="G303" s="48">
        <f>Raw_Data!G294</f>
        <v/>
      </c>
      <c r="H303" s="48">
        <f>Raw_Data!H294</f>
        <v/>
      </c>
      <c r="I303" s="49">
        <f>IF(Raw_Data!I294="","",Raw_Data!I294)</f>
        <v/>
      </c>
      <c r="J303" s="49">
        <f>IF(Raw_Data!J294="","",Raw_Data!J294)</f>
        <v/>
      </c>
      <c r="K303" s="48">
        <f>IF(TRIM(Raw_Data!K294&amp;"")="","Not Specified",Raw_Data!K294)</f>
        <v/>
      </c>
      <c r="L303" s="56">
        <f>Raw_Data!L294</f>
        <v/>
      </c>
      <c r="M303" s="49">
        <f>IF(OR(I303="",J303=""),"",(I303+J303)/2)</f>
        <v/>
      </c>
      <c r="N303" s="49">
        <f>IF(OR(I303="",J303=""),"",J303-I303)</f>
        <v/>
      </c>
      <c r="O303" s="48">
        <f>TEXT(L303,"mmm-yyyy")</f>
        <v/>
      </c>
      <c r="P303" s="48">
        <f>_xlfn.IFS(ISNUMBER(SEARCH("data analy",B303)),"Data Analyst",ISNUMBER(SEARCH("business analy",B303)),"Business Analyst",OR(ISNUMBER(SEARCH("developer",B303)),ISNUMBER(SEARCH("software engineer",B303)),ISNUMBER(SEARCH("programmer",B303))),"Software Developer",ISNUMBER(SEARCH("business development",B303)),"Business Development",ISNUMBER(SEARCH("sales",B303)),"Sales Executive",ISNUMBER(SEARCH("marketing",B303)),"Marketing Executive",OR(ISNUMBER(SEARCH("hr ",B303)),ISNUMBER(SEARCH("recruit",B303)),ISNUMBER(SEARCH("human resource",B303))),"HR / Recruiter",OR(ISNUMBER(SEARCH("account",B303)),ISNUMBER(SEARCH("finance",B303)),ISNUMBER(SEARCH("tax",B303)),ISNUMBER(SEARCH("audit",B303))),"Accountant / Finance",OR(ISNUMBER(SEARCH("customer service",B303)),ISNUMBER(SEARCH("customer support",B303)),ISNUMBER(SEARCH("customer care",B303)),ISNUMBER(SEARCH("voice process",B303)),ISNUMBER(SEARCH("bpo",B303))),"Customer Support",ISNUMBER(SEARCH("engineer",B303)),"Engineer (Technical)",ISNUMBER(SEARCH("manager",B303)),"Manager",OR(ISNUMBER(SEARCH("teacher",B303)),ISNUMBER(SEARCH("trainer",B303)),ISNUMBER(SEARCH("faculty",B303))),"Teacher / Trainer",OR(ISNUMBER(SEARCH("doctor",B303)),ISNUMBER(SEARCH("nurse",B303)),ISNUMBER(SEARCH("medical",B303)),ISNUMBER(SEARCH("pharma",B303)),ISNUMBER(SEARCH("clinical",B303))),"Healthcare",TRUE,"Other")</f>
        <v/>
      </c>
      <c r="Q303" s="48">
        <f>IF(COUNTIFS($B$11:B303,B303,$C$11:C303,C303,$D$11:D303,D303,$L$11:L303,L303)&gt;1,"Duplicate","Unique")</f>
        <v/>
      </c>
    </row>
    <row r="304">
      <c r="A304" s="48">
        <f>Raw_Data!A295</f>
        <v/>
      </c>
      <c r="B304" s="48">
        <f>PROPER(TRIM(Raw_Data!B295))</f>
        <v/>
      </c>
      <c r="C304" s="48">
        <f>TRIM(Raw_Data!C295)</f>
        <v/>
      </c>
      <c r="D304" s="48">
        <f>IF(PROPER(TRIM(Raw_Data!D295))="Bangalore","Bengaluru",IF(PROPER(TRIM(Raw_Data!D295))="Gurgaon","Gurugram",IF(OR(PROPER(TRIM(Raw_Data!D295))="New Delhi",PROPER(TRIM(Raw_Data!D295))="Delhi"),"Delhi",PROPER(TRIM(Raw_Data!D295)))))</f>
        <v/>
      </c>
      <c r="E304" s="48">
        <f>Raw_Data!E295</f>
        <v/>
      </c>
      <c r="F304" s="48">
        <f>IF(TRIM(Raw_Data!F295&amp;"")="","Not Specified",Raw_Data!F295)</f>
        <v/>
      </c>
      <c r="G304" s="48">
        <f>Raw_Data!G295</f>
        <v/>
      </c>
      <c r="H304" s="48">
        <f>Raw_Data!H295</f>
        <v/>
      </c>
      <c r="I304" s="49">
        <f>IF(Raw_Data!I295="","",Raw_Data!I295)</f>
        <v/>
      </c>
      <c r="J304" s="49">
        <f>IF(Raw_Data!J295="","",Raw_Data!J295)</f>
        <v/>
      </c>
      <c r="K304" s="48">
        <f>IF(TRIM(Raw_Data!K295&amp;"")="","Not Specified",Raw_Data!K295)</f>
        <v/>
      </c>
      <c r="L304" s="56">
        <f>Raw_Data!L295</f>
        <v/>
      </c>
      <c r="M304" s="49">
        <f>IF(OR(I304="",J304=""),"",(I304+J304)/2)</f>
        <v/>
      </c>
      <c r="N304" s="49">
        <f>IF(OR(I304="",J304=""),"",J304-I304)</f>
        <v/>
      </c>
      <c r="O304" s="48">
        <f>TEXT(L304,"mmm-yyyy")</f>
        <v/>
      </c>
      <c r="P304" s="48">
        <f>_xlfn.IFS(ISNUMBER(SEARCH("data analy",B304)),"Data Analyst",ISNUMBER(SEARCH("business analy",B304)),"Business Analyst",OR(ISNUMBER(SEARCH("developer",B304)),ISNUMBER(SEARCH("software engineer",B304)),ISNUMBER(SEARCH("programmer",B304))),"Software Developer",ISNUMBER(SEARCH("business development",B304)),"Business Development",ISNUMBER(SEARCH("sales",B304)),"Sales Executive",ISNUMBER(SEARCH("marketing",B304)),"Marketing Executive",OR(ISNUMBER(SEARCH("hr ",B304)),ISNUMBER(SEARCH("recruit",B304)),ISNUMBER(SEARCH("human resource",B304))),"HR / Recruiter",OR(ISNUMBER(SEARCH("account",B304)),ISNUMBER(SEARCH("finance",B304)),ISNUMBER(SEARCH("tax",B304)),ISNUMBER(SEARCH("audit",B304))),"Accountant / Finance",OR(ISNUMBER(SEARCH("customer service",B304)),ISNUMBER(SEARCH("customer support",B304)),ISNUMBER(SEARCH("customer care",B304)),ISNUMBER(SEARCH("voice process",B304)),ISNUMBER(SEARCH("bpo",B304))),"Customer Support",ISNUMBER(SEARCH("engineer",B304)),"Engineer (Technical)",ISNUMBER(SEARCH("manager",B304)),"Manager",OR(ISNUMBER(SEARCH("teacher",B304)),ISNUMBER(SEARCH("trainer",B304)),ISNUMBER(SEARCH("faculty",B304))),"Teacher / Trainer",OR(ISNUMBER(SEARCH("doctor",B304)),ISNUMBER(SEARCH("nurse",B304)),ISNUMBER(SEARCH("medical",B304)),ISNUMBER(SEARCH("pharma",B304)),ISNUMBER(SEARCH("clinical",B304))),"Healthcare",TRUE,"Other")</f>
        <v/>
      </c>
      <c r="Q304" s="48">
        <f>IF(COUNTIFS($B$11:B304,B304,$C$11:C304,C304,$D$11:D304,D304,$L$11:L304,L304)&gt;1,"Duplicate","Unique")</f>
        <v/>
      </c>
    </row>
    <row r="305">
      <c r="A305" s="48">
        <f>Raw_Data!A296</f>
        <v/>
      </c>
      <c r="B305" s="48">
        <f>PROPER(TRIM(Raw_Data!B296))</f>
        <v/>
      </c>
      <c r="C305" s="48">
        <f>TRIM(Raw_Data!C296)</f>
        <v/>
      </c>
      <c r="D305" s="48">
        <f>IF(PROPER(TRIM(Raw_Data!D296))="Bangalore","Bengaluru",IF(PROPER(TRIM(Raw_Data!D296))="Gurgaon","Gurugram",IF(OR(PROPER(TRIM(Raw_Data!D296))="New Delhi",PROPER(TRIM(Raw_Data!D296))="Delhi"),"Delhi",PROPER(TRIM(Raw_Data!D296)))))</f>
        <v/>
      </c>
      <c r="E305" s="48">
        <f>Raw_Data!E296</f>
        <v/>
      </c>
      <c r="F305" s="48">
        <f>IF(TRIM(Raw_Data!F296&amp;"")="","Not Specified",Raw_Data!F296)</f>
        <v/>
      </c>
      <c r="G305" s="48">
        <f>Raw_Data!G296</f>
        <v/>
      </c>
      <c r="H305" s="48">
        <f>Raw_Data!H296</f>
        <v/>
      </c>
      <c r="I305" s="49">
        <f>IF(Raw_Data!I296="","",Raw_Data!I296)</f>
        <v/>
      </c>
      <c r="J305" s="49">
        <f>IF(Raw_Data!J296="","",Raw_Data!J296)</f>
        <v/>
      </c>
      <c r="K305" s="48">
        <f>IF(TRIM(Raw_Data!K296&amp;"")="","Not Specified",Raw_Data!K296)</f>
        <v/>
      </c>
      <c r="L305" s="56">
        <f>Raw_Data!L296</f>
        <v/>
      </c>
      <c r="M305" s="49">
        <f>IF(OR(I305="",J305=""),"",(I305+J305)/2)</f>
        <v/>
      </c>
      <c r="N305" s="49">
        <f>IF(OR(I305="",J305=""),"",J305-I305)</f>
        <v/>
      </c>
      <c r="O305" s="48">
        <f>TEXT(L305,"mmm-yyyy")</f>
        <v/>
      </c>
      <c r="P305" s="48">
        <f>_xlfn.IFS(ISNUMBER(SEARCH("data analy",B305)),"Data Analyst",ISNUMBER(SEARCH("business analy",B305)),"Business Analyst",OR(ISNUMBER(SEARCH("developer",B305)),ISNUMBER(SEARCH("software engineer",B305)),ISNUMBER(SEARCH("programmer",B305))),"Software Developer",ISNUMBER(SEARCH("business development",B305)),"Business Development",ISNUMBER(SEARCH("sales",B305)),"Sales Executive",ISNUMBER(SEARCH("marketing",B305)),"Marketing Executive",OR(ISNUMBER(SEARCH("hr ",B305)),ISNUMBER(SEARCH("recruit",B305)),ISNUMBER(SEARCH("human resource",B305))),"HR / Recruiter",OR(ISNUMBER(SEARCH("account",B305)),ISNUMBER(SEARCH("finance",B305)),ISNUMBER(SEARCH("tax",B305)),ISNUMBER(SEARCH("audit",B305))),"Accountant / Finance",OR(ISNUMBER(SEARCH("customer service",B305)),ISNUMBER(SEARCH("customer support",B305)),ISNUMBER(SEARCH("customer care",B305)),ISNUMBER(SEARCH("voice process",B305)),ISNUMBER(SEARCH("bpo",B305))),"Customer Support",ISNUMBER(SEARCH("engineer",B305)),"Engineer (Technical)",ISNUMBER(SEARCH("manager",B305)),"Manager",OR(ISNUMBER(SEARCH("teacher",B305)),ISNUMBER(SEARCH("trainer",B305)),ISNUMBER(SEARCH("faculty",B305))),"Teacher / Trainer",OR(ISNUMBER(SEARCH("doctor",B305)),ISNUMBER(SEARCH("nurse",B305)),ISNUMBER(SEARCH("medical",B305)),ISNUMBER(SEARCH("pharma",B305)),ISNUMBER(SEARCH("clinical",B305))),"Healthcare",TRUE,"Other")</f>
        <v/>
      </c>
      <c r="Q305" s="48">
        <f>IF(COUNTIFS($B$11:B305,B305,$C$11:C305,C305,$D$11:D305,D305,$L$11:L305,L305)&gt;1,"Duplicate","Unique")</f>
        <v/>
      </c>
    </row>
    <row r="306">
      <c r="A306" s="48">
        <f>Raw_Data!A297</f>
        <v/>
      </c>
      <c r="B306" s="48">
        <f>PROPER(TRIM(Raw_Data!B297))</f>
        <v/>
      </c>
      <c r="C306" s="48">
        <f>TRIM(Raw_Data!C297)</f>
        <v/>
      </c>
      <c r="D306" s="48">
        <f>IF(PROPER(TRIM(Raw_Data!D297))="Bangalore","Bengaluru",IF(PROPER(TRIM(Raw_Data!D297))="Gurgaon","Gurugram",IF(OR(PROPER(TRIM(Raw_Data!D297))="New Delhi",PROPER(TRIM(Raw_Data!D297))="Delhi"),"Delhi",PROPER(TRIM(Raw_Data!D297)))))</f>
        <v/>
      </c>
      <c r="E306" s="48">
        <f>Raw_Data!E297</f>
        <v/>
      </c>
      <c r="F306" s="48">
        <f>IF(TRIM(Raw_Data!F297&amp;"")="","Not Specified",Raw_Data!F297)</f>
        <v/>
      </c>
      <c r="G306" s="48">
        <f>Raw_Data!G297</f>
        <v/>
      </c>
      <c r="H306" s="48">
        <f>Raw_Data!H297</f>
        <v/>
      </c>
      <c r="I306" s="49">
        <f>IF(Raw_Data!I297="","",Raw_Data!I297)</f>
        <v/>
      </c>
      <c r="J306" s="49">
        <f>IF(Raw_Data!J297="","",Raw_Data!J297)</f>
        <v/>
      </c>
      <c r="K306" s="48">
        <f>IF(TRIM(Raw_Data!K297&amp;"")="","Not Specified",Raw_Data!K297)</f>
        <v/>
      </c>
      <c r="L306" s="56">
        <f>Raw_Data!L297</f>
        <v/>
      </c>
      <c r="M306" s="49">
        <f>IF(OR(I306="",J306=""),"",(I306+J306)/2)</f>
        <v/>
      </c>
      <c r="N306" s="49">
        <f>IF(OR(I306="",J306=""),"",J306-I306)</f>
        <v/>
      </c>
      <c r="O306" s="48">
        <f>TEXT(L306,"mmm-yyyy")</f>
        <v/>
      </c>
      <c r="P306" s="48">
        <f>_xlfn.IFS(ISNUMBER(SEARCH("data analy",B306)),"Data Analyst",ISNUMBER(SEARCH("business analy",B306)),"Business Analyst",OR(ISNUMBER(SEARCH("developer",B306)),ISNUMBER(SEARCH("software engineer",B306)),ISNUMBER(SEARCH("programmer",B306))),"Software Developer",ISNUMBER(SEARCH("business development",B306)),"Business Development",ISNUMBER(SEARCH("sales",B306)),"Sales Executive",ISNUMBER(SEARCH("marketing",B306)),"Marketing Executive",OR(ISNUMBER(SEARCH("hr ",B306)),ISNUMBER(SEARCH("recruit",B306)),ISNUMBER(SEARCH("human resource",B306))),"HR / Recruiter",OR(ISNUMBER(SEARCH("account",B306)),ISNUMBER(SEARCH("finance",B306)),ISNUMBER(SEARCH("tax",B306)),ISNUMBER(SEARCH("audit",B306))),"Accountant / Finance",OR(ISNUMBER(SEARCH("customer service",B306)),ISNUMBER(SEARCH("customer support",B306)),ISNUMBER(SEARCH("customer care",B306)),ISNUMBER(SEARCH("voice process",B306)),ISNUMBER(SEARCH("bpo",B306))),"Customer Support",ISNUMBER(SEARCH("engineer",B306)),"Engineer (Technical)",ISNUMBER(SEARCH("manager",B306)),"Manager",OR(ISNUMBER(SEARCH("teacher",B306)),ISNUMBER(SEARCH("trainer",B306)),ISNUMBER(SEARCH("faculty",B306))),"Teacher / Trainer",OR(ISNUMBER(SEARCH("doctor",B306)),ISNUMBER(SEARCH("nurse",B306)),ISNUMBER(SEARCH("medical",B306)),ISNUMBER(SEARCH("pharma",B306)),ISNUMBER(SEARCH("clinical",B306))),"Healthcare",TRUE,"Other")</f>
        <v/>
      </c>
      <c r="Q306" s="48">
        <f>IF(COUNTIFS($B$11:B306,B306,$C$11:C306,C306,$D$11:D306,D306,$L$11:L306,L306)&gt;1,"Duplicate","Unique")</f>
        <v/>
      </c>
    </row>
    <row r="307">
      <c r="A307" s="48">
        <f>Raw_Data!A298</f>
        <v/>
      </c>
      <c r="B307" s="48">
        <f>PROPER(TRIM(Raw_Data!B298))</f>
        <v/>
      </c>
      <c r="C307" s="48">
        <f>TRIM(Raw_Data!C298)</f>
        <v/>
      </c>
      <c r="D307" s="48">
        <f>IF(PROPER(TRIM(Raw_Data!D298))="Bangalore","Bengaluru",IF(PROPER(TRIM(Raw_Data!D298))="Gurgaon","Gurugram",IF(OR(PROPER(TRIM(Raw_Data!D298))="New Delhi",PROPER(TRIM(Raw_Data!D298))="Delhi"),"Delhi",PROPER(TRIM(Raw_Data!D298)))))</f>
        <v/>
      </c>
      <c r="E307" s="48">
        <f>Raw_Data!E298</f>
        <v/>
      </c>
      <c r="F307" s="48">
        <f>IF(TRIM(Raw_Data!F298&amp;"")="","Not Specified",Raw_Data!F298)</f>
        <v/>
      </c>
      <c r="G307" s="48">
        <f>Raw_Data!G298</f>
        <v/>
      </c>
      <c r="H307" s="48">
        <f>Raw_Data!H298</f>
        <v/>
      </c>
      <c r="I307" s="49">
        <f>IF(Raw_Data!I298="","",Raw_Data!I298)</f>
        <v/>
      </c>
      <c r="J307" s="49">
        <f>IF(Raw_Data!J298="","",Raw_Data!J298)</f>
        <v/>
      </c>
      <c r="K307" s="48">
        <f>IF(TRIM(Raw_Data!K298&amp;"")="","Not Specified",Raw_Data!K298)</f>
        <v/>
      </c>
      <c r="L307" s="56">
        <f>Raw_Data!L298</f>
        <v/>
      </c>
      <c r="M307" s="49">
        <f>IF(OR(I307="",J307=""),"",(I307+J307)/2)</f>
        <v/>
      </c>
      <c r="N307" s="49">
        <f>IF(OR(I307="",J307=""),"",J307-I307)</f>
        <v/>
      </c>
      <c r="O307" s="48">
        <f>TEXT(L307,"mmm-yyyy")</f>
        <v/>
      </c>
      <c r="P307" s="48">
        <f>_xlfn.IFS(ISNUMBER(SEARCH("data analy",B307)),"Data Analyst",ISNUMBER(SEARCH("business analy",B307)),"Business Analyst",OR(ISNUMBER(SEARCH("developer",B307)),ISNUMBER(SEARCH("software engineer",B307)),ISNUMBER(SEARCH("programmer",B307))),"Software Developer",ISNUMBER(SEARCH("business development",B307)),"Business Development",ISNUMBER(SEARCH("sales",B307)),"Sales Executive",ISNUMBER(SEARCH("marketing",B307)),"Marketing Executive",OR(ISNUMBER(SEARCH("hr ",B307)),ISNUMBER(SEARCH("recruit",B307)),ISNUMBER(SEARCH("human resource",B307))),"HR / Recruiter",OR(ISNUMBER(SEARCH("account",B307)),ISNUMBER(SEARCH("finance",B307)),ISNUMBER(SEARCH("tax",B307)),ISNUMBER(SEARCH("audit",B307))),"Accountant / Finance",OR(ISNUMBER(SEARCH("customer service",B307)),ISNUMBER(SEARCH("customer support",B307)),ISNUMBER(SEARCH("customer care",B307)),ISNUMBER(SEARCH("voice process",B307)),ISNUMBER(SEARCH("bpo",B307))),"Customer Support",ISNUMBER(SEARCH("engineer",B307)),"Engineer (Technical)",ISNUMBER(SEARCH("manager",B307)),"Manager",OR(ISNUMBER(SEARCH("teacher",B307)),ISNUMBER(SEARCH("trainer",B307)),ISNUMBER(SEARCH("faculty",B307))),"Teacher / Trainer",OR(ISNUMBER(SEARCH("doctor",B307)),ISNUMBER(SEARCH("nurse",B307)),ISNUMBER(SEARCH("medical",B307)),ISNUMBER(SEARCH("pharma",B307)),ISNUMBER(SEARCH("clinical",B307))),"Healthcare",TRUE,"Other")</f>
        <v/>
      </c>
      <c r="Q307" s="48">
        <f>IF(COUNTIFS($B$11:B307,B307,$C$11:C307,C307,$D$11:D307,D307,$L$11:L307,L307)&gt;1,"Duplicate","Unique")</f>
        <v/>
      </c>
    </row>
    <row r="308">
      <c r="A308" s="48">
        <f>Raw_Data!A299</f>
        <v/>
      </c>
      <c r="B308" s="48">
        <f>PROPER(TRIM(Raw_Data!B299))</f>
        <v/>
      </c>
      <c r="C308" s="48">
        <f>TRIM(Raw_Data!C299)</f>
        <v/>
      </c>
      <c r="D308" s="48">
        <f>IF(PROPER(TRIM(Raw_Data!D299))="Bangalore","Bengaluru",IF(PROPER(TRIM(Raw_Data!D299))="Gurgaon","Gurugram",IF(OR(PROPER(TRIM(Raw_Data!D299))="New Delhi",PROPER(TRIM(Raw_Data!D299))="Delhi"),"Delhi",PROPER(TRIM(Raw_Data!D299)))))</f>
        <v/>
      </c>
      <c r="E308" s="48">
        <f>Raw_Data!E299</f>
        <v/>
      </c>
      <c r="F308" s="48">
        <f>IF(TRIM(Raw_Data!F299&amp;"")="","Not Specified",Raw_Data!F299)</f>
        <v/>
      </c>
      <c r="G308" s="48">
        <f>Raw_Data!G299</f>
        <v/>
      </c>
      <c r="H308" s="48">
        <f>Raw_Data!H299</f>
        <v/>
      </c>
      <c r="I308" s="49">
        <f>IF(Raw_Data!I299="","",Raw_Data!I299)</f>
        <v/>
      </c>
      <c r="J308" s="49">
        <f>IF(Raw_Data!J299="","",Raw_Data!J299)</f>
        <v/>
      </c>
      <c r="K308" s="48">
        <f>IF(TRIM(Raw_Data!K299&amp;"")="","Not Specified",Raw_Data!K299)</f>
        <v/>
      </c>
      <c r="L308" s="56">
        <f>Raw_Data!L299</f>
        <v/>
      </c>
      <c r="M308" s="49">
        <f>IF(OR(I308="",J308=""),"",(I308+J308)/2)</f>
        <v/>
      </c>
      <c r="N308" s="49">
        <f>IF(OR(I308="",J308=""),"",J308-I308)</f>
        <v/>
      </c>
      <c r="O308" s="48">
        <f>TEXT(L308,"mmm-yyyy")</f>
        <v/>
      </c>
      <c r="P308" s="48">
        <f>_xlfn.IFS(ISNUMBER(SEARCH("data analy",B308)),"Data Analyst",ISNUMBER(SEARCH("business analy",B308)),"Business Analyst",OR(ISNUMBER(SEARCH("developer",B308)),ISNUMBER(SEARCH("software engineer",B308)),ISNUMBER(SEARCH("programmer",B308))),"Software Developer",ISNUMBER(SEARCH("business development",B308)),"Business Development",ISNUMBER(SEARCH("sales",B308)),"Sales Executive",ISNUMBER(SEARCH("marketing",B308)),"Marketing Executive",OR(ISNUMBER(SEARCH("hr ",B308)),ISNUMBER(SEARCH("recruit",B308)),ISNUMBER(SEARCH("human resource",B308))),"HR / Recruiter",OR(ISNUMBER(SEARCH("account",B308)),ISNUMBER(SEARCH("finance",B308)),ISNUMBER(SEARCH("tax",B308)),ISNUMBER(SEARCH("audit",B308))),"Accountant / Finance",OR(ISNUMBER(SEARCH("customer service",B308)),ISNUMBER(SEARCH("customer support",B308)),ISNUMBER(SEARCH("customer care",B308)),ISNUMBER(SEARCH("voice process",B308)),ISNUMBER(SEARCH("bpo",B308))),"Customer Support",ISNUMBER(SEARCH("engineer",B308)),"Engineer (Technical)",ISNUMBER(SEARCH("manager",B308)),"Manager",OR(ISNUMBER(SEARCH("teacher",B308)),ISNUMBER(SEARCH("trainer",B308)),ISNUMBER(SEARCH("faculty",B308))),"Teacher / Trainer",OR(ISNUMBER(SEARCH("doctor",B308)),ISNUMBER(SEARCH("nurse",B308)),ISNUMBER(SEARCH("medical",B308)),ISNUMBER(SEARCH("pharma",B308)),ISNUMBER(SEARCH("clinical",B308))),"Healthcare",TRUE,"Other")</f>
        <v/>
      </c>
      <c r="Q308" s="48">
        <f>IF(COUNTIFS($B$11:B308,B308,$C$11:C308,C308,$D$11:D308,D308,$L$11:L308,L308)&gt;1,"Duplicate","Unique")</f>
        <v/>
      </c>
    </row>
    <row r="309">
      <c r="A309" s="48">
        <f>Raw_Data!A300</f>
        <v/>
      </c>
      <c r="B309" s="48">
        <f>PROPER(TRIM(Raw_Data!B300))</f>
        <v/>
      </c>
      <c r="C309" s="48">
        <f>TRIM(Raw_Data!C300)</f>
        <v/>
      </c>
      <c r="D309" s="48">
        <f>IF(PROPER(TRIM(Raw_Data!D300))="Bangalore","Bengaluru",IF(PROPER(TRIM(Raw_Data!D300))="Gurgaon","Gurugram",IF(OR(PROPER(TRIM(Raw_Data!D300))="New Delhi",PROPER(TRIM(Raw_Data!D300))="Delhi"),"Delhi",PROPER(TRIM(Raw_Data!D300)))))</f>
        <v/>
      </c>
      <c r="E309" s="48">
        <f>Raw_Data!E300</f>
        <v/>
      </c>
      <c r="F309" s="48">
        <f>IF(TRIM(Raw_Data!F300&amp;"")="","Not Specified",Raw_Data!F300)</f>
        <v/>
      </c>
      <c r="G309" s="48">
        <f>Raw_Data!G300</f>
        <v/>
      </c>
      <c r="H309" s="48">
        <f>Raw_Data!H300</f>
        <v/>
      </c>
      <c r="I309" s="49">
        <f>IF(Raw_Data!I300="","",Raw_Data!I300)</f>
        <v/>
      </c>
      <c r="J309" s="49">
        <f>IF(Raw_Data!J300="","",Raw_Data!J300)</f>
        <v/>
      </c>
      <c r="K309" s="48">
        <f>IF(TRIM(Raw_Data!K300&amp;"")="","Not Specified",Raw_Data!K300)</f>
        <v/>
      </c>
      <c r="L309" s="56">
        <f>Raw_Data!L300</f>
        <v/>
      </c>
      <c r="M309" s="49">
        <f>IF(OR(I309="",J309=""),"",(I309+J309)/2)</f>
        <v/>
      </c>
      <c r="N309" s="49">
        <f>IF(OR(I309="",J309=""),"",J309-I309)</f>
        <v/>
      </c>
      <c r="O309" s="48">
        <f>TEXT(L309,"mmm-yyyy")</f>
        <v/>
      </c>
      <c r="P309" s="48">
        <f>_xlfn.IFS(ISNUMBER(SEARCH("data analy",B309)),"Data Analyst",ISNUMBER(SEARCH("business analy",B309)),"Business Analyst",OR(ISNUMBER(SEARCH("developer",B309)),ISNUMBER(SEARCH("software engineer",B309)),ISNUMBER(SEARCH("programmer",B309))),"Software Developer",ISNUMBER(SEARCH("business development",B309)),"Business Development",ISNUMBER(SEARCH("sales",B309)),"Sales Executive",ISNUMBER(SEARCH("marketing",B309)),"Marketing Executive",OR(ISNUMBER(SEARCH("hr ",B309)),ISNUMBER(SEARCH("recruit",B309)),ISNUMBER(SEARCH("human resource",B309))),"HR / Recruiter",OR(ISNUMBER(SEARCH("account",B309)),ISNUMBER(SEARCH("finance",B309)),ISNUMBER(SEARCH("tax",B309)),ISNUMBER(SEARCH("audit",B309))),"Accountant / Finance",OR(ISNUMBER(SEARCH("customer service",B309)),ISNUMBER(SEARCH("customer support",B309)),ISNUMBER(SEARCH("customer care",B309)),ISNUMBER(SEARCH("voice process",B309)),ISNUMBER(SEARCH("bpo",B309))),"Customer Support",ISNUMBER(SEARCH("engineer",B309)),"Engineer (Technical)",ISNUMBER(SEARCH("manager",B309)),"Manager",OR(ISNUMBER(SEARCH("teacher",B309)),ISNUMBER(SEARCH("trainer",B309)),ISNUMBER(SEARCH("faculty",B309))),"Teacher / Trainer",OR(ISNUMBER(SEARCH("doctor",B309)),ISNUMBER(SEARCH("nurse",B309)),ISNUMBER(SEARCH("medical",B309)),ISNUMBER(SEARCH("pharma",B309)),ISNUMBER(SEARCH("clinical",B309))),"Healthcare",TRUE,"Other")</f>
        <v/>
      </c>
      <c r="Q309" s="48">
        <f>IF(COUNTIFS($B$11:B309,B309,$C$11:C309,C309,$D$11:D309,D309,$L$11:L309,L309)&gt;1,"Duplicate","Unique")</f>
        <v/>
      </c>
    </row>
    <row r="310">
      <c r="A310" s="48">
        <f>Raw_Data!A301</f>
        <v/>
      </c>
      <c r="B310" s="48">
        <f>PROPER(TRIM(Raw_Data!B301))</f>
        <v/>
      </c>
      <c r="C310" s="48">
        <f>TRIM(Raw_Data!C301)</f>
        <v/>
      </c>
      <c r="D310" s="48">
        <f>IF(PROPER(TRIM(Raw_Data!D301))="Bangalore","Bengaluru",IF(PROPER(TRIM(Raw_Data!D301))="Gurgaon","Gurugram",IF(OR(PROPER(TRIM(Raw_Data!D301))="New Delhi",PROPER(TRIM(Raw_Data!D301))="Delhi"),"Delhi",PROPER(TRIM(Raw_Data!D301)))))</f>
        <v/>
      </c>
      <c r="E310" s="48">
        <f>Raw_Data!E301</f>
        <v/>
      </c>
      <c r="F310" s="48">
        <f>IF(TRIM(Raw_Data!F301&amp;"")="","Not Specified",Raw_Data!F301)</f>
        <v/>
      </c>
      <c r="G310" s="48">
        <f>Raw_Data!G301</f>
        <v/>
      </c>
      <c r="H310" s="48">
        <f>Raw_Data!H301</f>
        <v/>
      </c>
      <c r="I310" s="49">
        <f>IF(Raw_Data!I301="","",Raw_Data!I301)</f>
        <v/>
      </c>
      <c r="J310" s="49">
        <f>IF(Raw_Data!J301="","",Raw_Data!J301)</f>
        <v/>
      </c>
      <c r="K310" s="48">
        <f>IF(TRIM(Raw_Data!K301&amp;"")="","Not Specified",Raw_Data!K301)</f>
        <v/>
      </c>
      <c r="L310" s="56">
        <f>Raw_Data!L301</f>
        <v/>
      </c>
      <c r="M310" s="49">
        <f>IF(OR(I310="",J310=""),"",(I310+J310)/2)</f>
        <v/>
      </c>
      <c r="N310" s="49">
        <f>IF(OR(I310="",J310=""),"",J310-I310)</f>
        <v/>
      </c>
      <c r="O310" s="48">
        <f>TEXT(L310,"mmm-yyyy")</f>
        <v/>
      </c>
      <c r="P310" s="48">
        <f>_xlfn.IFS(ISNUMBER(SEARCH("data analy",B310)),"Data Analyst",ISNUMBER(SEARCH("business analy",B310)),"Business Analyst",OR(ISNUMBER(SEARCH("developer",B310)),ISNUMBER(SEARCH("software engineer",B310)),ISNUMBER(SEARCH("programmer",B310))),"Software Developer",ISNUMBER(SEARCH("business development",B310)),"Business Development",ISNUMBER(SEARCH("sales",B310)),"Sales Executive",ISNUMBER(SEARCH("marketing",B310)),"Marketing Executive",OR(ISNUMBER(SEARCH("hr ",B310)),ISNUMBER(SEARCH("recruit",B310)),ISNUMBER(SEARCH("human resource",B310))),"HR / Recruiter",OR(ISNUMBER(SEARCH("account",B310)),ISNUMBER(SEARCH("finance",B310)),ISNUMBER(SEARCH("tax",B310)),ISNUMBER(SEARCH("audit",B310))),"Accountant / Finance",OR(ISNUMBER(SEARCH("customer service",B310)),ISNUMBER(SEARCH("customer support",B310)),ISNUMBER(SEARCH("customer care",B310)),ISNUMBER(SEARCH("voice process",B310)),ISNUMBER(SEARCH("bpo",B310))),"Customer Support",ISNUMBER(SEARCH("engineer",B310)),"Engineer (Technical)",ISNUMBER(SEARCH("manager",B310)),"Manager",OR(ISNUMBER(SEARCH("teacher",B310)),ISNUMBER(SEARCH("trainer",B310)),ISNUMBER(SEARCH("faculty",B310))),"Teacher / Trainer",OR(ISNUMBER(SEARCH("doctor",B310)),ISNUMBER(SEARCH("nurse",B310)),ISNUMBER(SEARCH("medical",B310)),ISNUMBER(SEARCH("pharma",B310)),ISNUMBER(SEARCH("clinical",B310))),"Healthcare",TRUE,"Other")</f>
        <v/>
      </c>
      <c r="Q310" s="48">
        <f>IF(COUNTIFS($B$11:B310,B310,$C$11:C310,C310,$D$11:D310,D310,$L$11:L310,L310)&gt;1,"Duplicate","Unique")</f>
        <v/>
      </c>
    </row>
    <row r="311">
      <c r="A311" s="48">
        <f>Raw_Data!A302</f>
        <v/>
      </c>
      <c r="B311" s="48">
        <f>PROPER(TRIM(Raw_Data!B302))</f>
        <v/>
      </c>
      <c r="C311" s="48">
        <f>TRIM(Raw_Data!C302)</f>
        <v/>
      </c>
      <c r="D311" s="48">
        <f>IF(PROPER(TRIM(Raw_Data!D302))="Bangalore","Bengaluru",IF(PROPER(TRIM(Raw_Data!D302))="Gurgaon","Gurugram",IF(OR(PROPER(TRIM(Raw_Data!D302))="New Delhi",PROPER(TRIM(Raw_Data!D302))="Delhi"),"Delhi",PROPER(TRIM(Raw_Data!D302)))))</f>
        <v/>
      </c>
      <c r="E311" s="48">
        <f>Raw_Data!E302</f>
        <v/>
      </c>
      <c r="F311" s="48">
        <f>IF(TRIM(Raw_Data!F302&amp;"")="","Not Specified",Raw_Data!F302)</f>
        <v/>
      </c>
      <c r="G311" s="48">
        <f>Raw_Data!G302</f>
        <v/>
      </c>
      <c r="H311" s="48">
        <f>Raw_Data!H302</f>
        <v/>
      </c>
      <c r="I311" s="49">
        <f>IF(Raw_Data!I302="","",Raw_Data!I302)</f>
        <v/>
      </c>
      <c r="J311" s="49">
        <f>IF(Raw_Data!J302="","",Raw_Data!J302)</f>
        <v/>
      </c>
      <c r="K311" s="48">
        <f>IF(TRIM(Raw_Data!K302&amp;"")="","Not Specified",Raw_Data!K302)</f>
        <v/>
      </c>
      <c r="L311" s="56">
        <f>Raw_Data!L302</f>
        <v/>
      </c>
      <c r="M311" s="49">
        <f>IF(OR(I311="",J311=""),"",(I311+J311)/2)</f>
        <v/>
      </c>
      <c r="N311" s="49">
        <f>IF(OR(I311="",J311=""),"",J311-I311)</f>
        <v/>
      </c>
      <c r="O311" s="48">
        <f>TEXT(L311,"mmm-yyyy")</f>
        <v/>
      </c>
      <c r="P311" s="48">
        <f>_xlfn.IFS(ISNUMBER(SEARCH("data analy",B311)),"Data Analyst",ISNUMBER(SEARCH("business analy",B311)),"Business Analyst",OR(ISNUMBER(SEARCH("developer",B311)),ISNUMBER(SEARCH("software engineer",B311)),ISNUMBER(SEARCH("programmer",B311))),"Software Developer",ISNUMBER(SEARCH("business development",B311)),"Business Development",ISNUMBER(SEARCH("sales",B311)),"Sales Executive",ISNUMBER(SEARCH("marketing",B311)),"Marketing Executive",OR(ISNUMBER(SEARCH("hr ",B311)),ISNUMBER(SEARCH("recruit",B311)),ISNUMBER(SEARCH("human resource",B311))),"HR / Recruiter",OR(ISNUMBER(SEARCH("account",B311)),ISNUMBER(SEARCH("finance",B311)),ISNUMBER(SEARCH("tax",B311)),ISNUMBER(SEARCH("audit",B311))),"Accountant / Finance",OR(ISNUMBER(SEARCH("customer service",B311)),ISNUMBER(SEARCH("customer support",B311)),ISNUMBER(SEARCH("customer care",B311)),ISNUMBER(SEARCH("voice process",B311)),ISNUMBER(SEARCH("bpo",B311))),"Customer Support",ISNUMBER(SEARCH("engineer",B311)),"Engineer (Technical)",ISNUMBER(SEARCH("manager",B311)),"Manager",OR(ISNUMBER(SEARCH("teacher",B311)),ISNUMBER(SEARCH("trainer",B311)),ISNUMBER(SEARCH("faculty",B311))),"Teacher / Trainer",OR(ISNUMBER(SEARCH("doctor",B311)),ISNUMBER(SEARCH("nurse",B311)),ISNUMBER(SEARCH("medical",B311)),ISNUMBER(SEARCH("pharma",B311)),ISNUMBER(SEARCH("clinical",B311))),"Healthcare",TRUE,"Other")</f>
        <v/>
      </c>
      <c r="Q311" s="48">
        <f>IF(COUNTIFS($B$11:B311,B311,$C$11:C311,C311,$D$11:D311,D311,$L$11:L311,L311)&gt;1,"Duplicate","Unique")</f>
        <v/>
      </c>
    </row>
    <row r="312">
      <c r="A312" s="48">
        <f>Raw_Data!A303</f>
        <v/>
      </c>
      <c r="B312" s="48">
        <f>PROPER(TRIM(Raw_Data!B303))</f>
        <v/>
      </c>
      <c r="C312" s="48">
        <f>TRIM(Raw_Data!C303)</f>
        <v/>
      </c>
      <c r="D312" s="48">
        <f>IF(PROPER(TRIM(Raw_Data!D303))="Bangalore","Bengaluru",IF(PROPER(TRIM(Raw_Data!D303))="Gurgaon","Gurugram",IF(OR(PROPER(TRIM(Raw_Data!D303))="New Delhi",PROPER(TRIM(Raw_Data!D303))="Delhi"),"Delhi",PROPER(TRIM(Raw_Data!D303)))))</f>
        <v/>
      </c>
      <c r="E312" s="48">
        <f>Raw_Data!E303</f>
        <v/>
      </c>
      <c r="F312" s="48">
        <f>IF(TRIM(Raw_Data!F303&amp;"")="","Not Specified",Raw_Data!F303)</f>
        <v/>
      </c>
      <c r="G312" s="48">
        <f>Raw_Data!G303</f>
        <v/>
      </c>
      <c r="H312" s="48">
        <f>Raw_Data!H303</f>
        <v/>
      </c>
      <c r="I312" s="49">
        <f>IF(Raw_Data!I303="","",Raw_Data!I303)</f>
        <v/>
      </c>
      <c r="J312" s="49">
        <f>IF(Raw_Data!J303="","",Raw_Data!J303)</f>
        <v/>
      </c>
      <c r="K312" s="48">
        <f>IF(TRIM(Raw_Data!K303&amp;"")="","Not Specified",Raw_Data!K303)</f>
        <v/>
      </c>
      <c r="L312" s="56">
        <f>Raw_Data!L303</f>
        <v/>
      </c>
      <c r="M312" s="49">
        <f>IF(OR(I312="",J312=""),"",(I312+J312)/2)</f>
        <v/>
      </c>
      <c r="N312" s="49">
        <f>IF(OR(I312="",J312=""),"",J312-I312)</f>
        <v/>
      </c>
      <c r="O312" s="48">
        <f>TEXT(L312,"mmm-yyyy")</f>
        <v/>
      </c>
      <c r="P312" s="48">
        <f>_xlfn.IFS(ISNUMBER(SEARCH("data analy",B312)),"Data Analyst",ISNUMBER(SEARCH("business analy",B312)),"Business Analyst",OR(ISNUMBER(SEARCH("developer",B312)),ISNUMBER(SEARCH("software engineer",B312)),ISNUMBER(SEARCH("programmer",B312))),"Software Developer",ISNUMBER(SEARCH("business development",B312)),"Business Development",ISNUMBER(SEARCH("sales",B312)),"Sales Executive",ISNUMBER(SEARCH("marketing",B312)),"Marketing Executive",OR(ISNUMBER(SEARCH("hr ",B312)),ISNUMBER(SEARCH("recruit",B312)),ISNUMBER(SEARCH("human resource",B312))),"HR / Recruiter",OR(ISNUMBER(SEARCH("account",B312)),ISNUMBER(SEARCH("finance",B312)),ISNUMBER(SEARCH("tax",B312)),ISNUMBER(SEARCH("audit",B312))),"Accountant / Finance",OR(ISNUMBER(SEARCH("customer service",B312)),ISNUMBER(SEARCH("customer support",B312)),ISNUMBER(SEARCH("customer care",B312)),ISNUMBER(SEARCH("voice process",B312)),ISNUMBER(SEARCH("bpo",B312))),"Customer Support",ISNUMBER(SEARCH("engineer",B312)),"Engineer (Technical)",ISNUMBER(SEARCH("manager",B312)),"Manager",OR(ISNUMBER(SEARCH("teacher",B312)),ISNUMBER(SEARCH("trainer",B312)),ISNUMBER(SEARCH("faculty",B312))),"Teacher / Trainer",OR(ISNUMBER(SEARCH("doctor",B312)),ISNUMBER(SEARCH("nurse",B312)),ISNUMBER(SEARCH("medical",B312)),ISNUMBER(SEARCH("pharma",B312)),ISNUMBER(SEARCH("clinical",B312))),"Healthcare",TRUE,"Other")</f>
        <v/>
      </c>
      <c r="Q312" s="48">
        <f>IF(COUNTIFS($B$11:B312,B312,$C$11:C312,C312,$D$11:D312,D312,$L$11:L312,L312)&gt;1,"Duplicate","Unique")</f>
        <v/>
      </c>
    </row>
    <row r="313">
      <c r="A313" s="48">
        <f>Raw_Data!A304</f>
        <v/>
      </c>
      <c r="B313" s="48">
        <f>PROPER(TRIM(Raw_Data!B304))</f>
        <v/>
      </c>
      <c r="C313" s="48">
        <f>TRIM(Raw_Data!C304)</f>
        <v/>
      </c>
      <c r="D313" s="48">
        <f>IF(PROPER(TRIM(Raw_Data!D304))="Bangalore","Bengaluru",IF(PROPER(TRIM(Raw_Data!D304))="Gurgaon","Gurugram",IF(OR(PROPER(TRIM(Raw_Data!D304))="New Delhi",PROPER(TRIM(Raw_Data!D304))="Delhi"),"Delhi",PROPER(TRIM(Raw_Data!D304)))))</f>
        <v/>
      </c>
      <c r="E313" s="48">
        <f>Raw_Data!E304</f>
        <v/>
      </c>
      <c r="F313" s="48">
        <f>IF(TRIM(Raw_Data!F304&amp;"")="","Not Specified",Raw_Data!F304)</f>
        <v/>
      </c>
      <c r="G313" s="48">
        <f>Raw_Data!G304</f>
        <v/>
      </c>
      <c r="H313" s="48">
        <f>Raw_Data!H304</f>
        <v/>
      </c>
      <c r="I313" s="49">
        <f>IF(Raw_Data!I304="","",Raw_Data!I304)</f>
        <v/>
      </c>
      <c r="J313" s="49">
        <f>IF(Raw_Data!J304="","",Raw_Data!J304)</f>
        <v/>
      </c>
      <c r="K313" s="48">
        <f>IF(TRIM(Raw_Data!K304&amp;"")="","Not Specified",Raw_Data!K304)</f>
        <v/>
      </c>
      <c r="L313" s="56">
        <f>Raw_Data!L304</f>
        <v/>
      </c>
      <c r="M313" s="49">
        <f>IF(OR(I313="",J313=""),"",(I313+J313)/2)</f>
        <v/>
      </c>
      <c r="N313" s="49">
        <f>IF(OR(I313="",J313=""),"",J313-I313)</f>
        <v/>
      </c>
      <c r="O313" s="48">
        <f>TEXT(L313,"mmm-yyyy")</f>
        <v/>
      </c>
      <c r="P313" s="48">
        <f>_xlfn.IFS(ISNUMBER(SEARCH("data analy",B313)),"Data Analyst",ISNUMBER(SEARCH("business analy",B313)),"Business Analyst",OR(ISNUMBER(SEARCH("developer",B313)),ISNUMBER(SEARCH("software engineer",B313)),ISNUMBER(SEARCH("programmer",B313))),"Software Developer",ISNUMBER(SEARCH("business development",B313)),"Business Development",ISNUMBER(SEARCH("sales",B313)),"Sales Executive",ISNUMBER(SEARCH("marketing",B313)),"Marketing Executive",OR(ISNUMBER(SEARCH("hr ",B313)),ISNUMBER(SEARCH("recruit",B313)),ISNUMBER(SEARCH("human resource",B313))),"HR / Recruiter",OR(ISNUMBER(SEARCH("account",B313)),ISNUMBER(SEARCH("finance",B313)),ISNUMBER(SEARCH("tax",B313)),ISNUMBER(SEARCH("audit",B313))),"Accountant / Finance",OR(ISNUMBER(SEARCH("customer service",B313)),ISNUMBER(SEARCH("customer support",B313)),ISNUMBER(SEARCH("customer care",B313)),ISNUMBER(SEARCH("voice process",B313)),ISNUMBER(SEARCH("bpo",B313))),"Customer Support",ISNUMBER(SEARCH("engineer",B313)),"Engineer (Technical)",ISNUMBER(SEARCH("manager",B313)),"Manager",OR(ISNUMBER(SEARCH("teacher",B313)),ISNUMBER(SEARCH("trainer",B313)),ISNUMBER(SEARCH("faculty",B313))),"Teacher / Trainer",OR(ISNUMBER(SEARCH("doctor",B313)),ISNUMBER(SEARCH("nurse",B313)),ISNUMBER(SEARCH("medical",B313)),ISNUMBER(SEARCH("pharma",B313)),ISNUMBER(SEARCH("clinical",B313))),"Healthcare",TRUE,"Other")</f>
        <v/>
      </c>
      <c r="Q313" s="48">
        <f>IF(COUNTIFS($B$11:B313,B313,$C$11:C313,C313,$D$11:D313,D313,$L$11:L313,L313)&gt;1,"Duplicate","Unique")</f>
        <v/>
      </c>
    </row>
    <row r="314">
      <c r="A314" s="48">
        <f>Raw_Data!A305</f>
        <v/>
      </c>
      <c r="B314" s="48">
        <f>PROPER(TRIM(Raw_Data!B305))</f>
        <v/>
      </c>
      <c r="C314" s="48">
        <f>TRIM(Raw_Data!C305)</f>
        <v/>
      </c>
      <c r="D314" s="48">
        <f>IF(PROPER(TRIM(Raw_Data!D305))="Bangalore","Bengaluru",IF(PROPER(TRIM(Raw_Data!D305))="Gurgaon","Gurugram",IF(OR(PROPER(TRIM(Raw_Data!D305))="New Delhi",PROPER(TRIM(Raw_Data!D305))="Delhi"),"Delhi",PROPER(TRIM(Raw_Data!D305)))))</f>
        <v/>
      </c>
      <c r="E314" s="48">
        <f>Raw_Data!E305</f>
        <v/>
      </c>
      <c r="F314" s="48">
        <f>IF(TRIM(Raw_Data!F305&amp;"")="","Not Specified",Raw_Data!F305)</f>
        <v/>
      </c>
      <c r="G314" s="48">
        <f>Raw_Data!G305</f>
        <v/>
      </c>
      <c r="H314" s="48">
        <f>Raw_Data!H305</f>
        <v/>
      </c>
      <c r="I314" s="49">
        <f>IF(Raw_Data!I305="","",Raw_Data!I305)</f>
        <v/>
      </c>
      <c r="J314" s="49">
        <f>IF(Raw_Data!J305="","",Raw_Data!J305)</f>
        <v/>
      </c>
      <c r="K314" s="48">
        <f>IF(TRIM(Raw_Data!K305&amp;"")="","Not Specified",Raw_Data!K305)</f>
        <v/>
      </c>
      <c r="L314" s="56">
        <f>Raw_Data!L305</f>
        <v/>
      </c>
      <c r="M314" s="49">
        <f>IF(OR(I314="",J314=""),"",(I314+J314)/2)</f>
        <v/>
      </c>
      <c r="N314" s="49">
        <f>IF(OR(I314="",J314=""),"",J314-I314)</f>
        <v/>
      </c>
      <c r="O314" s="48">
        <f>TEXT(L314,"mmm-yyyy")</f>
        <v/>
      </c>
      <c r="P314" s="48">
        <f>_xlfn.IFS(ISNUMBER(SEARCH("data analy",B314)),"Data Analyst",ISNUMBER(SEARCH("business analy",B314)),"Business Analyst",OR(ISNUMBER(SEARCH("developer",B314)),ISNUMBER(SEARCH("software engineer",B314)),ISNUMBER(SEARCH("programmer",B314))),"Software Developer",ISNUMBER(SEARCH("business development",B314)),"Business Development",ISNUMBER(SEARCH("sales",B314)),"Sales Executive",ISNUMBER(SEARCH("marketing",B314)),"Marketing Executive",OR(ISNUMBER(SEARCH("hr ",B314)),ISNUMBER(SEARCH("recruit",B314)),ISNUMBER(SEARCH("human resource",B314))),"HR / Recruiter",OR(ISNUMBER(SEARCH("account",B314)),ISNUMBER(SEARCH("finance",B314)),ISNUMBER(SEARCH("tax",B314)),ISNUMBER(SEARCH("audit",B314))),"Accountant / Finance",OR(ISNUMBER(SEARCH("customer service",B314)),ISNUMBER(SEARCH("customer support",B314)),ISNUMBER(SEARCH("customer care",B314)),ISNUMBER(SEARCH("voice process",B314)),ISNUMBER(SEARCH("bpo",B314))),"Customer Support",ISNUMBER(SEARCH("engineer",B314)),"Engineer (Technical)",ISNUMBER(SEARCH("manager",B314)),"Manager",OR(ISNUMBER(SEARCH("teacher",B314)),ISNUMBER(SEARCH("trainer",B314)),ISNUMBER(SEARCH("faculty",B314))),"Teacher / Trainer",OR(ISNUMBER(SEARCH("doctor",B314)),ISNUMBER(SEARCH("nurse",B314)),ISNUMBER(SEARCH("medical",B314)),ISNUMBER(SEARCH("pharma",B314)),ISNUMBER(SEARCH("clinical",B314))),"Healthcare",TRUE,"Other")</f>
        <v/>
      </c>
      <c r="Q314" s="48">
        <f>IF(COUNTIFS($B$11:B314,B314,$C$11:C314,C314,$D$11:D314,D314,$L$11:L314,L314)&gt;1,"Duplicate","Unique")</f>
        <v/>
      </c>
    </row>
    <row r="315">
      <c r="A315" s="48">
        <f>Raw_Data!A306</f>
        <v/>
      </c>
      <c r="B315" s="48">
        <f>PROPER(TRIM(Raw_Data!B306))</f>
        <v/>
      </c>
      <c r="C315" s="48">
        <f>TRIM(Raw_Data!C306)</f>
        <v/>
      </c>
      <c r="D315" s="48">
        <f>IF(PROPER(TRIM(Raw_Data!D306))="Bangalore","Bengaluru",IF(PROPER(TRIM(Raw_Data!D306))="Gurgaon","Gurugram",IF(OR(PROPER(TRIM(Raw_Data!D306))="New Delhi",PROPER(TRIM(Raw_Data!D306))="Delhi"),"Delhi",PROPER(TRIM(Raw_Data!D306)))))</f>
        <v/>
      </c>
      <c r="E315" s="48">
        <f>Raw_Data!E306</f>
        <v/>
      </c>
      <c r="F315" s="48">
        <f>IF(TRIM(Raw_Data!F306&amp;"")="","Not Specified",Raw_Data!F306)</f>
        <v/>
      </c>
      <c r="G315" s="48">
        <f>Raw_Data!G306</f>
        <v/>
      </c>
      <c r="H315" s="48">
        <f>Raw_Data!H306</f>
        <v/>
      </c>
      <c r="I315" s="49">
        <f>IF(Raw_Data!I306="","",Raw_Data!I306)</f>
        <v/>
      </c>
      <c r="J315" s="49">
        <f>IF(Raw_Data!J306="","",Raw_Data!J306)</f>
        <v/>
      </c>
      <c r="K315" s="48">
        <f>IF(TRIM(Raw_Data!K306&amp;"")="","Not Specified",Raw_Data!K306)</f>
        <v/>
      </c>
      <c r="L315" s="56">
        <f>Raw_Data!L306</f>
        <v/>
      </c>
      <c r="M315" s="49">
        <f>IF(OR(I315="",J315=""),"",(I315+J315)/2)</f>
        <v/>
      </c>
      <c r="N315" s="49">
        <f>IF(OR(I315="",J315=""),"",J315-I315)</f>
        <v/>
      </c>
      <c r="O315" s="48">
        <f>TEXT(L315,"mmm-yyyy")</f>
        <v/>
      </c>
      <c r="P315" s="48">
        <f>_xlfn.IFS(ISNUMBER(SEARCH("data analy",B315)),"Data Analyst",ISNUMBER(SEARCH("business analy",B315)),"Business Analyst",OR(ISNUMBER(SEARCH("developer",B315)),ISNUMBER(SEARCH("software engineer",B315)),ISNUMBER(SEARCH("programmer",B315))),"Software Developer",ISNUMBER(SEARCH("business development",B315)),"Business Development",ISNUMBER(SEARCH("sales",B315)),"Sales Executive",ISNUMBER(SEARCH("marketing",B315)),"Marketing Executive",OR(ISNUMBER(SEARCH("hr ",B315)),ISNUMBER(SEARCH("recruit",B315)),ISNUMBER(SEARCH("human resource",B315))),"HR / Recruiter",OR(ISNUMBER(SEARCH("account",B315)),ISNUMBER(SEARCH("finance",B315)),ISNUMBER(SEARCH("tax",B315)),ISNUMBER(SEARCH("audit",B315))),"Accountant / Finance",OR(ISNUMBER(SEARCH("customer service",B315)),ISNUMBER(SEARCH("customer support",B315)),ISNUMBER(SEARCH("customer care",B315)),ISNUMBER(SEARCH("voice process",B315)),ISNUMBER(SEARCH("bpo",B315))),"Customer Support",ISNUMBER(SEARCH("engineer",B315)),"Engineer (Technical)",ISNUMBER(SEARCH("manager",B315)),"Manager",OR(ISNUMBER(SEARCH("teacher",B315)),ISNUMBER(SEARCH("trainer",B315)),ISNUMBER(SEARCH("faculty",B315))),"Teacher / Trainer",OR(ISNUMBER(SEARCH("doctor",B315)),ISNUMBER(SEARCH("nurse",B315)),ISNUMBER(SEARCH("medical",B315)),ISNUMBER(SEARCH("pharma",B315)),ISNUMBER(SEARCH("clinical",B315))),"Healthcare",TRUE,"Other")</f>
        <v/>
      </c>
      <c r="Q315" s="48">
        <f>IF(COUNTIFS($B$11:B315,B315,$C$11:C315,C315,$D$11:D315,D315,$L$11:L315,L315)&gt;1,"Duplicate","Unique")</f>
        <v/>
      </c>
    </row>
    <row r="316">
      <c r="A316" s="48">
        <f>Raw_Data!A307</f>
        <v/>
      </c>
      <c r="B316" s="48">
        <f>PROPER(TRIM(Raw_Data!B307))</f>
        <v/>
      </c>
      <c r="C316" s="48">
        <f>TRIM(Raw_Data!C307)</f>
        <v/>
      </c>
      <c r="D316" s="48">
        <f>IF(PROPER(TRIM(Raw_Data!D307))="Bangalore","Bengaluru",IF(PROPER(TRIM(Raw_Data!D307))="Gurgaon","Gurugram",IF(OR(PROPER(TRIM(Raw_Data!D307))="New Delhi",PROPER(TRIM(Raw_Data!D307))="Delhi"),"Delhi",PROPER(TRIM(Raw_Data!D307)))))</f>
        <v/>
      </c>
      <c r="E316" s="48">
        <f>Raw_Data!E307</f>
        <v/>
      </c>
      <c r="F316" s="48">
        <f>IF(TRIM(Raw_Data!F307&amp;"")="","Not Specified",Raw_Data!F307)</f>
        <v/>
      </c>
      <c r="G316" s="48">
        <f>Raw_Data!G307</f>
        <v/>
      </c>
      <c r="H316" s="48">
        <f>Raw_Data!H307</f>
        <v/>
      </c>
      <c r="I316" s="49">
        <f>IF(Raw_Data!I307="","",Raw_Data!I307)</f>
        <v/>
      </c>
      <c r="J316" s="49">
        <f>IF(Raw_Data!J307="","",Raw_Data!J307)</f>
        <v/>
      </c>
      <c r="K316" s="48">
        <f>IF(TRIM(Raw_Data!K307&amp;"")="","Not Specified",Raw_Data!K307)</f>
        <v/>
      </c>
      <c r="L316" s="56">
        <f>Raw_Data!L307</f>
        <v/>
      </c>
      <c r="M316" s="49">
        <f>IF(OR(I316="",J316=""),"",(I316+J316)/2)</f>
        <v/>
      </c>
      <c r="N316" s="49">
        <f>IF(OR(I316="",J316=""),"",J316-I316)</f>
        <v/>
      </c>
      <c r="O316" s="48">
        <f>TEXT(L316,"mmm-yyyy")</f>
        <v/>
      </c>
      <c r="P316" s="48">
        <f>_xlfn.IFS(ISNUMBER(SEARCH("data analy",B316)),"Data Analyst",ISNUMBER(SEARCH("business analy",B316)),"Business Analyst",OR(ISNUMBER(SEARCH("developer",B316)),ISNUMBER(SEARCH("software engineer",B316)),ISNUMBER(SEARCH("programmer",B316))),"Software Developer",ISNUMBER(SEARCH("business development",B316)),"Business Development",ISNUMBER(SEARCH("sales",B316)),"Sales Executive",ISNUMBER(SEARCH("marketing",B316)),"Marketing Executive",OR(ISNUMBER(SEARCH("hr ",B316)),ISNUMBER(SEARCH("recruit",B316)),ISNUMBER(SEARCH("human resource",B316))),"HR / Recruiter",OR(ISNUMBER(SEARCH("account",B316)),ISNUMBER(SEARCH("finance",B316)),ISNUMBER(SEARCH("tax",B316)),ISNUMBER(SEARCH("audit",B316))),"Accountant / Finance",OR(ISNUMBER(SEARCH("customer service",B316)),ISNUMBER(SEARCH("customer support",B316)),ISNUMBER(SEARCH("customer care",B316)),ISNUMBER(SEARCH("voice process",B316)),ISNUMBER(SEARCH("bpo",B316))),"Customer Support",ISNUMBER(SEARCH("engineer",B316)),"Engineer (Technical)",ISNUMBER(SEARCH("manager",B316)),"Manager",OR(ISNUMBER(SEARCH("teacher",B316)),ISNUMBER(SEARCH("trainer",B316)),ISNUMBER(SEARCH("faculty",B316))),"Teacher / Trainer",OR(ISNUMBER(SEARCH("doctor",B316)),ISNUMBER(SEARCH("nurse",B316)),ISNUMBER(SEARCH("medical",B316)),ISNUMBER(SEARCH("pharma",B316)),ISNUMBER(SEARCH("clinical",B316))),"Healthcare",TRUE,"Other")</f>
        <v/>
      </c>
      <c r="Q316" s="48">
        <f>IF(COUNTIFS($B$11:B316,B316,$C$11:C316,C316,$D$11:D316,D316,$L$11:L316,L316)&gt;1,"Duplicate","Unique")</f>
        <v/>
      </c>
    </row>
    <row r="317">
      <c r="A317" s="48">
        <f>Raw_Data!A308</f>
        <v/>
      </c>
      <c r="B317" s="48">
        <f>PROPER(TRIM(Raw_Data!B308))</f>
        <v/>
      </c>
      <c r="C317" s="48">
        <f>TRIM(Raw_Data!C308)</f>
        <v/>
      </c>
      <c r="D317" s="48">
        <f>IF(PROPER(TRIM(Raw_Data!D308))="Bangalore","Bengaluru",IF(PROPER(TRIM(Raw_Data!D308))="Gurgaon","Gurugram",IF(OR(PROPER(TRIM(Raw_Data!D308))="New Delhi",PROPER(TRIM(Raw_Data!D308))="Delhi"),"Delhi",PROPER(TRIM(Raw_Data!D308)))))</f>
        <v/>
      </c>
      <c r="E317" s="48">
        <f>Raw_Data!E308</f>
        <v/>
      </c>
      <c r="F317" s="48">
        <f>IF(TRIM(Raw_Data!F308&amp;"")="","Not Specified",Raw_Data!F308)</f>
        <v/>
      </c>
      <c r="G317" s="48">
        <f>Raw_Data!G308</f>
        <v/>
      </c>
      <c r="H317" s="48">
        <f>Raw_Data!H308</f>
        <v/>
      </c>
      <c r="I317" s="49">
        <f>IF(Raw_Data!I308="","",Raw_Data!I308)</f>
        <v/>
      </c>
      <c r="J317" s="49">
        <f>IF(Raw_Data!J308="","",Raw_Data!J308)</f>
        <v/>
      </c>
      <c r="K317" s="48">
        <f>IF(TRIM(Raw_Data!K308&amp;"")="","Not Specified",Raw_Data!K308)</f>
        <v/>
      </c>
      <c r="L317" s="56">
        <f>Raw_Data!L308</f>
        <v/>
      </c>
      <c r="M317" s="49">
        <f>IF(OR(I317="",J317=""),"",(I317+J317)/2)</f>
        <v/>
      </c>
      <c r="N317" s="49">
        <f>IF(OR(I317="",J317=""),"",J317-I317)</f>
        <v/>
      </c>
      <c r="O317" s="48">
        <f>TEXT(L317,"mmm-yyyy")</f>
        <v/>
      </c>
      <c r="P317" s="48">
        <f>_xlfn.IFS(ISNUMBER(SEARCH("data analy",B317)),"Data Analyst",ISNUMBER(SEARCH("business analy",B317)),"Business Analyst",OR(ISNUMBER(SEARCH("developer",B317)),ISNUMBER(SEARCH("software engineer",B317)),ISNUMBER(SEARCH("programmer",B317))),"Software Developer",ISNUMBER(SEARCH("business development",B317)),"Business Development",ISNUMBER(SEARCH("sales",B317)),"Sales Executive",ISNUMBER(SEARCH("marketing",B317)),"Marketing Executive",OR(ISNUMBER(SEARCH("hr ",B317)),ISNUMBER(SEARCH("recruit",B317)),ISNUMBER(SEARCH("human resource",B317))),"HR / Recruiter",OR(ISNUMBER(SEARCH("account",B317)),ISNUMBER(SEARCH("finance",B317)),ISNUMBER(SEARCH("tax",B317)),ISNUMBER(SEARCH("audit",B317))),"Accountant / Finance",OR(ISNUMBER(SEARCH("customer service",B317)),ISNUMBER(SEARCH("customer support",B317)),ISNUMBER(SEARCH("customer care",B317)),ISNUMBER(SEARCH("voice process",B317)),ISNUMBER(SEARCH("bpo",B317))),"Customer Support",ISNUMBER(SEARCH("engineer",B317)),"Engineer (Technical)",ISNUMBER(SEARCH("manager",B317)),"Manager",OR(ISNUMBER(SEARCH("teacher",B317)),ISNUMBER(SEARCH("trainer",B317)),ISNUMBER(SEARCH("faculty",B317))),"Teacher / Trainer",OR(ISNUMBER(SEARCH("doctor",B317)),ISNUMBER(SEARCH("nurse",B317)),ISNUMBER(SEARCH("medical",B317)),ISNUMBER(SEARCH("pharma",B317)),ISNUMBER(SEARCH("clinical",B317))),"Healthcare",TRUE,"Other")</f>
        <v/>
      </c>
      <c r="Q317" s="48">
        <f>IF(COUNTIFS($B$11:B317,B317,$C$11:C317,C317,$D$11:D317,D317,$L$11:L317,L317)&gt;1,"Duplicate","Unique")</f>
        <v/>
      </c>
    </row>
    <row r="318">
      <c r="A318" s="48">
        <f>Raw_Data!A309</f>
        <v/>
      </c>
      <c r="B318" s="48">
        <f>PROPER(TRIM(Raw_Data!B309))</f>
        <v/>
      </c>
      <c r="C318" s="48">
        <f>TRIM(Raw_Data!C309)</f>
        <v/>
      </c>
      <c r="D318" s="48">
        <f>IF(PROPER(TRIM(Raw_Data!D309))="Bangalore","Bengaluru",IF(PROPER(TRIM(Raw_Data!D309))="Gurgaon","Gurugram",IF(OR(PROPER(TRIM(Raw_Data!D309))="New Delhi",PROPER(TRIM(Raw_Data!D309))="Delhi"),"Delhi",PROPER(TRIM(Raw_Data!D309)))))</f>
        <v/>
      </c>
      <c r="E318" s="48">
        <f>Raw_Data!E309</f>
        <v/>
      </c>
      <c r="F318" s="48">
        <f>IF(TRIM(Raw_Data!F309&amp;"")="","Not Specified",Raw_Data!F309)</f>
        <v/>
      </c>
      <c r="G318" s="48">
        <f>Raw_Data!G309</f>
        <v/>
      </c>
      <c r="H318" s="48">
        <f>Raw_Data!H309</f>
        <v/>
      </c>
      <c r="I318" s="49">
        <f>IF(Raw_Data!I309="","",Raw_Data!I309)</f>
        <v/>
      </c>
      <c r="J318" s="49">
        <f>IF(Raw_Data!J309="","",Raw_Data!J309)</f>
        <v/>
      </c>
      <c r="K318" s="48">
        <f>IF(TRIM(Raw_Data!K309&amp;"")="","Not Specified",Raw_Data!K309)</f>
        <v/>
      </c>
      <c r="L318" s="56">
        <f>Raw_Data!L309</f>
        <v/>
      </c>
      <c r="M318" s="49">
        <f>IF(OR(I318="",J318=""),"",(I318+J318)/2)</f>
        <v/>
      </c>
      <c r="N318" s="49">
        <f>IF(OR(I318="",J318=""),"",J318-I318)</f>
        <v/>
      </c>
      <c r="O318" s="48">
        <f>TEXT(L318,"mmm-yyyy")</f>
        <v/>
      </c>
      <c r="P318" s="48">
        <f>_xlfn.IFS(ISNUMBER(SEARCH("data analy",B318)),"Data Analyst",ISNUMBER(SEARCH("business analy",B318)),"Business Analyst",OR(ISNUMBER(SEARCH("developer",B318)),ISNUMBER(SEARCH("software engineer",B318)),ISNUMBER(SEARCH("programmer",B318))),"Software Developer",ISNUMBER(SEARCH("business development",B318)),"Business Development",ISNUMBER(SEARCH("sales",B318)),"Sales Executive",ISNUMBER(SEARCH("marketing",B318)),"Marketing Executive",OR(ISNUMBER(SEARCH("hr ",B318)),ISNUMBER(SEARCH("recruit",B318)),ISNUMBER(SEARCH("human resource",B318))),"HR / Recruiter",OR(ISNUMBER(SEARCH("account",B318)),ISNUMBER(SEARCH("finance",B318)),ISNUMBER(SEARCH("tax",B318)),ISNUMBER(SEARCH("audit",B318))),"Accountant / Finance",OR(ISNUMBER(SEARCH("customer service",B318)),ISNUMBER(SEARCH("customer support",B318)),ISNUMBER(SEARCH("customer care",B318)),ISNUMBER(SEARCH("voice process",B318)),ISNUMBER(SEARCH("bpo",B318))),"Customer Support",ISNUMBER(SEARCH("engineer",B318)),"Engineer (Technical)",ISNUMBER(SEARCH("manager",B318)),"Manager",OR(ISNUMBER(SEARCH("teacher",B318)),ISNUMBER(SEARCH("trainer",B318)),ISNUMBER(SEARCH("faculty",B318))),"Teacher / Trainer",OR(ISNUMBER(SEARCH("doctor",B318)),ISNUMBER(SEARCH("nurse",B318)),ISNUMBER(SEARCH("medical",B318)),ISNUMBER(SEARCH("pharma",B318)),ISNUMBER(SEARCH("clinical",B318))),"Healthcare",TRUE,"Other")</f>
        <v/>
      </c>
      <c r="Q318" s="48">
        <f>IF(COUNTIFS($B$11:B318,B318,$C$11:C318,C318,$D$11:D318,D318,$L$11:L318,L318)&gt;1,"Duplicate","Unique")</f>
        <v/>
      </c>
    </row>
    <row r="319">
      <c r="A319" s="48">
        <f>Raw_Data!A310</f>
        <v/>
      </c>
      <c r="B319" s="48">
        <f>PROPER(TRIM(Raw_Data!B310))</f>
        <v/>
      </c>
      <c r="C319" s="48">
        <f>TRIM(Raw_Data!C310)</f>
        <v/>
      </c>
      <c r="D319" s="48">
        <f>IF(PROPER(TRIM(Raw_Data!D310))="Bangalore","Bengaluru",IF(PROPER(TRIM(Raw_Data!D310))="Gurgaon","Gurugram",IF(OR(PROPER(TRIM(Raw_Data!D310))="New Delhi",PROPER(TRIM(Raw_Data!D310))="Delhi"),"Delhi",PROPER(TRIM(Raw_Data!D310)))))</f>
        <v/>
      </c>
      <c r="E319" s="48">
        <f>Raw_Data!E310</f>
        <v/>
      </c>
      <c r="F319" s="48">
        <f>IF(TRIM(Raw_Data!F310&amp;"")="","Not Specified",Raw_Data!F310)</f>
        <v/>
      </c>
      <c r="G319" s="48">
        <f>Raw_Data!G310</f>
        <v/>
      </c>
      <c r="H319" s="48">
        <f>Raw_Data!H310</f>
        <v/>
      </c>
      <c r="I319" s="49">
        <f>IF(Raw_Data!I310="","",Raw_Data!I310)</f>
        <v/>
      </c>
      <c r="J319" s="49">
        <f>IF(Raw_Data!J310="","",Raw_Data!J310)</f>
        <v/>
      </c>
      <c r="K319" s="48">
        <f>IF(TRIM(Raw_Data!K310&amp;"")="","Not Specified",Raw_Data!K310)</f>
        <v/>
      </c>
      <c r="L319" s="56">
        <f>Raw_Data!L310</f>
        <v/>
      </c>
      <c r="M319" s="49">
        <f>IF(OR(I319="",J319=""),"",(I319+J319)/2)</f>
        <v/>
      </c>
      <c r="N319" s="49">
        <f>IF(OR(I319="",J319=""),"",J319-I319)</f>
        <v/>
      </c>
      <c r="O319" s="48">
        <f>TEXT(L319,"mmm-yyyy")</f>
        <v/>
      </c>
      <c r="P319" s="48">
        <f>_xlfn.IFS(ISNUMBER(SEARCH("data analy",B319)),"Data Analyst",ISNUMBER(SEARCH("business analy",B319)),"Business Analyst",OR(ISNUMBER(SEARCH("developer",B319)),ISNUMBER(SEARCH("software engineer",B319)),ISNUMBER(SEARCH("programmer",B319))),"Software Developer",ISNUMBER(SEARCH("business development",B319)),"Business Development",ISNUMBER(SEARCH("sales",B319)),"Sales Executive",ISNUMBER(SEARCH("marketing",B319)),"Marketing Executive",OR(ISNUMBER(SEARCH("hr ",B319)),ISNUMBER(SEARCH("recruit",B319)),ISNUMBER(SEARCH("human resource",B319))),"HR / Recruiter",OR(ISNUMBER(SEARCH("account",B319)),ISNUMBER(SEARCH("finance",B319)),ISNUMBER(SEARCH("tax",B319)),ISNUMBER(SEARCH("audit",B319))),"Accountant / Finance",OR(ISNUMBER(SEARCH("customer service",B319)),ISNUMBER(SEARCH("customer support",B319)),ISNUMBER(SEARCH("customer care",B319)),ISNUMBER(SEARCH("voice process",B319)),ISNUMBER(SEARCH("bpo",B319))),"Customer Support",ISNUMBER(SEARCH("engineer",B319)),"Engineer (Technical)",ISNUMBER(SEARCH("manager",B319)),"Manager",OR(ISNUMBER(SEARCH("teacher",B319)),ISNUMBER(SEARCH("trainer",B319)),ISNUMBER(SEARCH("faculty",B319))),"Teacher / Trainer",OR(ISNUMBER(SEARCH("doctor",B319)),ISNUMBER(SEARCH("nurse",B319)),ISNUMBER(SEARCH("medical",B319)),ISNUMBER(SEARCH("pharma",B319)),ISNUMBER(SEARCH("clinical",B319))),"Healthcare",TRUE,"Other")</f>
        <v/>
      </c>
      <c r="Q319" s="48">
        <f>IF(COUNTIFS($B$11:B319,B319,$C$11:C319,C319,$D$11:D319,D319,$L$11:L319,L319)&gt;1,"Duplicate","Unique")</f>
        <v/>
      </c>
    </row>
    <row r="320">
      <c r="A320" s="48">
        <f>Raw_Data!A311</f>
        <v/>
      </c>
      <c r="B320" s="48">
        <f>PROPER(TRIM(Raw_Data!B311))</f>
        <v/>
      </c>
      <c r="C320" s="48">
        <f>TRIM(Raw_Data!C311)</f>
        <v/>
      </c>
      <c r="D320" s="48">
        <f>IF(PROPER(TRIM(Raw_Data!D311))="Bangalore","Bengaluru",IF(PROPER(TRIM(Raw_Data!D311))="Gurgaon","Gurugram",IF(OR(PROPER(TRIM(Raw_Data!D311))="New Delhi",PROPER(TRIM(Raw_Data!D311))="Delhi"),"Delhi",PROPER(TRIM(Raw_Data!D311)))))</f>
        <v/>
      </c>
      <c r="E320" s="48">
        <f>Raw_Data!E311</f>
        <v/>
      </c>
      <c r="F320" s="48">
        <f>IF(TRIM(Raw_Data!F311&amp;"")="","Not Specified",Raw_Data!F311)</f>
        <v/>
      </c>
      <c r="G320" s="48">
        <f>Raw_Data!G311</f>
        <v/>
      </c>
      <c r="H320" s="48">
        <f>Raw_Data!H311</f>
        <v/>
      </c>
      <c r="I320" s="49">
        <f>IF(Raw_Data!I311="","",Raw_Data!I311)</f>
        <v/>
      </c>
      <c r="J320" s="49">
        <f>IF(Raw_Data!J311="","",Raw_Data!J311)</f>
        <v/>
      </c>
      <c r="K320" s="48">
        <f>IF(TRIM(Raw_Data!K311&amp;"")="","Not Specified",Raw_Data!K311)</f>
        <v/>
      </c>
      <c r="L320" s="56">
        <f>Raw_Data!L311</f>
        <v/>
      </c>
      <c r="M320" s="49">
        <f>IF(OR(I320="",J320=""),"",(I320+J320)/2)</f>
        <v/>
      </c>
      <c r="N320" s="49">
        <f>IF(OR(I320="",J320=""),"",J320-I320)</f>
        <v/>
      </c>
      <c r="O320" s="48">
        <f>TEXT(L320,"mmm-yyyy")</f>
        <v/>
      </c>
      <c r="P320" s="48">
        <f>_xlfn.IFS(ISNUMBER(SEARCH("data analy",B320)),"Data Analyst",ISNUMBER(SEARCH("business analy",B320)),"Business Analyst",OR(ISNUMBER(SEARCH("developer",B320)),ISNUMBER(SEARCH("software engineer",B320)),ISNUMBER(SEARCH("programmer",B320))),"Software Developer",ISNUMBER(SEARCH("business development",B320)),"Business Development",ISNUMBER(SEARCH("sales",B320)),"Sales Executive",ISNUMBER(SEARCH("marketing",B320)),"Marketing Executive",OR(ISNUMBER(SEARCH("hr ",B320)),ISNUMBER(SEARCH("recruit",B320)),ISNUMBER(SEARCH("human resource",B320))),"HR / Recruiter",OR(ISNUMBER(SEARCH("account",B320)),ISNUMBER(SEARCH("finance",B320)),ISNUMBER(SEARCH("tax",B320)),ISNUMBER(SEARCH("audit",B320))),"Accountant / Finance",OR(ISNUMBER(SEARCH("customer service",B320)),ISNUMBER(SEARCH("customer support",B320)),ISNUMBER(SEARCH("customer care",B320)),ISNUMBER(SEARCH("voice process",B320)),ISNUMBER(SEARCH("bpo",B320))),"Customer Support",ISNUMBER(SEARCH("engineer",B320)),"Engineer (Technical)",ISNUMBER(SEARCH("manager",B320)),"Manager",OR(ISNUMBER(SEARCH("teacher",B320)),ISNUMBER(SEARCH("trainer",B320)),ISNUMBER(SEARCH("faculty",B320))),"Teacher / Trainer",OR(ISNUMBER(SEARCH("doctor",B320)),ISNUMBER(SEARCH("nurse",B320)),ISNUMBER(SEARCH("medical",B320)),ISNUMBER(SEARCH("pharma",B320)),ISNUMBER(SEARCH("clinical",B320))),"Healthcare",TRUE,"Other")</f>
        <v/>
      </c>
      <c r="Q320" s="48">
        <f>IF(COUNTIFS($B$11:B320,B320,$C$11:C320,C320,$D$11:D320,D320,$L$11:L320,L320)&gt;1,"Duplicate","Unique")</f>
        <v/>
      </c>
    </row>
    <row r="321">
      <c r="A321" s="48">
        <f>Raw_Data!A312</f>
        <v/>
      </c>
      <c r="B321" s="48">
        <f>PROPER(TRIM(Raw_Data!B312))</f>
        <v/>
      </c>
      <c r="C321" s="48">
        <f>TRIM(Raw_Data!C312)</f>
        <v/>
      </c>
      <c r="D321" s="48">
        <f>IF(PROPER(TRIM(Raw_Data!D312))="Bangalore","Bengaluru",IF(PROPER(TRIM(Raw_Data!D312))="Gurgaon","Gurugram",IF(OR(PROPER(TRIM(Raw_Data!D312))="New Delhi",PROPER(TRIM(Raw_Data!D312))="Delhi"),"Delhi",PROPER(TRIM(Raw_Data!D312)))))</f>
        <v/>
      </c>
      <c r="E321" s="48">
        <f>Raw_Data!E312</f>
        <v/>
      </c>
      <c r="F321" s="48">
        <f>IF(TRIM(Raw_Data!F312&amp;"")="","Not Specified",Raw_Data!F312)</f>
        <v/>
      </c>
      <c r="G321" s="48">
        <f>Raw_Data!G312</f>
        <v/>
      </c>
      <c r="H321" s="48">
        <f>Raw_Data!H312</f>
        <v/>
      </c>
      <c r="I321" s="49">
        <f>IF(Raw_Data!I312="","",Raw_Data!I312)</f>
        <v/>
      </c>
      <c r="J321" s="49">
        <f>IF(Raw_Data!J312="","",Raw_Data!J312)</f>
        <v/>
      </c>
      <c r="K321" s="48">
        <f>IF(TRIM(Raw_Data!K312&amp;"")="","Not Specified",Raw_Data!K312)</f>
        <v/>
      </c>
      <c r="L321" s="56">
        <f>Raw_Data!L312</f>
        <v/>
      </c>
      <c r="M321" s="49">
        <f>IF(OR(I321="",J321=""),"",(I321+J321)/2)</f>
        <v/>
      </c>
      <c r="N321" s="49">
        <f>IF(OR(I321="",J321=""),"",J321-I321)</f>
        <v/>
      </c>
      <c r="O321" s="48">
        <f>TEXT(L321,"mmm-yyyy")</f>
        <v/>
      </c>
      <c r="P321" s="48">
        <f>_xlfn.IFS(ISNUMBER(SEARCH("data analy",B321)),"Data Analyst",ISNUMBER(SEARCH("business analy",B321)),"Business Analyst",OR(ISNUMBER(SEARCH("developer",B321)),ISNUMBER(SEARCH("software engineer",B321)),ISNUMBER(SEARCH("programmer",B321))),"Software Developer",ISNUMBER(SEARCH("business development",B321)),"Business Development",ISNUMBER(SEARCH("sales",B321)),"Sales Executive",ISNUMBER(SEARCH("marketing",B321)),"Marketing Executive",OR(ISNUMBER(SEARCH("hr ",B321)),ISNUMBER(SEARCH("recruit",B321)),ISNUMBER(SEARCH("human resource",B321))),"HR / Recruiter",OR(ISNUMBER(SEARCH("account",B321)),ISNUMBER(SEARCH("finance",B321)),ISNUMBER(SEARCH("tax",B321)),ISNUMBER(SEARCH("audit",B321))),"Accountant / Finance",OR(ISNUMBER(SEARCH("customer service",B321)),ISNUMBER(SEARCH("customer support",B321)),ISNUMBER(SEARCH("customer care",B321)),ISNUMBER(SEARCH("voice process",B321)),ISNUMBER(SEARCH("bpo",B321))),"Customer Support",ISNUMBER(SEARCH("engineer",B321)),"Engineer (Technical)",ISNUMBER(SEARCH("manager",B321)),"Manager",OR(ISNUMBER(SEARCH("teacher",B321)),ISNUMBER(SEARCH("trainer",B321)),ISNUMBER(SEARCH("faculty",B321))),"Teacher / Trainer",OR(ISNUMBER(SEARCH("doctor",B321)),ISNUMBER(SEARCH("nurse",B321)),ISNUMBER(SEARCH("medical",B321)),ISNUMBER(SEARCH("pharma",B321)),ISNUMBER(SEARCH("clinical",B321))),"Healthcare",TRUE,"Other")</f>
        <v/>
      </c>
      <c r="Q321" s="48">
        <f>IF(COUNTIFS($B$11:B321,B321,$C$11:C321,C321,$D$11:D321,D321,$L$11:L321,L321)&gt;1,"Duplicate","Unique")</f>
        <v/>
      </c>
    </row>
    <row r="322">
      <c r="A322" s="48">
        <f>Raw_Data!A313</f>
        <v/>
      </c>
      <c r="B322" s="48">
        <f>PROPER(TRIM(Raw_Data!B313))</f>
        <v/>
      </c>
      <c r="C322" s="48">
        <f>TRIM(Raw_Data!C313)</f>
        <v/>
      </c>
      <c r="D322" s="48">
        <f>IF(PROPER(TRIM(Raw_Data!D313))="Bangalore","Bengaluru",IF(PROPER(TRIM(Raw_Data!D313))="Gurgaon","Gurugram",IF(OR(PROPER(TRIM(Raw_Data!D313))="New Delhi",PROPER(TRIM(Raw_Data!D313))="Delhi"),"Delhi",PROPER(TRIM(Raw_Data!D313)))))</f>
        <v/>
      </c>
      <c r="E322" s="48">
        <f>Raw_Data!E313</f>
        <v/>
      </c>
      <c r="F322" s="48">
        <f>IF(TRIM(Raw_Data!F313&amp;"")="","Not Specified",Raw_Data!F313)</f>
        <v/>
      </c>
      <c r="G322" s="48">
        <f>Raw_Data!G313</f>
        <v/>
      </c>
      <c r="H322" s="48">
        <f>Raw_Data!H313</f>
        <v/>
      </c>
      <c r="I322" s="49">
        <f>IF(Raw_Data!I313="","",Raw_Data!I313)</f>
        <v/>
      </c>
      <c r="J322" s="49">
        <f>IF(Raw_Data!J313="","",Raw_Data!J313)</f>
        <v/>
      </c>
      <c r="K322" s="48">
        <f>IF(TRIM(Raw_Data!K313&amp;"")="","Not Specified",Raw_Data!K313)</f>
        <v/>
      </c>
      <c r="L322" s="56">
        <f>Raw_Data!L313</f>
        <v/>
      </c>
      <c r="M322" s="49">
        <f>IF(OR(I322="",J322=""),"",(I322+J322)/2)</f>
        <v/>
      </c>
      <c r="N322" s="49">
        <f>IF(OR(I322="",J322=""),"",J322-I322)</f>
        <v/>
      </c>
      <c r="O322" s="48">
        <f>TEXT(L322,"mmm-yyyy")</f>
        <v/>
      </c>
      <c r="P322" s="48">
        <f>_xlfn.IFS(ISNUMBER(SEARCH("data analy",B322)),"Data Analyst",ISNUMBER(SEARCH("business analy",B322)),"Business Analyst",OR(ISNUMBER(SEARCH("developer",B322)),ISNUMBER(SEARCH("software engineer",B322)),ISNUMBER(SEARCH("programmer",B322))),"Software Developer",ISNUMBER(SEARCH("business development",B322)),"Business Development",ISNUMBER(SEARCH("sales",B322)),"Sales Executive",ISNUMBER(SEARCH("marketing",B322)),"Marketing Executive",OR(ISNUMBER(SEARCH("hr ",B322)),ISNUMBER(SEARCH("recruit",B322)),ISNUMBER(SEARCH("human resource",B322))),"HR / Recruiter",OR(ISNUMBER(SEARCH("account",B322)),ISNUMBER(SEARCH("finance",B322)),ISNUMBER(SEARCH("tax",B322)),ISNUMBER(SEARCH("audit",B322))),"Accountant / Finance",OR(ISNUMBER(SEARCH("customer service",B322)),ISNUMBER(SEARCH("customer support",B322)),ISNUMBER(SEARCH("customer care",B322)),ISNUMBER(SEARCH("voice process",B322)),ISNUMBER(SEARCH("bpo",B322))),"Customer Support",ISNUMBER(SEARCH("engineer",B322)),"Engineer (Technical)",ISNUMBER(SEARCH("manager",B322)),"Manager",OR(ISNUMBER(SEARCH("teacher",B322)),ISNUMBER(SEARCH("trainer",B322)),ISNUMBER(SEARCH("faculty",B322))),"Teacher / Trainer",OR(ISNUMBER(SEARCH("doctor",B322)),ISNUMBER(SEARCH("nurse",B322)),ISNUMBER(SEARCH("medical",B322)),ISNUMBER(SEARCH("pharma",B322)),ISNUMBER(SEARCH("clinical",B322))),"Healthcare",TRUE,"Other")</f>
        <v/>
      </c>
      <c r="Q322" s="48">
        <f>IF(COUNTIFS($B$11:B322,B322,$C$11:C322,C322,$D$11:D322,D322,$L$11:L322,L322)&gt;1,"Duplicate","Unique")</f>
        <v/>
      </c>
    </row>
    <row r="323">
      <c r="A323" s="48">
        <f>Raw_Data!A314</f>
        <v/>
      </c>
      <c r="B323" s="48">
        <f>PROPER(TRIM(Raw_Data!B314))</f>
        <v/>
      </c>
      <c r="C323" s="48">
        <f>TRIM(Raw_Data!C314)</f>
        <v/>
      </c>
      <c r="D323" s="48">
        <f>IF(PROPER(TRIM(Raw_Data!D314))="Bangalore","Bengaluru",IF(PROPER(TRIM(Raw_Data!D314))="Gurgaon","Gurugram",IF(OR(PROPER(TRIM(Raw_Data!D314))="New Delhi",PROPER(TRIM(Raw_Data!D314))="Delhi"),"Delhi",PROPER(TRIM(Raw_Data!D314)))))</f>
        <v/>
      </c>
      <c r="E323" s="48">
        <f>Raw_Data!E314</f>
        <v/>
      </c>
      <c r="F323" s="48">
        <f>IF(TRIM(Raw_Data!F314&amp;"")="","Not Specified",Raw_Data!F314)</f>
        <v/>
      </c>
      <c r="G323" s="48">
        <f>Raw_Data!G314</f>
        <v/>
      </c>
      <c r="H323" s="48">
        <f>Raw_Data!H314</f>
        <v/>
      </c>
      <c r="I323" s="49">
        <f>IF(Raw_Data!I314="","",Raw_Data!I314)</f>
        <v/>
      </c>
      <c r="J323" s="49">
        <f>IF(Raw_Data!J314="","",Raw_Data!J314)</f>
        <v/>
      </c>
      <c r="K323" s="48">
        <f>IF(TRIM(Raw_Data!K314&amp;"")="","Not Specified",Raw_Data!K314)</f>
        <v/>
      </c>
      <c r="L323" s="56">
        <f>Raw_Data!L314</f>
        <v/>
      </c>
      <c r="M323" s="49">
        <f>IF(OR(I323="",J323=""),"",(I323+J323)/2)</f>
        <v/>
      </c>
      <c r="N323" s="49">
        <f>IF(OR(I323="",J323=""),"",J323-I323)</f>
        <v/>
      </c>
      <c r="O323" s="48">
        <f>TEXT(L323,"mmm-yyyy")</f>
        <v/>
      </c>
      <c r="P323" s="48">
        <f>_xlfn.IFS(ISNUMBER(SEARCH("data analy",B323)),"Data Analyst",ISNUMBER(SEARCH("business analy",B323)),"Business Analyst",OR(ISNUMBER(SEARCH("developer",B323)),ISNUMBER(SEARCH("software engineer",B323)),ISNUMBER(SEARCH("programmer",B323))),"Software Developer",ISNUMBER(SEARCH("business development",B323)),"Business Development",ISNUMBER(SEARCH("sales",B323)),"Sales Executive",ISNUMBER(SEARCH("marketing",B323)),"Marketing Executive",OR(ISNUMBER(SEARCH("hr ",B323)),ISNUMBER(SEARCH("recruit",B323)),ISNUMBER(SEARCH("human resource",B323))),"HR / Recruiter",OR(ISNUMBER(SEARCH("account",B323)),ISNUMBER(SEARCH("finance",B323)),ISNUMBER(SEARCH("tax",B323)),ISNUMBER(SEARCH("audit",B323))),"Accountant / Finance",OR(ISNUMBER(SEARCH("customer service",B323)),ISNUMBER(SEARCH("customer support",B323)),ISNUMBER(SEARCH("customer care",B323)),ISNUMBER(SEARCH("voice process",B323)),ISNUMBER(SEARCH("bpo",B323))),"Customer Support",ISNUMBER(SEARCH("engineer",B323)),"Engineer (Technical)",ISNUMBER(SEARCH("manager",B323)),"Manager",OR(ISNUMBER(SEARCH("teacher",B323)),ISNUMBER(SEARCH("trainer",B323)),ISNUMBER(SEARCH("faculty",B323))),"Teacher / Trainer",OR(ISNUMBER(SEARCH("doctor",B323)),ISNUMBER(SEARCH("nurse",B323)),ISNUMBER(SEARCH("medical",B323)),ISNUMBER(SEARCH("pharma",B323)),ISNUMBER(SEARCH("clinical",B323))),"Healthcare",TRUE,"Other")</f>
        <v/>
      </c>
      <c r="Q323" s="48">
        <f>IF(COUNTIFS($B$11:B323,B323,$C$11:C323,C323,$D$11:D323,D323,$L$11:L323,L323)&gt;1,"Duplicate","Unique")</f>
        <v/>
      </c>
    </row>
    <row r="324">
      <c r="A324" s="48">
        <f>Raw_Data!A315</f>
        <v/>
      </c>
      <c r="B324" s="48">
        <f>PROPER(TRIM(Raw_Data!B315))</f>
        <v/>
      </c>
      <c r="C324" s="48">
        <f>TRIM(Raw_Data!C315)</f>
        <v/>
      </c>
      <c r="D324" s="48">
        <f>IF(PROPER(TRIM(Raw_Data!D315))="Bangalore","Bengaluru",IF(PROPER(TRIM(Raw_Data!D315))="Gurgaon","Gurugram",IF(OR(PROPER(TRIM(Raw_Data!D315))="New Delhi",PROPER(TRIM(Raw_Data!D315))="Delhi"),"Delhi",PROPER(TRIM(Raw_Data!D315)))))</f>
        <v/>
      </c>
      <c r="E324" s="48">
        <f>Raw_Data!E315</f>
        <v/>
      </c>
      <c r="F324" s="48">
        <f>IF(TRIM(Raw_Data!F315&amp;"")="","Not Specified",Raw_Data!F315)</f>
        <v/>
      </c>
      <c r="G324" s="48">
        <f>Raw_Data!G315</f>
        <v/>
      </c>
      <c r="H324" s="48">
        <f>Raw_Data!H315</f>
        <v/>
      </c>
      <c r="I324" s="49">
        <f>IF(Raw_Data!I315="","",Raw_Data!I315)</f>
        <v/>
      </c>
      <c r="J324" s="49">
        <f>IF(Raw_Data!J315="","",Raw_Data!J315)</f>
        <v/>
      </c>
      <c r="K324" s="48">
        <f>IF(TRIM(Raw_Data!K315&amp;"")="","Not Specified",Raw_Data!K315)</f>
        <v/>
      </c>
      <c r="L324" s="56">
        <f>Raw_Data!L315</f>
        <v/>
      </c>
      <c r="M324" s="49">
        <f>IF(OR(I324="",J324=""),"",(I324+J324)/2)</f>
        <v/>
      </c>
      <c r="N324" s="49">
        <f>IF(OR(I324="",J324=""),"",J324-I324)</f>
        <v/>
      </c>
      <c r="O324" s="48">
        <f>TEXT(L324,"mmm-yyyy")</f>
        <v/>
      </c>
      <c r="P324" s="48">
        <f>_xlfn.IFS(ISNUMBER(SEARCH("data analy",B324)),"Data Analyst",ISNUMBER(SEARCH("business analy",B324)),"Business Analyst",OR(ISNUMBER(SEARCH("developer",B324)),ISNUMBER(SEARCH("software engineer",B324)),ISNUMBER(SEARCH("programmer",B324))),"Software Developer",ISNUMBER(SEARCH("business development",B324)),"Business Development",ISNUMBER(SEARCH("sales",B324)),"Sales Executive",ISNUMBER(SEARCH("marketing",B324)),"Marketing Executive",OR(ISNUMBER(SEARCH("hr ",B324)),ISNUMBER(SEARCH("recruit",B324)),ISNUMBER(SEARCH("human resource",B324))),"HR / Recruiter",OR(ISNUMBER(SEARCH("account",B324)),ISNUMBER(SEARCH("finance",B324)),ISNUMBER(SEARCH("tax",B324)),ISNUMBER(SEARCH("audit",B324))),"Accountant / Finance",OR(ISNUMBER(SEARCH("customer service",B324)),ISNUMBER(SEARCH("customer support",B324)),ISNUMBER(SEARCH("customer care",B324)),ISNUMBER(SEARCH("voice process",B324)),ISNUMBER(SEARCH("bpo",B324))),"Customer Support",ISNUMBER(SEARCH("engineer",B324)),"Engineer (Technical)",ISNUMBER(SEARCH("manager",B324)),"Manager",OR(ISNUMBER(SEARCH("teacher",B324)),ISNUMBER(SEARCH("trainer",B324)),ISNUMBER(SEARCH("faculty",B324))),"Teacher / Trainer",OR(ISNUMBER(SEARCH("doctor",B324)),ISNUMBER(SEARCH("nurse",B324)),ISNUMBER(SEARCH("medical",B324)),ISNUMBER(SEARCH("pharma",B324)),ISNUMBER(SEARCH("clinical",B324))),"Healthcare",TRUE,"Other")</f>
        <v/>
      </c>
      <c r="Q324" s="48">
        <f>IF(COUNTIFS($B$11:B324,B324,$C$11:C324,C324,$D$11:D324,D324,$L$11:L324,L324)&gt;1,"Duplicate","Unique")</f>
        <v/>
      </c>
    </row>
    <row r="325">
      <c r="A325" s="48">
        <f>Raw_Data!A316</f>
        <v/>
      </c>
      <c r="B325" s="48">
        <f>PROPER(TRIM(Raw_Data!B316))</f>
        <v/>
      </c>
      <c r="C325" s="48">
        <f>TRIM(Raw_Data!C316)</f>
        <v/>
      </c>
      <c r="D325" s="48">
        <f>IF(PROPER(TRIM(Raw_Data!D316))="Bangalore","Bengaluru",IF(PROPER(TRIM(Raw_Data!D316))="Gurgaon","Gurugram",IF(OR(PROPER(TRIM(Raw_Data!D316))="New Delhi",PROPER(TRIM(Raw_Data!D316))="Delhi"),"Delhi",PROPER(TRIM(Raw_Data!D316)))))</f>
        <v/>
      </c>
      <c r="E325" s="48">
        <f>Raw_Data!E316</f>
        <v/>
      </c>
      <c r="F325" s="48">
        <f>IF(TRIM(Raw_Data!F316&amp;"")="","Not Specified",Raw_Data!F316)</f>
        <v/>
      </c>
      <c r="G325" s="48">
        <f>Raw_Data!G316</f>
        <v/>
      </c>
      <c r="H325" s="48">
        <f>Raw_Data!H316</f>
        <v/>
      </c>
      <c r="I325" s="49">
        <f>IF(Raw_Data!I316="","",Raw_Data!I316)</f>
        <v/>
      </c>
      <c r="J325" s="49">
        <f>IF(Raw_Data!J316="","",Raw_Data!J316)</f>
        <v/>
      </c>
      <c r="K325" s="48">
        <f>IF(TRIM(Raw_Data!K316&amp;"")="","Not Specified",Raw_Data!K316)</f>
        <v/>
      </c>
      <c r="L325" s="56">
        <f>Raw_Data!L316</f>
        <v/>
      </c>
      <c r="M325" s="49">
        <f>IF(OR(I325="",J325=""),"",(I325+J325)/2)</f>
        <v/>
      </c>
      <c r="N325" s="49">
        <f>IF(OR(I325="",J325=""),"",J325-I325)</f>
        <v/>
      </c>
      <c r="O325" s="48">
        <f>TEXT(L325,"mmm-yyyy")</f>
        <v/>
      </c>
      <c r="P325" s="48">
        <f>_xlfn.IFS(ISNUMBER(SEARCH("data analy",B325)),"Data Analyst",ISNUMBER(SEARCH("business analy",B325)),"Business Analyst",OR(ISNUMBER(SEARCH("developer",B325)),ISNUMBER(SEARCH("software engineer",B325)),ISNUMBER(SEARCH("programmer",B325))),"Software Developer",ISNUMBER(SEARCH("business development",B325)),"Business Development",ISNUMBER(SEARCH("sales",B325)),"Sales Executive",ISNUMBER(SEARCH("marketing",B325)),"Marketing Executive",OR(ISNUMBER(SEARCH("hr ",B325)),ISNUMBER(SEARCH("recruit",B325)),ISNUMBER(SEARCH("human resource",B325))),"HR / Recruiter",OR(ISNUMBER(SEARCH("account",B325)),ISNUMBER(SEARCH("finance",B325)),ISNUMBER(SEARCH("tax",B325)),ISNUMBER(SEARCH("audit",B325))),"Accountant / Finance",OR(ISNUMBER(SEARCH("customer service",B325)),ISNUMBER(SEARCH("customer support",B325)),ISNUMBER(SEARCH("customer care",B325)),ISNUMBER(SEARCH("voice process",B325)),ISNUMBER(SEARCH("bpo",B325))),"Customer Support",ISNUMBER(SEARCH("engineer",B325)),"Engineer (Technical)",ISNUMBER(SEARCH("manager",B325)),"Manager",OR(ISNUMBER(SEARCH("teacher",B325)),ISNUMBER(SEARCH("trainer",B325)),ISNUMBER(SEARCH("faculty",B325))),"Teacher / Trainer",OR(ISNUMBER(SEARCH("doctor",B325)),ISNUMBER(SEARCH("nurse",B325)),ISNUMBER(SEARCH("medical",B325)),ISNUMBER(SEARCH("pharma",B325)),ISNUMBER(SEARCH("clinical",B325))),"Healthcare",TRUE,"Other")</f>
        <v/>
      </c>
      <c r="Q325" s="48">
        <f>IF(COUNTIFS($B$11:B325,B325,$C$11:C325,C325,$D$11:D325,D325,$L$11:L325,L325)&gt;1,"Duplicate","Unique")</f>
        <v/>
      </c>
    </row>
    <row r="326">
      <c r="A326" s="48">
        <f>Raw_Data!A317</f>
        <v/>
      </c>
      <c r="B326" s="48">
        <f>PROPER(TRIM(Raw_Data!B317))</f>
        <v/>
      </c>
      <c r="C326" s="48">
        <f>TRIM(Raw_Data!C317)</f>
        <v/>
      </c>
      <c r="D326" s="48">
        <f>IF(PROPER(TRIM(Raw_Data!D317))="Bangalore","Bengaluru",IF(PROPER(TRIM(Raw_Data!D317))="Gurgaon","Gurugram",IF(OR(PROPER(TRIM(Raw_Data!D317))="New Delhi",PROPER(TRIM(Raw_Data!D317))="Delhi"),"Delhi",PROPER(TRIM(Raw_Data!D317)))))</f>
        <v/>
      </c>
      <c r="E326" s="48">
        <f>Raw_Data!E317</f>
        <v/>
      </c>
      <c r="F326" s="48">
        <f>IF(TRIM(Raw_Data!F317&amp;"")="","Not Specified",Raw_Data!F317)</f>
        <v/>
      </c>
      <c r="G326" s="48">
        <f>Raw_Data!G317</f>
        <v/>
      </c>
      <c r="H326" s="48">
        <f>Raw_Data!H317</f>
        <v/>
      </c>
      <c r="I326" s="49">
        <f>IF(Raw_Data!I317="","",Raw_Data!I317)</f>
        <v/>
      </c>
      <c r="J326" s="49">
        <f>IF(Raw_Data!J317="","",Raw_Data!J317)</f>
        <v/>
      </c>
      <c r="K326" s="48">
        <f>IF(TRIM(Raw_Data!K317&amp;"")="","Not Specified",Raw_Data!K317)</f>
        <v/>
      </c>
      <c r="L326" s="56">
        <f>Raw_Data!L317</f>
        <v/>
      </c>
      <c r="M326" s="49">
        <f>IF(OR(I326="",J326=""),"",(I326+J326)/2)</f>
        <v/>
      </c>
      <c r="N326" s="49">
        <f>IF(OR(I326="",J326=""),"",J326-I326)</f>
        <v/>
      </c>
      <c r="O326" s="48">
        <f>TEXT(L326,"mmm-yyyy")</f>
        <v/>
      </c>
      <c r="P326" s="48">
        <f>_xlfn.IFS(ISNUMBER(SEARCH("data analy",B326)),"Data Analyst",ISNUMBER(SEARCH("business analy",B326)),"Business Analyst",OR(ISNUMBER(SEARCH("developer",B326)),ISNUMBER(SEARCH("software engineer",B326)),ISNUMBER(SEARCH("programmer",B326))),"Software Developer",ISNUMBER(SEARCH("business development",B326)),"Business Development",ISNUMBER(SEARCH("sales",B326)),"Sales Executive",ISNUMBER(SEARCH("marketing",B326)),"Marketing Executive",OR(ISNUMBER(SEARCH("hr ",B326)),ISNUMBER(SEARCH("recruit",B326)),ISNUMBER(SEARCH("human resource",B326))),"HR / Recruiter",OR(ISNUMBER(SEARCH("account",B326)),ISNUMBER(SEARCH("finance",B326)),ISNUMBER(SEARCH("tax",B326)),ISNUMBER(SEARCH("audit",B326))),"Accountant / Finance",OR(ISNUMBER(SEARCH("customer service",B326)),ISNUMBER(SEARCH("customer support",B326)),ISNUMBER(SEARCH("customer care",B326)),ISNUMBER(SEARCH("voice process",B326)),ISNUMBER(SEARCH("bpo",B326))),"Customer Support",ISNUMBER(SEARCH("engineer",B326)),"Engineer (Technical)",ISNUMBER(SEARCH("manager",B326)),"Manager",OR(ISNUMBER(SEARCH("teacher",B326)),ISNUMBER(SEARCH("trainer",B326)),ISNUMBER(SEARCH("faculty",B326))),"Teacher / Trainer",OR(ISNUMBER(SEARCH("doctor",B326)),ISNUMBER(SEARCH("nurse",B326)),ISNUMBER(SEARCH("medical",B326)),ISNUMBER(SEARCH("pharma",B326)),ISNUMBER(SEARCH("clinical",B326))),"Healthcare",TRUE,"Other")</f>
        <v/>
      </c>
      <c r="Q326" s="48">
        <f>IF(COUNTIFS($B$11:B326,B326,$C$11:C326,C326,$D$11:D326,D326,$L$11:L326,L326)&gt;1,"Duplicate","Unique")</f>
        <v/>
      </c>
    </row>
    <row r="327">
      <c r="A327" s="48">
        <f>Raw_Data!A318</f>
        <v/>
      </c>
      <c r="B327" s="48">
        <f>PROPER(TRIM(Raw_Data!B318))</f>
        <v/>
      </c>
      <c r="C327" s="48">
        <f>TRIM(Raw_Data!C318)</f>
        <v/>
      </c>
      <c r="D327" s="48">
        <f>IF(PROPER(TRIM(Raw_Data!D318))="Bangalore","Bengaluru",IF(PROPER(TRIM(Raw_Data!D318))="Gurgaon","Gurugram",IF(OR(PROPER(TRIM(Raw_Data!D318))="New Delhi",PROPER(TRIM(Raw_Data!D318))="Delhi"),"Delhi",PROPER(TRIM(Raw_Data!D318)))))</f>
        <v/>
      </c>
      <c r="E327" s="48">
        <f>Raw_Data!E318</f>
        <v/>
      </c>
      <c r="F327" s="48">
        <f>IF(TRIM(Raw_Data!F318&amp;"")="","Not Specified",Raw_Data!F318)</f>
        <v/>
      </c>
      <c r="G327" s="48">
        <f>Raw_Data!G318</f>
        <v/>
      </c>
      <c r="H327" s="48">
        <f>Raw_Data!H318</f>
        <v/>
      </c>
      <c r="I327" s="49">
        <f>IF(Raw_Data!I318="","",Raw_Data!I318)</f>
        <v/>
      </c>
      <c r="J327" s="49">
        <f>IF(Raw_Data!J318="","",Raw_Data!J318)</f>
        <v/>
      </c>
      <c r="K327" s="48">
        <f>IF(TRIM(Raw_Data!K318&amp;"")="","Not Specified",Raw_Data!K318)</f>
        <v/>
      </c>
      <c r="L327" s="56">
        <f>Raw_Data!L318</f>
        <v/>
      </c>
      <c r="M327" s="49">
        <f>IF(OR(I327="",J327=""),"",(I327+J327)/2)</f>
        <v/>
      </c>
      <c r="N327" s="49">
        <f>IF(OR(I327="",J327=""),"",J327-I327)</f>
        <v/>
      </c>
      <c r="O327" s="48">
        <f>TEXT(L327,"mmm-yyyy")</f>
        <v/>
      </c>
      <c r="P327" s="48">
        <f>_xlfn.IFS(ISNUMBER(SEARCH("data analy",B327)),"Data Analyst",ISNUMBER(SEARCH("business analy",B327)),"Business Analyst",OR(ISNUMBER(SEARCH("developer",B327)),ISNUMBER(SEARCH("software engineer",B327)),ISNUMBER(SEARCH("programmer",B327))),"Software Developer",ISNUMBER(SEARCH("business development",B327)),"Business Development",ISNUMBER(SEARCH("sales",B327)),"Sales Executive",ISNUMBER(SEARCH("marketing",B327)),"Marketing Executive",OR(ISNUMBER(SEARCH("hr ",B327)),ISNUMBER(SEARCH("recruit",B327)),ISNUMBER(SEARCH("human resource",B327))),"HR / Recruiter",OR(ISNUMBER(SEARCH("account",B327)),ISNUMBER(SEARCH("finance",B327)),ISNUMBER(SEARCH("tax",B327)),ISNUMBER(SEARCH("audit",B327))),"Accountant / Finance",OR(ISNUMBER(SEARCH("customer service",B327)),ISNUMBER(SEARCH("customer support",B327)),ISNUMBER(SEARCH("customer care",B327)),ISNUMBER(SEARCH("voice process",B327)),ISNUMBER(SEARCH("bpo",B327))),"Customer Support",ISNUMBER(SEARCH("engineer",B327)),"Engineer (Technical)",ISNUMBER(SEARCH("manager",B327)),"Manager",OR(ISNUMBER(SEARCH("teacher",B327)),ISNUMBER(SEARCH("trainer",B327)),ISNUMBER(SEARCH("faculty",B327))),"Teacher / Trainer",OR(ISNUMBER(SEARCH("doctor",B327)),ISNUMBER(SEARCH("nurse",B327)),ISNUMBER(SEARCH("medical",B327)),ISNUMBER(SEARCH("pharma",B327)),ISNUMBER(SEARCH("clinical",B327))),"Healthcare",TRUE,"Other")</f>
        <v/>
      </c>
      <c r="Q327" s="48">
        <f>IF(COUNTIFS($B$11:B327,B327,$C$11:C327,C327,$D$11:D327,D327,$L$11:L327,L327)&gt;1,"Duplicate","Unique")</f>
        <v/>
      </c>
    </row>
    <row r="328">
      <c r="A328" s="48">
        <f>Raw_Data!A319</f>
        <v/>
      </c>
      <c r="B328" s="48">
        <f>PROPER(TRIM(Raw_Data!B319))</f>
        <v/>
      </c>
      <c r="C328" s="48">
        <f>TRIM(Raw_Data!C319)</f>
        <v/>
      </c>
      <c r="D328" s="48">
        <f>IF(PROPER(TRIM(Raw_Data!D319))="Bangalore","Bengaluru",IF(PROPER(TRIM(Raw_Data!D319))="Gurgaon","Gurugram",IF(OR(PROPER(TRIM(Raw_Data!D319))="New Delhi",PROPER(TRIM(Raw_Data!D319))="Delhi"),"Delhi",PROPER(TRIM(Raw_Data!D319)))))</f>
        <v/>
      </c>
      <c r="E328" s="48">
        <f>Raw_Data!E319</f>
        <v/>
      </c>
      <c r="F328" s="48">
        <f>IF(TRIM(Raw_Data!F319&amp;"")="","Not Specified",Raw_Data!F319)</f>
        <v/>
      </c>
      <c r="G328" s="48">
        <f>Raw_Data!G319</f>
        <v/>
      </c>
      <c r="H328" s="48">
        <f>Raw_Data!H319</f>
        <v/>
      </c>
      <c r="I328" s="49">
        <f>IF(Raw_Data!I319="","",Raw_Data!I319)</f>
        <v/>
      </c>
      <c r="J328" s="49">
        <f>IF(Raw_Data!J319="","",Raw_Data!J319)</f>
        <v/>
      </c>
      <c r="K328" s="48">
        <f>IF(TRIM(Raw_Data!K319&amp;"")="","Not Specified",Raw_Data!K319)</f>
        <v/>
      </c>
      <c r="L328" s="56">
        <f>Raw_Data!L319</f>
        <v/>
      </c>
      <c r="M328" s="49">
        <f>IF(OR(I328="",J328=""),"",(I328+J328)/2)</f>
        <v/>
      </c>
      <c r="N328" s="49">
        <f>IF(OR(I328="",J328=""),"",J328-I328)</f>
        <v/>
      </c>
      <c r="O328" s="48">
        <f>TEXT(L328,"mmm-yyyy")</f>
        <v/>
      </c>
      <c r="P328" s="48">
        <f>_xlfn.IFS(ISNUMBER(SEARCH("data analy",B328)),"Data Analyst",ISNUMBER(SEARCH("business analy",B328)),"Business Analyst",OR(ISNUMBER(SEARCH("developer",B328)),ISNUMBER(SEARCH("software engineer",B328)),ISNUMBER(SEARCH("programmer",B328))),"Software Developer",ISNUMBER(SEARCH("business development",B328)),"Business Development",ISNUMBER(SEARCH("sales",B328)),"Sales Executive",ISNUMBER(SEARCH("marketing",B328)),"Marketing Executive",OR(ISNUMBER(SEARCH("hr ",B328)),ISNUMBER(SEARCH("recruit",B328)),ISNUMBER(SEARCH("human resource",B328))),"HR / Recruiter",OR(ISNUMBER(SEARCH("account",B328)),ISNUMBER(SEARCH("finance",B328)),ISNUMBER(SEARCH("tax",B328)),ISNUMBER(SEARCH("audit",B328))),"Accountant / Finance",OR(ISNUMBER(SEARCH("customer service",B328)),ISNUMBER(SEARCH("customer support",B328)),ISNUMBER(SEARCH("customer care",B328)),ISNUMBER(SEARCH("voice process",B328)),ISNUMBER(SEARCH("bpo",B328))),"Customer Support",ISNUMBER(SEARCH("engineer",B328)),"Engineer (Technical)",ISNUMBER(SEARCH("manager",B328)),"Manager",OR(ISNUMBER(SEARCH("teacher",B328)),ISNUMBER(SEARCH("trainer",B328)),ISNUMBER(SEARCH("faculty",B328))),"Teacher / Trainer",OR(ISNUMBER(SEARCH("doctor",B328)),ISNUMBER(SEARCH("nurse",B328)),ISNUMBER(SEARCH("medical",B328)),ISNUMBER(SEARCH("pharma",B328)),ISNUMBER(SEARCH("clinical",B328))),"Healthcare",TRUE,"Other")</f>
        <v/>
      </c>
      <c r="Q328" s="48">
        <f>IF(COUNTIFS($B$11:B328,B328,$C$11:C328,C328,$D$11:D328,D328,$L$11:L328,L328)&gt;1,"Duplicate","Unique")</f>
        <v/>
      </c>
    </row>
    <row r="329">
      <c r="A329" s="48">
        <f>Raw_Data!A320</f>
        <v/>
      </c>
      <c r="B329" s="48">
        <f>PROPER(TRIM(Raw_Data!B320))</f>
        <v/>
      </c>
      <c r="C329" s="48">
        <f>TRIM(Raw_Data!C320)</f>
        <v/>
      </c>
      <c r="D329" s="48">
        <f>IF(PROPER(TRIM(Raw_Data!D320))="Bangalore","Bengaluru",IF(PROPER(TRIM(Raw_Data!D320))="Gurgaon","Gurugram",IF(OR(PROPER(TRIM(Raw_Data!D320))="New Delhi",PROPER(TRIM(Raw_Data!D320))="Delhi"),"Delhi",PROPER(TRIM(Raw_Data!D320)))))</f>
        <v/>
      </c>
      <c r="E329" s="48">
        <f>Raw_Data!E320</f>
        <v/>
      </c>
      <c r="F329" s="48">
        <f>IF(TRIM(Raw_Data!F320&amp;"")="","Not Specified",Raw_Data!F320)</f>
        <v/>
      </c>
      <c r="G329" s="48">
        <f>Raw_Data!G320</f>
        <v/>
      </c>
      <c r="H329" s="48">
        <f>Raw_Data!H320</f>
        <v/>
      </c>
      <c r="I329" s="49">
        <f>IF(Raw_Data!I320="","",Raw_Data!I320)</f>
        <v/>
      </c>
      <c r="J329" s="49">
        <f>IF(Raw_Data!J320="","",Raw_Data!J320)</f>
        <v/>
      </c>
      <c r="K329" s="48">
        <f>IF(TRIM(Raw_Data!K320&amp;"")="","Not Specified",Raw_Data!K320)</f>
        <v/>
      </c>
      <c r="L329" s="56">
        <f>Raw_Data!L320</f>
        <v/>
      </c>
      <c r="M329" s="49">
        <f>IF(OR(I329="",J329=""),"",(I329+J329)/2)</f>
        <v/>
      </c>
      <c r="N329" s="49">
        <f>IF(OR(I329="",J329=""),"",J329-I329)</f>
        <v/>
      </c>
      <c r="O329" s="48">
        <f>TEXT(L329,"mmm-yyyy")</f>
        <v/>
      </c>
      <c r="P329" s="48">
        <f>_xlfn.IFS(ISNUMBER(SEARCH("data analy",B329)),"Data Analyst",ISNUMBER(SEARCH("business analy",B329)),"Business Analyst",OR(ISNUMBER(SEARCH("developer",B329)),ISNUMBER(SEARCH("software engineer",B329)),ISNUMBER(SEARCH("programmer",B329))),"Software Developer",ISNUMBER(SEARCH("business development",B329)),"Business Development",ISNUMBER(SEARCH("sales",B329)),"Sales Executive",ISNUMBER(SEARCH("marketing",B329)),"Marketing Executive",OR(ISNUMBER(SEARCH("hr ",B329)),ISNUMBER(SEARCH("recruit",B329)),ISNUMBER(SEARCH("human resource",B329))),"HR / Recruiter",OR(ISNUMBER(SEARCH("account",B329)),ISNUMBER(SEARCH("finance",B329)),ISNUMBER(SEARCH("tax",B329)),ISNUMBER(SEARCH("audit",B329))),"Accountant / Finance",OR(ISNUMBER(SEARCH("customer service",B329)),ISNUMBER(SEARCH("customer support",B329)),ISNUMBER(SEARCH("customer care",B329)),ISNUMBER(SEARCH("voice process",B329)),ISNUMBER(SEARCH("bpo",B329))),"Customer Support",ISNUMBER(SEARCH("engineer",B329)),"Engineer (Technical)",ISNUMBER(SEARCH("manager",B329)),"Manager",OR(ISNUMBER(SEARCH("teacher",B329)),ISNUMBER(SEARCH("trainer",B329)),ISNUMBER(SEARCH("faculty",B329))),"Teacher / Trainer",OR(ISNUMBER(SEARCH("doctor",B329)),ISNUMBER(SEARCH("nurse",B329)),ISNUMBER(SEARCH("medical",B329)),ISNUMBER(SEARCH("pharma",B329)),ISNUMBER(SEARCH("clinical",B329))),"Healthcare",TRUE,"Other")</f>
        <v/>
      </c>
      <c r="Q329" s="48">
        <f>IF(COUNTIFS($B$11:B329,B329,$C$11:C329,C329,$D$11:D329,D329,$L$11:L329,L329)&gt;1,"Duplicate","Unique")</f>
        <v/>
      </c>
    </row>
    <row r="330">
      <c r="A330" s="48">
        <f>Raw_Data!A321</f>
        <v/>
      </c>
      <c r="B330" s="48">
        <f>PROPER(TRIM(Raw_Data!B321))</f>
        <v/>
      </c>
      <c r="C330" s="48">
        <f>TRIM(Raw_Data!C321)</f>
        <v/>
      </c>
      <c r="D330" s="48">
        <f>IF(PROPER(TRIM(Raw_Data!D321))="Bangalore","Bengaluru",IF(PROPER(TRIM(Raw_Data!D321))="Gurgaon","Gurugram",IF(OR(PROPER(TRIM(Raw_Data!D321))="New Delhi",PROPER(TRIM(Raw_Data!D321))="Delhi"),"Delhi",PROPER(TRIM(Raw_Data!D321)))))</f>
        <v/>
      </c>
      <c r="E330" s="48">
        <f>Raw_Data!E321</f>
        <v/>
      </c>
      <c r="F330" s="48">
        <f>IF(TRIM(Raw_Data!F321&amp;"")="","Not Specified",Raw_Data!F321)</f>
        <v/>
      </c>
      <c r="G330" s="48">
        <f>Raw_Data!G321</f>
        <v/>
      </c>
      <c r="H330" s="48">
        <f>Raw_Data!H321</f>
        <v/>
      </c>
      <c r="I330" s="49">
        <f>IF(Raw_Data!I321="","",Raw_Data!I321)</f>
        <v/>
      </c>
      <c r="J330" s="49">
        <f>IF(Raw_Data!J321="","",Raw_Data!J321)</f>
        <v/>
      </c>
      <c r="K330" s="48">
        <f>IF(TRIM(Raw_Data!K321&amp;"")="","Not Specified",Raw_Data!K321)</f>
        <v/>
      </c>
      <c r="L330" s="56">
        <f>Raw_Data!L321</f>
        <v/>
      </c>
      <c r="M330" s="49">
        <f>IF(OR(I330="",J330=""),"",(I330+J330)/2)</f>
        <v/>
      </c>
      <c r="N330" s="49">
        <f>IF(OR(I330="",J330=""),"",J330-I330)</f>
        <v/>
      </c>
      <c r="O330" s="48">
        <f>TEXT(L330,"mmm-yyyy")</f>
        <v/>
      </c>
      <c r="P330" s="48">
        <f>_xlfn.IFS(ISNUMBER(SEARCH("data analy",B330)),"Data Analyst",ISNUMBER(SEARCH("business analy",B330)),"Business Analyst",OR(ISNUMBER(SEARCH("developer",B330)),ISNUMBER(SEARCH("software engineer",B330)),ISNUMBER(SEARCH("programmer",B330))),"Software Developer",ISNUMBER(SEARCH("business development",B330)),"Business Development",ISNUMBER(SEARCH("sales",B330)),"Sales Executive",ISNUMBER(SEARCH("marketing",B330)),"Marketing Executive",OR(ISNUMBER(SEARCH("hr ",B330)),ISNUMBER(SEARCH("recruit",B330)),ISNUMBER(SEARCH("human resource",B330))),"HR / Recruiter",OR(ISNUMBER(SEARCH("account",B330)),ISNUMBER(SEARCH("finance",B330)),ISNUMBER(SEARCH("tax",B330)),ISNUMBER(SEARCH("audit",B330))),"Accountant / Finance",OR(ISNUMBER(SEARCH("customer service",B330)),ISNUMBER(SEARCH("customer support",B330)),ISNUMBER(SEARCH("customer care",B330)),ISNUMBER(SEARCH("voice process",B330)),ISNUMBER(SEARCH("bpo",B330))),"Customer Support",ISNUMBER(SEARCH("engineer",B330)),"Engineer (Technical)",ISNUMBER(SEARCH("manager",B330)),"Manager",OR(ISNUMBER(SEARCH("teacher",B330)),ISNUMBER(SEARCH("trainer",B330)),ISNUMBER(SEARCH("faculty",B330))),"Teacher / Trainer",OR(ISNUMBER(SEARCH("doctor",B330)),ISNUMBER(SEARCH("nurse",B330)),ISNUMBER(SEARCH("medical",B330)),ISNUMBER(SEARCH("pharma",B330)),ISNUMBER(SEARCH("clinical",B330))),"Healthcare",TRUE,"Other")</f>
        <v/>
      </c>
      <c r="Q330" s="48">
        <f>IF(COUNTIFS($B$11:B330,B330,$C$11:C330,C330,$D$11:D330,D330,$L$11:L330,L330)&gt;1,"Duplicate","Unique")</f>
        <v/>
      </c>
    </row>
    <row r="331">
      <c r="A331" s="48">
        <f>Raw_Data!A322</f>
        <v/>
      </c>
      <c r="B331" s="48">
        <f>PROPER(TRIM(Raw_Data!B322))</f>
        <v/>
      </c>
      <c r="C331" s="48">
        <f>TRIM(Raw_Data!C322)</f>
        <v/>
      </c>
      <c r="D331" s="48">
        <f>IF(PROPER(TRIM(Raw_Data!D322))="Bangalore","Bengaluru",IF(PROPER(TRIM(Raw_Data!D322))="Gurgaon","Gurugram",IF(OR(PROPER(TRIM(Raw_Data!D322))="New Delhi",PROPER(TRIM(Raw_Data!D322))="Delhi"),"Delhi",PROPER(TRIM(Raw_Data!D322)))))</f>
        <v/>
      </c>
      <c r="E331" s="48">
        <f>Raw_Data!E322</f>
        <v/>
      </c>
      <c r="F331" s="48">
        <f>IF(TRIM(Raw_Data!F322&amp;"")="","Not Specified",Raw_Data!F322)</f>
        <v/>
      </c>
      <c r="G331" s="48">
        <f>Raw_Data!G322</f>
        <v/>
      </c>
      <c r="H331" s="48">
        <f>Raw_Data!H322</f>
        <v/>
      </c>
      <c r="I331" s="49">
        <f>IF(Raw_Data!I322="","",Raw_Data!I322)</f>
        <v/>
      </c>
      <c r="J331" s="49">
        <f>IF(Raw_Data!J322="","",Raw_Data!J322)</f>
        <v/>
      </c>
      <c r="K331" s="48">
        <f>IF(TRIM(Raw_Data!K322&amp;"")="","Not Specified",Raw_Data!K322)</f>
        <v/>
      </c>
      <c r="L331" s="56">
        <f>Raw_Data!L322</f>
        <v/>
      </c>
      <c r="M331" s="49">
        <f>IF(OR(I331="",J331=""),"",(I331+J331)/2)</f>
        <v/>
      </c>
      <c r="N331" s="49">
        <f>IF(OR(I331="",J331=""),"",J331-I331)</f>
        <v/>
      </c>
      <c r="O331" s="48">
        <f>TEXT(L331,"mmm-yyyy")</f>
        <v/>
      </c>
      <c r="P331" s="48">
        <f>_xlfn.IFS(ISNUMBER(SEARCH("data analy",B331)),"Data Analyst",ISNUMBER(SEARCH("business analy",B331)),"Business Analyst",OR(ISNUMBER(SEARCH("developer",B331)),ISNUMBER(SEARCH("software engineer",B331)),ISNUMBER(SEARCH("programmer",B331))),"Software Developer",ISNUMBER(SEARCH("business development",B331)),"Business Development",ISNUMBER(SEARCH("sales",B331)),"Sales Executive",ISNUMBER(SEARCH("marketing",B331)),"Marketing Executive",OR(ISNUMBER(SEARCH("hr ",B331)),ISNUMBER(SEARCH("recruit",B331)),ISNUMBER(SEARCH("human resource",B331))),"HR / Recruiter",OR(ISNUMBER(SEARCH("account",B331)),ISNUMBER(SEARCH("finance",B331)),ISNUMBER(SEARCH("tax",B331)),ISNUMBER(SEARCH("audit",B331))),"Accountant / Finance",OR(ISNUMBER(SEARCH("customer service",B331)),ISNUMBER(SEARCH("customer support",B331)),ISNUMBER(SEARCH("customer care",B331)),ISNUMBER(SEARCH("voice process",B331)),ISNUMBER(SEARCH("bpo",B331))),"Customer Support",ISNUMBER(SEARCH("engineer",B331)),"Engineer (Technical)",ISNUMBER(SEARCH("manager",B331)),"Manager",OR(ISNUMBER(SEARCH("teacher",B331)),ISNUMBER(SEARCH("trainer",B331)),ISNUMBER(SEARCH("faculty",B331))),"Teacher / Trainer",OR(ISNUMBER(SEARCH("doctor",B331)),ISNUMBER(SEARCH("nurse",B331)),ISNUMBER(SEARCH("medical",B331)),ISNUMBER(SEARCH("pharma",B331)),ISNUMBER(SEARCH("clinical",B331))),"Healthcare",TRUE,"Other")</f>
        <v/>
      </c>
      <c r="Q331" s="48">
        <f>IF(COUNTIFS($B$11:B331,B331,$C$11:C331,C331,$D$11:D331,D331,$L$11:L331,L331)&gt;1,"Duplicate","Unique")</f>
        <v/>
      </c>
    </row>
    <row r="332">
      <c r="A332" s="48">
        <f>Raw_Data!A323</f>
        <v/>
      </c>
      <c r="B332" s="48">
        <f>PROPER(TRIM(Raw_Data!B323))</f>
        <v/>
      </c>
      <c r="C332" s="48">
        <f>TRIM(Raw_Data!C323)</f>
        <v/>
      </c>
      <c r="D332" s="48">
        <f>IF(PROPER(TRIM(Raw_Data!D323))="Bangalore","Bengaluru",IF(PROPER(TRIM(Raw_Data!D323))="Gurgaon","Gurugram",IF(OR(PROPER(TRIM(Raw_Data!D323))="New Delhi",PROPER(TRIM(Raw_Data!D323))="Delhi"),"Delhi",PROPER(TRIM(Raw_Data!D323)))))</f>
        <v/>
      </c>
      <c r="E332" s="48">
        <f>Raw_Data!E323</f>
        <v/>
      </c>
      <c r="F332" s="48">
        <f>IF(TRIM(Raw_Data!F323&amp;"")="","Not Specified",Raw_Data!F323)</f>
        <v/>
      </c>
      <c r="G332" s="48">
        <f>Raw_Data!G323</f>
        <v/>
      </c>
      <c r="H332" s="48">
        <f>Raw_Data!H323</f>
        <v/>
      </c>
      <c r="I332" s="49">
        <f>IF(Raw_Data!I323="","",Raw_Data!I323)</f>
        <v/>
      </c>
      <c r="J332" s="49">
        <f>IF(Raw_Data!J323="","",Raw_Data!J323)</f>
        <v/>
      </c>
      <c r="K332" s="48">
        <f>IF(TRIM(Raw_Data!K323&amp;"")="","Not Specified",Raw_Data!K323)</f>
        <v/>
      </c>
      <c r="L332" s="56">
        <f>Raw_Data!L323</f>
        <v/>
      </c>
      <c r="M332" s="49">
        <f>IF(OR(I332="",J332=""),"",(I332+J332)/2)</f>
        <v/>
      </c>
      <c r="N332" s="49">
        <f>IF(OR(I332="",J332=""),"",J332-I332)</f>
        <v/>
      </c>
      <c r="O332" s="48">
        <f>TEXT(L332,"mmm-yyyy")</f>
        <v/>
      </c>
      <c r="P332" s="48">
        <f>_xlfn.IFS(ISNUMBER(SEARCH("data analy",B332)),"Data Analyst",ISNUMBER(SEARCH("business analy",B332)),"Business Analyst",OR(ISNUMBER(SEARCH("developer",B332)),ISNUMBER(SEARCH("software engineer",B332)),ISNUMBER(SEARCH("programmer",B332))),"Software Developer",ISNUMBER(SEARCH("business development",B332)),"Business Development",ISNUMBER(SEARCH("sales",B332)),"Sales Executive",ISNUMBER(SEARCH("marketing",B332)),"Marketing Executive",OR(ISNUMBER(SEARCH("hr ",B332)),ISNUMBER(SEARCH("recruit",B332)),ISNUMBER(SEARCH("human resource",B332))),"HR / Recruiter",OR(ISNUMBER(SEARCH("account",B332)),ISNUMBER(SEARCH("finance",B332)),ISNUMBER(SEARCH("tax",B332)),ISNUMBER(SEARCH("audit",B332))),"Accountant / Finance",OR(ISNUMBER(SEARCH("customer service",B332)),ISNUMBER(SEARCH("customer support",B332)),ISNUMBER(SEARCH("customer care",B332)),ISNUMBER(SEARCH("voice process",B332)),ISNUMBER(SEARCH("bpo",B332))),"Customer Support",ISNUMBER(SEARCH("engineer",B332)),"Engineer (Technical)",ISNUMBER(SEARCH("manager",B332)),"Manager",OR(ISNUMBER(SEARCH("teacher",B332)),ISNUMBER(SEARCH("trainer",B332)),ISNUMBER(SEARCH("faculty",B332))),"Teacher / Trainer",OR(ISNUMBER(SEARCH("doctor",B332)),ISNUMBER(SEARCH("nurse",B332)),ISNUMBER(SEARCH("medical",B332)),ISNUMBER(SEARCH("pharma",B332)),ISNUMBER(SEARCH("clinical",B332))),"Healthcare",TRUE,"Other")</f>
        <v/>
      </c>
      <c r="Q332" s="48">
        <f>IF(COUNTIFS($B$11:B332,B332,$C$11:C332,C332,$D$11:D332,D332,$L$11:L332,L332)&gt;1,"Duplicate","Unique")</f>
        <v/>
      </c>
    </row>
    <row r="333">
      <c r="A333" s="48">
        <f>Raw_Data!A324</f>
        <v/>
      </c>
      <c r="B333" s="48">
        <f>PROPER(TRIM(Raw_Data!B324))</f>
        <v/>
      </c>
      <c r="C333" s="48">
        <f>TRIM(Raw_Data!C324)</f>
        <v/>
      </c>
      <c r="D333" s="48">
        <f>IF(PROPER(TRIM(Raw_Data!D324))="Bangalore","Bengaluru",IF(PROPER(TRIM(Raw_Data!D324))="Gurgaon","Gurugram",IF(OR(PROPER(TRIM(Raw_Data!D324))="New Delhi",PROPER(TRIM(Raw_Data!D324))="Delhi"),"Delhi",PROPER(TRIM(Raw_Data!D324)))))</f>
        <v/>
      </c>
      <c r="E333" s="48">
        <f>Raw_Data!E324</f>
        <v/>
      </c>
      <c r="F333" s="48">
        <f>IF(TRIM(Raw_Data!F324&amp;"")="","Not Specified",Raw_Data!F324)</f>
        <v/>
      </c>
      <c r="G333" s="48">
        <f>Raw_Data!G324</f>
        <v/>
      </c>
      <c r="H333" s="48">
        <f>Raw_Data!H324</f>
        <v/>
      </c>
      <c r="I333" s="49">
        <f>IF(Raw_Data!I324="","",Raw_Data!I324)</f>
        <v/>
      </c>
      <c r="J333" s="49">
        <f>IF(Raw_Data!J324="","",Raw_Data!J324)</f>
        <v/>
      </c>
      <c r="K333" s="48">
        <f>IF(TRIM(Raw_Data!K324&amp;"")="","Not Specified",Raw_Data!K324)</f>
        <v/>
      </c>
      <c r="L333" s="56">
        <f>Raw_Data!L324</f>
        <v/>
      </c>
      <c r="M333" s="49">
        <f>IF(OR(I333="",J333=""),"",(I333+J333)/2)</f>
        <v/>
      </c>
      <c r="N333" s="49">
        <f>IF(OR(I333="",J333=""),"",J333-I333)</f>
        <v/>
      </c>
      <c r="O333" s="48">
        <f>TEXT(L333,"mmm-yyyy")</f>
        <v/>
      </c>
      <c r="P333" s="48">
        <f>_xlfn.IFS(ISNUMBER(SEARCH("data analy",B333)),"Data Analyst",ISNUMBER(SEARCH("business analy",B333)),"Business Analyst",OR(ISNUMBER(SEARCH("developer",B333)),ISNUMBER(SEARCH("software engineer",B333)),ISNUMBER(SEARCH("programmer",B333))),"Software Developer",ISNUMBER(SEARCH("business development",B333)),"Business Development",ISNUMBER(SEARCH("sales",B333)),"Sales Executive",ISNUMBER(SEARCH("marketing",B333)),"Marketing Executive",OR(ISNUMBER(SEARCH("hr ",B333)),ISNUMBER(SEARCH("recruit",B333)),ISNUMBER(SEARCH("human resource",B333))),"HR / Recruiter",OR(ISNUMBER(SEARCH("account",B333)),ISNUMBER(SEARCH("finance",B333)),ISNUMBER(SEARCH("tax",B333)),ISNUMBER(SEARCH("audit",B333))),"Accountant / Finance",OR(ISNUMBER(SEARCH("customer service",B333)),ISNUMBER(SEARCH("customer support",B333)),ISNUMBER(SEARCH("customer care",B333)),ISNUMBER(SEARCH("voice process",B333)),ISNUMBER(SEARCH("bpo",B333))),"Customer Support",ISNUMBER(SEARCH("engineer",B333)),"Engineer (Technical)",ISNUMBER(SEARCH("manager",B333)),"Manager",OR(ISNUMBER(SEARCH("teacher",B333)),ISNUMBER(SEARCH("trainer",B333)),ISNUMBER(SEARCH("faculty",B333))),"Teacher / Trainer",OR(ISNUMBER(SEARCH("doctor",B333)),ISNUMBER(SEARCH("nurse",B333)),ISNUMBER(SEARCH("medical",B333)),ISNUMBER(SEARCH("pharma",B333)),ISNUMBER(SEARCH("clinical",B333))),"Healthcare",TRUE,"Other")</f>
        <v/>
      </c>
      <c r="Q333" s="48">
        <f>IF(COUNTIFS($B$11:B333,B333,$C$11:C333,C333,$D$11:D333,D333,$L$11:L333,L333)&gt;1,"Duplicate","Unique")</f>
        <v/>
      </c>
    </row>
    <row r="334">
      <c r="A334" s="48">
        <f>Raw_Data!A325</f>
        <v/>
      </c>
      <c r="B334" s="48">
        <f>PROPER(TRIM(Raw_Data!B325))</f>
        <v/>
      </c>
      <c r="C334" s="48">
        <f>TRIM(Raw_Data!C325)</f>
        <v/>
      </c>
      <c r="D334" s="48">
        <f>IF(PROPER(TRIM(Raw_Data!D325))="Bangalore","Bengaluru",IF(PROPER(TRIM(Raw_Data!D325))="Gurgaon","Gurugram",IF(OR(PROPER(TRIM(Raw_Data!D325))="New Delhi",PROPER(TRIM(Raw_Data!D325))="Delhi"),"Delhi",PROPER(TRIM(Raw_Data!D325)))))</f>
        <v/>
      </c>
      <c r="E334" s="48">
        <f>Raw_Data!E325</f>
        <v/>
      </c>
      <c r="F334" s="48">
        <f>IF(TRIM(Raw_Data!F325&amp;"")="","Not Specified",Raw_Data!F325)</f>
        <v/>
      </c>
      <c r="G334" s="48">
        <f>Raw_Data!G325</f>
        <v/>
      </c>
      <c r="H334" s="48">
        <f>Raw_Data!H325</f>
        <v/>
      </c>
      <c r="I334" s="49">
        <f>IF(Raw_Data!I325="","",Raw_Data!I325)</f>
        <v/>
      </c>
      <c r="J334" s="49">
        <f>IF(Raw_Data!J325="","",Raw_Data!J325)</f>
        <v/>
      </c>
      <c r="K334" s="48">
        <f>IF(TRIM(Raw_Data!K325&amp;"")="","Not Specified",Raw_Data!K325)</f>
        <v/>
      </c>
      <c r="L334" s="56">
        <f>Raw_Data!L325</f>
        <v/>
      </c>
      <c r="M334" s="49">
        <f>IF(OR(I334="",J334=""),"",(I334+J334)/2)</f>
        <v/>
      </c>
      <c r="N334" s="49">
        <f>IF(OR(I334="",J334=""),"",J334-I334)</f>
        <v/>
      </c>
      <c r="O334" s="48">
        <f>TEXT(L334,"mmm-yyyy")</f>
        <v/>
      </c>
      <c r="P334" s="48">
        <f>_xlfn.IFS(ISNUMBER(SEARCH("data analy",B334)),"Data Analyst",ISNUMBER(SEARCH("business analy",B334)),"Business Analyst",OR(ISNUMBER(SEARCH("developer",B334)),ISNUMBER(SEARCH("software engineer",B334)),ISNUMBER(SEARCH("programmer",B334))),"Software Developer",ISNUMBER(SEARCH("business development",B334)),"Business Development",ISNUMBER(SEARCH("sales",B334)),"Sales Executive",ISNUMBER(SEARCH("marketing",B334)),"Marketing Executive",OR(ISNUMBER(SEARCH("hr ",B334)),ISNUMBER(SEARCH("recruit",B334)),ISNUMBER(SEARCH("human resource",B334))),"HR / Recruiter",OR(ISNUMBER(SEARCH("account",B334)),ISNUMBER(SEARCH("finance",B334)),ISNUMBER(SEARCH("tax",B334)),ISNUMBER(SEARCH("audit",B334))),"Accountant / Finance",OR(ISNUMBER(SEARCH("customer service",B334)),ISNUMBER(SEARCH("customer support",B334)),ISNUMBER(SEARCH("customer care",B334)),ISNUMBER(SEARCH("voice process",B334)),ISNUMBER(SEARCH("bpo",B334))),"Customer Support",ISNUMBER(SEARCH("engineer",B334)),"Engineer (Technical)",ISNUMBER(SEARCH("manager",B334)),"Manager",OR(ISNUMBER(SEARCH("teacher",B334)),ISNUMBER(SEARCH("trainer",B334)),ISNUMBER(SEARCH("faculty",B334))),"Teacher / Trainer",OR(ISNUMBER(SEARCH("doctor",B334)),ISNUMBER(SEARCH("nurse",B334)),ISNUMBER(SEARCH("medical",B334)),ISNUMBER(SEARCH("pharma",B334)),ISNUMBER(SEARCH("clinical",B334))),"Healthcare",TRUE,"Other")</f>
        <v/>
      </c>
      <c r="Q334" s="48">
        <f>IF(COUNTIFS($B$11:B334,B334,$C$11:C334,C334,$D$11:D334,D334,$L$11:L334,L334)&gt;1,"Duplicate","Unique")</f>
        <v/>
      </c>
    </row>
    <row r="335">
      <c r="A335" s="48">
        <f>Raw_Data!A326</f>
        <v/>
      </c>
      <c r="B335" s="48">
        <f>PROPER(TRIM(Raw_Data!B326))</f>
        <v/>
      </c>
      <c r="C335" s="48">
        <f>TRIM(Raw_Data!C326)</f>
        <v/>
      </c>
      <c r="D335" s="48">
        <f>IF(PROPER(TRIM(Raw_Data!D326))="Bangalore","Bengaluru",IF(PROPER(TRIM(Raw_Data!D326))="Gurgaon","Gurugram",IF(OR(PROPER(TRIM(Raw_Data!D326))="New Delhi",PROPER(TRIM(Raw_Data!D326))="Delhi"),"Delhi",PROPER(TRIM(Raw_Data!D326)))))</f>
        <v/>
      </c>
      <c r="E335" s="48">
        <f>Raw_Data!E326</f>
        <v/>
      </c>
      <c r="F335" s="48">
        <f>IF(TRIM(Raw_Data!F326&amp;"")="","Not Specified",Raw_Data!F326)</f>
        <v/>
      </c>
      <c r="G335" s="48">
        <f>Raw_Data!G326</f>
        <v/>
      </c>
      <c r="H335" s="48">
        <f>Raw_Data!H326</f>
        <v/>
      </c>
      <c r="I335" s="49">
        <f>IF(Raw_Data!I326="","",Raw_Data!I326)</f>
        <v/>
      </c>
      <c r="J335" s="49">
        <f>IF(Raw_Data!J326="","",Raw_Data!J326)</f>
        <v/>
      </c>
      <c r="K335" s="48">
        <f>IF(TRIM(Raw_Data!K326&amp;"")="","Not Specified",Raw_Data!K326)</f>
        <v/>
      </c>
      <c r="L335" s="56">
        <f>Raw_Data!L326</f>
        <v/>
      </c>
      <c r="M335" s="49">
        <f>IF(OR(I335="",J335=""),"",(I335+J335)/2)</f>
        <v/>
      </c>
      <c r="N335" s="49">
        <f>IF(OR(I335="",J335=""),"",J335-I335)</f>
        <v/>
      </c>
      <c r="O335" s="48">
        <f>TEXT(L335,"mmm-yyyy")</f>
        <v/>
      </c>
      <c r="P335" s="48">
        <f>_xlfn.IFS(ISNUMBER(SEARCH("data analy",B335)),"Data Analyst",ISNUMBER(SEARCH("business analy",B335)),"Business Analyst",OR(ISNUMBER(SEARCH("developer",B335)),ISNUMBER(SEARCH("software engineer",B335)),ISNUMBER(SEARCH("programmer",B335))),"Software Developer",ISNUMBER(SEARCH("business development",B335)),"Business Development",ISNUMBER(SEARCH("sales",B335)),"Sales Executive",ISNUMBER(SEARCH("marketing",B335)),"Marketing Executive",OR(ISNUMBER(SEARCH("hr ",B335)),ISNUMBER(SEARCH("recruit",B335)),ISNUMBER(SEARCH("human resource",B335))),"HR / Recruiter",OR(ISNUMBER(SEARCH("account",B335)),ISNUMBER(SEARCH("finance",B335)),ISNUMBER(SEARCH("tax",B335)),ISNUMBER(SEARCH("audit",B335))),"Accountant / Finance",OR(ISNUMBER(SEARCH("customer service",B335)),ISNUMBER(SEARCH("customer support",B335)),ISNUMBER(SEARCH("customer care",B335)),ISNUMBER(SEARCH("voice process",B335)),ISNUMBER(SEARCH("bpo",B335))),"Customer Support",ISNUMBER(SEARCH("engineer",B335)),"Engineer (Technical)",ISNUMBER(SEARCH("manager",B335)),"Manager",OR(ISNUMBER(SEARCH("teacher",B335)),ISNUMBER(SEARCH("trainer",B335)),ISNUMBER(SEARCH("faculty",B335))),"Teacher / Trainer",OR(ISNUMBER(SEARCH("doctor",B335)),ISNUMBER(SEARCH("nurse",B335)),ISNUMBER(SEARCH("medical",B335)),ISNUMBER(SEARCH("pharma",B335)),ISNUMBER(SEARCH("clinical",B335))),"Healthcare",TRUE,"Other")</f>
        <v/>
      </c>
      <c r="Q335" s="48">
        <f>IF(COUNTIFS($B$11:B335,B335,$C$11:C335,C335,$D$11:D335,D335,$L$11:L335,L335)&gt;1,"Duplicate","Unique")</f>
        <v/>
      </c>
    </row>
    <row r="336">
      <c r="A336" s="48">
        <f>Raw_Data!A327</f>
        <v/>
      </c>
      <c r="B336" s="48">
        <f>PROPER(TRIM(Raw_Data!B327))</f>
        <v/>
      </c>
      <c r="C336" s="48">
        <f>TRIM(Raw_Data!C327)</f>
        <v/>
      </c>
      <c r="D336" s="48">
        <f>IF(PROPER(TRIM(Raw_Data!D327))="Bangalore","Bengaluru",IF(PROPER(TRIM(Raw_Data!D327))="Gurgaon","Gurugram",IF(OR(PROPER(TRIM(Raw_Data!D327))="New Delhi",PROPER(TRIM(Raw_Data!D327))="Delhi"),"Delhi",PROPER(TRIM(Raw_Data!D327)))))</f>
        <v/>
      </c>
      <c r="E336" s="48">
        <f>Raw_Data!E327</f>
        <v/>
      </c>
      <c r="F336" s="48">
        <f>IF(TRIM(Raw_Data!F327&amp;"")="","Not Specified",Raw_Data!F327)</f>
        <v/>
      </c>
      <c r="G336" s="48">
        <f>Raw_Data!G327</f>
        <v/>
      </c>
      <c r="H336" s="48">
        <f>Raw_Data!H327</f>
        <v/>
      </c>
      <c r="I336" s="49">
        <f>IF(Raw_Data!I327="","",Raw_Data!I327)</f>
        <v/>
      </c>
      <c r="J336" s="49">
        <f>IF(Raw_Data!J327="","",Raw_Data!J327)</f>
        <v/>
      </c>
      <c r="K336" s="48">
        <f>IF(TRIM(Raw_Data!K327&amp;"")="","Not Specified",Raw_Data!K327)</f>
        <v/>
      </c>
      <c r="L336" s="56">
        <f>Raw_Data!L327</f>
        <v/>
      </c>
      <c r="M336" s="49">
        <f>IF(OR(I336="",J336=""),"",(I336+J336)/2)</f>
        <v/>
      </c>
      <c r="N336" s="49">
        <f>IF(OR(I336="",J336=""),"",J336-I336)</f>
        <v/>
      </c>
      <c r="O336" s="48">
        <f>TEXT(L336,"mmm-yyyy")</f>
        <v/>
      </c>
      <c r="P336" s="48">
        <f>_xlfn.IFS(ISNUMBER(SEARCH("data analy",B336)),"Data Analyst",ISNUMBER(SEARCH("business analy",B336)),"Business Analyst",OR(ISNUMBER(SEARCH("developer",B336)),ISNUMBER(SEARCH("software engineer",B336)),ISNUMBER(SEARCH("programmer",B336))),"Software Developer",ISNUMBER(SEARCH("business development",B336)),"Business Development",ISNUMBER(SEARCH("sales",B336)),"Sales Executive",ISNUMBER(SEARCH("marketing",B336)),"Marketing Executive",OR(ISNUMBER(SEARCH("hr ",B336)),ISNUMBER(SEARCH("recruit",B336)),ISNUMBER(SEARCH("human resource",B336))),"HR / Recruiter",OR(ISNUMBER(SEARCH("account",B336)),ISNUMBER(SEARCH("finance",B336)),ISNUMBER(SEARCH("tax",B336)),ISNUMBER(SEARCH("audit",B336))),"Accountant / Finance",OR(ISNUMBER(SEARCH("customer service",B336)),ISNUMBER(SEARCH("customer support",B336)),ISNUMBER(SEARCH("customer care",B336)),ISNUMBER(SEARCH("voice process",B336)),ISNUMBER(SEARCH("bpo",B336))),"Customer Support",ISNUMBER(SEARCH("engineer",B336)),"Engineer (Technical)",ISNUMBER(SEARCH("manager",B336)),"Manager",OR(ISNUMBER(SEARCH("teacher",B336)),ISNUMBER(SEARCH("trainer",B336)),ISNUMBER(SEARCH("faculty",B336))),"Teacher / Trainer",OR(ISNUMBER(SEARCH("doctor",B336)),ISNUMBER(SEARCH("nurse",B336)),ISNUMBER(SEARCH("medical",B336)),ISNUMBER(SEARCH("pharma",B336)),ISNUMBER(SEARCH("clinical",B336))),"Healthcare",TRUE,"Other")</f>
        <v/>
      </c>
      <c r="Q336" s="48">
        <f>IF(COUNTIFS($B$11:B336,B336,$C$11:C336,C336,$D$11:D336,D336,$L$11:L336,L336)&gt;1,"Duplicate","Unique")</f>
        <v/>
      </c>
    </row>
    <row r="337">
      <c r="A337" s="48">
        <f>Raw_Data!A328</f>
        <v/>
      </c>
      <c r="B337" s="48">
        <f>PROPER(TRIM(Raw_Data!B328))</f>
        <v/>
      </c>
      <c r="C337" s="48">
        <f>TRIM(Raw_Data!C328)</f>
        <v/>
      </c>
      <c r="D337" s="48">
        <f>IF(PROPER(TRIM(Raw_Data!D328))="Bangalore","Bengaluru",IF(PROPER(TRIM(Raw_Data!D328))="Gurgaon","Gurugram",IF(OR(PROPER(TRIM(Raw_Data!D328))="New Delhi",PROPER(TRIM(Raw_Data!D328))="Delhi"),"Delhi",PROPER(TRIM(Raw_Data!D328)))))</f>
        <v/>
      </c>
      <c r="E337" s="48">
        <f>Raw_Data!E328</f>
        <v/>
      </c>
      <c r="F337" s="48">
        <f>IF(TRIM(Raw_Data!F328&amp;"")="","Not Specified",Raw_Data!F328)</f>
        <v/>
      </c>
      <c r="G337" s="48">
        <f>Raw_Data!G328</f>
        <v/>
      </c>
      <c r="H337" s="48">
        <f>Raw_Data!H328</f>
        <v/>
      </c>
      <c r="I337" s="49">
        <f>IF(Raw_Data!I328="","",Raw_Data!I328)</f>
        <v/>
      </c>
      <c r="J337" s="49">
        <f>IF(Raw_Data!J328="","",Raw_Data!J328)</f>
        <v/>
      </c>
      <c r="K337" s="48">
        <f>IF(TRIM(Raw_Data!K328&amp;"")="","Not Specified",Raw_Data!K328)</f>
        <v/>
      </c>
      <c r="L337" s="56">
        <f>Raw_Data!L328</f>
        <v/>
      </c>
      <c r="M337" s="49">
        <f>IF(OR(I337="",J337=""),"",(I337+J337)/2)</f>
        <v/>
      </c>
      <c r="N337" s="49">
        <f>IF(OR(I337="",J337=""),"",J337-I337)</f>
        <v/>
      </c>
      <c r="O337" s="48">
        <f>TEXT(L337,"mmm-yyyy")</f>
        <v/>
      </c>
      <c r="P337" s="48">
        <f>_xlfn.IFS(ISNUMBER(SEARCH("data analy",B337)),"Data Analyst",ISNUMBER(SEARCH("business analy",B337)),"Business Analyst",OR(ISNUMBER(SEARCH("developer",B337)),ISNUMBER(SEARCH("software engineer",B337)),ISNUMBER(SEARCH("programmer",B337))),"Software Developer",ISNUMBER(SEARCH("business development",B337)),"Business Development",ISNUMBER(SEARCH("sales",B337)),"Sales Executive",ISNUMBER(SEARCH("marketing",B337)),"Marketing Executive",OR(ISNUMBER(SEARCH("hr ",B337)),ISNUMBER(SEARCH("recruit",B337)),ISNUMBER(SEARCH("human resource",B337))),"HR / Recruiter",OR(ISNUMBER(SEARCH("account",B337)),ISNUMBER(SEARCH("finance",B337)),ISNUMBER(SEARCH("tax",B337)),ISNUMBER(SEARCH("audit",B337))),"Accountant / Finance",OR(ISNUMBER(SEARCH("customer service",B337)),ISNUMBER(SEARCH("customer support",B337)),ISNUMBER(SEARCH("customer care",B337)),ISNUMBER(SEARCH("voice process",B337)),ISNUMBER(SEARCH("bpo",B337))),"Customer Support",ISNUMBER(SEARCH("engineer",B337)),"Engineer (Technical)",ISNUMBER(SEARCH("manager",B337)),"Manager",OR(ISNUMBER(SEARCH("teacher",B337)),ISNUMBER(SEARCH("trainer",B337)),ISNUMBER(SEARCH("faculty",B337))),"Teacher / Trainer",OR(ISNUMBER(SEARCH("doctor",B337)),ISNUMBER(SEARCH("nurse",B337)),ISNUMBER(SEARCH("medical",B337)),ISNUMBER(SEARCH("pharma",B337)),ISNUMBER(SEARCH("clinical",B337))),"Healthcare",TRUE,"Other")</f>
        <v/>
      </c>
      <c r="Q337" s="48">
        <f>IF(COUNTIFS($B$11:B337,B337,$C$11:C337,C337,$D$11:D337,D337,$L$11:L337,L337)&gt;1,"Duplicate","Unique")</f>
        <v/>
      </c>
    </row>
    <row r="338">
      <c r="A338" s="48">
        <f>Raw_Data!A329</f>
        <v/>
      </c>
      <c r="B338" s="48">
        <f>PROPER(TRIM(Raw_Data!B329))</f>
        <v/>
      </c>
      <c r="C338" s="48">
        <f>TRIM(Raw_Data!C329)</f>
        <v/>
      </c>
      <c r="D338" s="48">
        <f>IF(PROPER(TRIM(Raw_Data!D329))="Bangalore","Bengaluru",IF(PROPER(TRIM(Raw_Data!D329))="Gurgaon","Gurugram",IF(OR(PROPER(TRIM(Raw_Data!D329))="New Delhi",PROPER(TRIM(Raw_Data!D329))="Delhi"),"Delhi",PROPER(TRIM(Raw_Data!D329)))))</f>
        <v/>
      </c>
      <c r="E338" s="48">
        <f>Raw_Data!E329</f>
        <v/>
      </c>
      <c r="F338" s="48">
        <f>IF(TRIM(Raw_Data!F329&amp;"")="","Not Specified",Raw_Data!F329)</f>
        <v/>
      </c>
      <c r="G338" s="48">
        <f>Raw_Data!G329</f>
        <v/>
      </c>
      <c r="H338" s="48">
        <f>Raw_Data!H329</f>
        <v/>
      </c>
      <c r="I338" s="49">
        <f>IF(Raw_Data!I329="","",Raw_Data!I329)</f>
        <v/>
      </c>
      <c r="J338" s="49">
        <f>IF(Raw_Data!J329="","",Raw_Data!J329)</f>
        <v/>
      </c>
      <c r="K338" s="48">
        <f>IF(TRIM(Raw_Data!K329&amp;"")="","Not Specified",Raw_Data!K329)</f>
        <v/>
      </c>
      <c r="L338" s="56">
        <f>Raw_Data!L329</f>
        <v/>
      </c>
      <c r="M338" s="49">
        <f>IF(OR(I338="",J338=""),"",(I338+J338)/2)</f>
        <v/>
      </c>
      <c r="N338" s="49">
        <f>IF(OR(I338="",J338=""),"",J338-I338)</f>
        <v/>
      </c>
      <c r="O338" s="48">
        <f>TEXT(L338,"mmm-yyyy")</f>
        <v/>
      </c>
      <c r="P338" s="48">
        <f>_xlfn.IFS(ISNUMBER(SEARCH("data analy",B338)),"Data Analyst",ISNUMBER(SEARCH("business analy",B338)),"Business Analyst",OR(ISNUMBER(SEARCH("developer",B338)),ISNUMBER(SEARCH("software engineer",B338)),ISNUMBER(SEARCH("programmer",B338))),"Software Developer",ISNUMBER(SEARCH("business development",B338)),"Business Development",ISNUMBER(SEARCH("sales",B338)),"Sales Executive",ISNUMBER(SEARCH("marketing",B338)),"Marketing Executive",OR(ISNUMBER(SEARCH("hr ",B338)),ISNUMBER(SEARCH("recruit",B338)),ISNUMBER(SEARCH("human resource",B338))),"HR / Recruiter",OR(ISNUMBER(SEARCH("account",B338)),ISNUMBER(SEARCH("finance",B338)),ISNUMBER(SEARCH("tax",B338)),ISNUMBER(SEARCH("audit",B338))),"Accountant / Finance",OR(ISNUMBER(SEARCH("customer service",B338)),ISNUMBER(SEARCH("customer support",B338)),ISNUMBER(SEARCH("customer care",B338)),ISNUMBER(SEARCH("voice process",B338)),ISNUMBER(SEARCH("bpo",B338))),"Customer Support",ISNUMBER(SEARCH("engineer",B338)),"Engineer (Technical)",ISNUMBER(SEARCH("manager",B338)),"Manager",OR(ISNUMBER(SEARCH("teacher",B338)),ISNUMBER(SEARCH("trainer",B338)),ISNUMBER(SEARCH("faculty",B338))),"Teacher / Trainer",OR(ISNUMBER(SEARCH("doctor",B338)),ISNUMBER(SEARCH("nurse",B338)),ISNUMBER(SEARCH("medical",B338)),ISNUMBER(SEARCH("pharma",B338)),ISNUMBER(SEARCH("clinical",B338))),"Healthcare",TRUE,"Other")</f>
        <v/>
      </c>
      <c r="Q338" s="48">
        <f>IF(COUNTIFS($B$11:B338,B338,$C$11:C338,C338,$D$11:D338,D338,$L$11:L338,L338)&gt;1,"Duplicate","Unique")</f>
        <v/>
      </c>
    </row>
    <row r="339">
      <c r="A339" s="48">
        <f>Raw_Data!A330</f>
        <v/>
      </c>
      <c r="B339" s="48">
        <f>PROPER(TRIM(Raw_Data!B330))</f>
        <v/>
      </c>
      <c r="C339" s="48">
        <f>TRIM(Raw_Data!C330)</f>
        <v/>
      </c>
      <c r="D339" s="48">
        <f>IF(PROPER(TRIM(Raw_Data!D330))="Bangalore","Bengaluru",IF(PROPER(TRIM(Raw_Data!D330))="Gurgaon","Gurugram",IF(OR(PROPER(TRIM(Raw_Data!D330))="New Delhi",PROPER(TRIM(Raw_Data!D330))="Delhi"),"Delhi",PROPER(TRIM(Raw_Data!D330)))))</f>
        <v/>
      </c>
      <c r="E339" s="48">
        <f>Raw_Data!E330</f>
        <v/>
      </c>
      <c r="F339" s="48">
        <f>IF(TRIM(Raw_Data!F330&amp;"")="","Not Specified",Raw_Data!F330)</f>
        <v/>
      </c>
      <c r="G339" s="48">
        <f>Raw_Data!G330</f>
        <v/>
      </c>
      <c r="H339" s="48">
        <f>Raw_Data!H330</f>
        <v/>
      </c>
      <c r="I339" s="49">
        <f>IF(Raw_Data!I330="","",Raw_Data!I330)</f>
        <v/>
      </c>
      <c r="J339" s="49">
        <f>IF(Raw_Data!J330="","",Raw_Data!J330)</f>
        <v/>
      </c>
      <c r="K339" s="48">
        <f>IF(TRIM(Raw_Data!K330&amp;"")="","Not Specified",Raw_Data!K330)</f>
        <v/>
      </c>
      <c r="L339" s="56">
        <f>Raw_Data!L330</f>
        <v/>
      </c>
      <c r="M339" s="49">
        <f>IF(OR(I339="",J339=""),"",(I339+J339)/2)</f>
        <v/>
      </c>
      <c r="N339" s="49">
        <f>IF(OR(I339="",J339=""),"",J339-I339)</f>
        <v/>
      </c>
      <c r="O339" s="48">
        <f>TEXT(L339,"mmm-yyyy")</f>
        <v/>
      </c>
      <c r="P339" s="48">
        <f>_xlfn.IFS(ISNUMBER(SEARCH("data analy",B339)),"Data Analyst",ISNUMBER(SEARCH("business analy",B339)),"Business Analyst",OR(ISNUMBER(SEARCH("developer",B339)),ISNUMBER(SEARCH("software engineer",B339)),ISNUMBER(SEARCH("programmer",B339))),"Software Developer",ISNUMBER(SEARCH("business development",B339)),"Business Development",ISNUMBER(SEARCH("sales",B339)),"Sales Executive",ISNUMBER(SEARCH("marketing",B339)),"Marketing Executive",OR(ISNUMBER(SEARCH("hr ",B339)),ISNUMBER(SEARCH("recruit",B339)),ISNUMBER(SEARCH("human resource",B339))),"HR / Recruiter",OR(ISNUMBER(SEARCH("account",B339)),ISNUMBER(SEARCH("finance",B339)),ISNUMBER(SEARCH("tax",B339)),ISNUMBER(SEARCH("audit",B339))),"Accountant / Finance",OR(ISNUMBER(SEARCH("customer service",B339)),ISNUMBER(SEARCH("customer support",B339)),ISNUMBER(SEARCH("customer care",B339)),ISNUMBER(SEARCH("voice process",B339)),ISNUMBER(SEARCH("bpo",B339))),"Customer Support",ISNUMBER(SEARCH("engineer",B339)),"Engineer (Technical)",ISNUMBER(SEARCH("manager",B339)),"Manager",OR(ISNUMBER(SEARCH("teacher",B339)),ISNUMBER(SEARCH("trainer",B339)),ISNUMBER(SEARCH("faculty",B339))),"Teacher / Trainer",OR(ISNUMBER(SEARCH("doctor",B339)),ISNUMBER(SEARCH("nurse",B339)),ISNUMBER(SEARCH("medical",B339)),ISNUMBER(SEARCH("pharma",B339)),ISNUMBER(SEARCH("clinical",B339))),"Healthcare",TRUE,"Other")</f>
        <v/>
      </c>
      <c r="Q339" s="48">
        <f>IF(COUNTIFS($B$11:B339,B339,$C$11:C339,C339,$D$11:D339,D339,$L$11:L339,L339)&gt;1,"Duplicate","Unique")</f>
        <v/>
      </c>
    </row>
    <row r="340">
      <c r="A340" s="48">
        <f>Raw_Data!A331</f>
        <v/>
      </c>
      <c r="B340" s="48">
        <f>PROPER(TRIM(Raw_Data!B331))</f>
        <v/>
      </c>
      <c r="C340" s="48">
        <f>TRIM(Raw_Data!C331)</f>
        <v/>
      </c>
      <c r="D340" s="48">
        <f>IF(PROPER(TRIM(Raw_Data!D331))="Bangalore","Bengaluru",IF(PROPER(TRIM(Raw_Data!D331))="Gurgaon","Gurugram",IF(OR(PROPER(TRIM(Raw_Data!D331))="New Delhi",PROPER(TRIM(Raw_Data!D331))="Delhi"),"Delhi",PROPER(TRIM(Raw_Data!D331)))))</f>
        <v/>
      </c>
      <c r="E340" s="48">
        <f>Raw_Data!E331</f>
        <v/>
      </c>
      <c r="F340" s="48">
        <f>IF(TRIM(Raw_Data!F331&amp;"")="","Not Specified",Raw_Data!F331)</f>
        <v/>
      </c>
      <c r="G340" s="48">
        <f>Raw_Data!G331</f>
        <v/>
      </c>
      <c r="H340" s="48">
        <f>Raw_Data!H331</f>
        <v/>
      </c>
      <c r="I340" s="49">
        <f>IF(Raw_Data!I331="","",Raw_Data!I331)</f>
        <v/>
      </c>
      <c r="J340" s="49">
        <f>IF(Raw_Data!J331="","",Raw_Data!J331)</f>
        <v/>
      </c>
      <c r="K340" s="48">
        <f>IF(TRIM(Raw_Data!K331&amp;"")="","Not Specified",Raw_Data!K331)</f>
        <v/>
      </c>
      <c r="L340" s="56">
        <f>Raw_Data!L331</f>
        <v/>
      </c>
      <c r="M340" s="49">
        <f>IF(OR(I340="",J340=""),"",(I340+J340)/2)</f>
        <v/>
      </c>
      <c r="N340" s="49">
        <f>IF(OR(I340="",J340=""),"",J340-I340)</f>
        <v/>
      </c>
      <c r="O340" s="48">
        <f>TEXT(L340,"mmm-yyyy")</f>
        <v/>
      </c>
      <c r="P340" s="48">
        <f>_xlfn.IFS(ISNUMBER(SEARCH("data analy",B340)),"Data Analyst",ISNUMBER(SEARCH("business analy",B340)),"Business Analyst",OR(ISNUMBER(SEARCH("developer",B340)),ISNUMBER(SEARCH("software engineer",B340)),ISNUMBER(SEARCH("programmer",B340))),"Software Developer",ISNUMBER(SEARCH("business development",B340)),"Business Development",ISNUMBER(SEARCH("sales",B340)),"Sales Executive",ISNUMBER(SEARCH("marketing",B340)),"Marketing Executive",OR(ISNUMBER(SEARCH("hr ",B340)),ISNUMBER(SEARCH("recruit",B340)),ISNUMBER(SEARCH("human resource",B340))),"HR / Recruiter",OR(ISNUMBER(SEARCH("account",B340)),ISNUMBER(SEARCH("finance",B340)),ISNUMBER(SEARCH("tax",B340)),ISNUMBER(SEARCH("audit",B340))),"Accountant / Finance",OR(ISNUMBER(SEARCH("customer service",B340)),ISNUMBER(SEARCH("customer support",B340)),ISNUMBER(SEARCH("customer care",B340)),ISNUMBER(SEARCH("voice process",B340)),ISNUMBER(SEARCH("bpo",B340))),"Customer Support",ISNUMBER(SEARCH("engineer",B340)),"Engineer (Technical)",ISNUMBER(SEARCH("manager",B340)),"Manager",OR(ISNUMBER(SEARCH("teacher",B340)),ISNUMBER(SEARCH("trainer",B340)),ISNUMBER(SEARCH("faculty",B340))),"Teacher / Trainer",OR(ISNUMBER(SEARCH("doctor",B340)),ISNUMBER(SEARCH("nurse",B340)),ISNUMBER(SEARCH("medical",B340)),ISNUMBER(SEARCH("pharma",B340)),ISNUMBER(SEARCH("clinical",B340))),"Healthcare",TRUE,"Other")</f>
        <v/>
      </c>
      <c r="Q340" s="48">
        <f>IF(COUNTIFS($B$11:B340,B340,$C$11:C340,C340,$D$11:D340,D340,$L$11:L340,L340)&gt;1,"Duplicate","Unique")</f>
        <v/>
      </c>
    </row>
    <row r="341">
      <c r="A341" s="48">
        <f>Raw_Data!A332</f>
        <v/>
      </c>
      <c r="B341" s="48">
        <f>PROPER(TRIM(Raw_Data!B332))</f>
        <v/>
      </c>
      <c r="C341" s="48">
        <f>TRIM(Raw_Data!C332)</f>
        <v/>
      </c>
      <c r="D341" s="48">
        <f>IF(PROPER(TRIM(Raw_Data!D332))="Bangalore","Bengaluru",IF(PROPER(TRIM(Raw_Data!D332))="Gurgaon","Gurugram",IF(OR(PROPER(TRIM(Raw_Data!D332))="New Delhi",PROPER(TRIM(Raw_Data!D332))="Delhi"),"Delhi",PROPER(TRIM(Raw_Data!D332)))))</f>
        <v/>
      </c>
      <c r="E341" s="48">
        <f>Raw_Data!E332</f>
        <v/>
      </c>
      <c r="F341" s="48">
        <f>IF(TRIM(Raw_Data!F332&amp;"")="","Not Specified",Raw_Data!F332)</f>
        <v/>
      </c>
      <c r="G341" s="48">
        <f>Raw_Data!G332</f>
        <v/>
      </c>
      <c r="H341" s="48">
        <f>Raw_Data!H332</f>
        <v/>
      </c>
      <c r="I341" s="49">
        <f>IF(Raw_Data!I332="","",Raw_Data!I332)</f>
        <v/>
      </c>
      <c r="J341" s="49">
        <f>IF(Raw_Data!J332="","",Raw_Data!J332)</f>
        <v/>
      </c>
      <c r="K341" s="48">
        <f>IF(TRIM(Raw_Data!K332&amp;"")="","Not Specified",Raw_Data!K332)</f>
        <v/>
      </c>
      <c r="L341" s="56">
        <f>Raw_Data!L332</f>
        <v/>
      </c>
      <c r="M341" s="49">
        <f>IF(OR(I341="",J341=""),"",(I341+J341)/2)</f>
        <v/>
      </c>
      <c r="N341" s="49">
        <f>IF(OR(I341="",J341=""),"",J341-I341)</f>
        <v/>
      </c>
      <c r="O341" s="48">
        <f>TEXT(L341,"mmm-yyyy")</f>
        <v/>
      </c>
      <c r="P341" s="48">
        <f>_xlfn.IFS(ISNUMBER(SEARCH("data analy",B341)),"Data Analyst",ISNUMBER(SEARCH("business analy",B341)),"Business Analyst",OR(ISNUMBER(SEARCH("developer",B341)),ISNUMBER(SEARCH("software engineer",B341)),ISNUMBER(SEARCH("programmer",B341))),"Software Developer",ISNUMBER(SEARCH("business development",B341)),"Business Development",ISNUMBER(SEARCH("sales",B341)),"Sales Executive",ISNUMBER(SEARCH("marketing",B341)),"Marketing Executive",OR(ISNUMBER(SEARCH("hr ",B341)),ISNUMBER(SEARCH("recruit",B341)),ISNUMBER(SEARCH("human resource",B341))),"HR / Recruiter",OR(ISNUMBER(SEARCH("account",B341)),ISNUMBER(SEARCH("finance",B341)),ISNUMBER(SEARCH("tax",B341)),ISNUMBER(SEARCH("audit",B341))),"Accountant / Finance",OR(ISNUMBER(SEARCH("customer service",B341)),ISNUMBER(SEARCH("customer support",B341)),ISNUMBER(SEARCH("customer care",B341)),ISNUMBER(SEARCH("voice process",B341)),ISNUMBER(SEARCH("bpo",B341))),"Customer Support",ISNUMBER(SEARCH("engineer",B341)),"Engineer (Technical)",ISNUMBER(SEARCH("manager",B341)),"Manager",OR(ISNUMBER(SEARCH("teacher",B341)),ISNUMBER(SEARCH("trainer",B341)),ISNUMBER(SEARCH("faculty",B341))),"Teacher / Trainer",OR(ISNUMBER(SEARCH("doctor",B341)),ISNUMBER(SEARCH("nurse",B341)),ISNUMBER(SEARCH("medical",B341)),ISNUMBER(SEARCH("pharma",B341)),ISNUMBER(SEARCH("clinical",B341))),"Healthcare",TRUE,"Other")</f>
        <v/>
      </c>
      <c r="Q341" s="48">
        <f>IF(COUNTIFS($B$11:B341,B341,$C$11:C341,C341,$D$11:D341,D341,$L$11:L341,L341)&gt;1,"Duplicate","Unique")</f>
        <v/>
      </c>
    </row>
    <row r="342">
      <c r="A342" s="48">
        <f>Raw_Data!A333</f>
        <v/>
      </c>
      <c r="B342" s="48">
        <f>PROPER(TRIM(Raw_Data!B333))</f>
        <v/>
      </c>
      <c r="C342" s="48">
        <f>TRIM(Raw_Data!C333)</f>
        <v/>
      </c>
      <c r="D342" s="48">
        <f>IF(PROPER(TRIM(Raw_Data!D333))="Bangalore","Bengaluru",IF(PROPER(TRIM(Raw_Data!D333))="Gurgaon","Gurugram",IF(OR(PROPER(TRIM(Raw_Data!D333))="New Delhi",PROPER(TRIM(Raw_Data!D333))="Delhi"),"Delhi",PROPER(TRIM(Raw_Data!D333)))))</f>
        <v/>
      </c>
      <c r="E342" s="48">
        <f>Raw_Data!E333</f>
        <v/>
      </c>
      <c r="F342" s="48">
        <f>IF(TRIM(Raw_Data!F333&amp;"")="","Not Specified",Raw_Data!F333)</f>
        <v/>
      </c>
      <c r="G342" s="48">
        <f>Raw_Data!G333</f>
        <v/>
      </c>
      <c r="H342" s="48">
        <f>Raw_Data!H333</f>
        <v/>
      </c>
      <c r="I342" s="49">
        <f>IF(Raw_Data!I333="","",Raw_Data!I333)</f>
        <v/>
      </c>
      <c r="J342" s="49">
        <f>IF(Raw_Data!J333="","",Raw_Data!J333)</f>
        <v/>
      </c>
      <c r="K342" s="48">
        <f>IF(TRIM(Raw_Data!K333&amp;"")="","Not Specified",Raw_Data!K333)</f>
        <v/>
      </c>
      <c r="L342" s="56">
        <f>Raw_Data!L333</f>
        <v/>
      </c>
      <c r="M342" s="49">
        <f>IF(OR(I342="",J342=""),"",(I342+J342)/2)</f>
        <v/>
      </c>
      <c r="N342" s="49">
        <f>IF(OR(I342="",J342=""),"",J342-I342)</f>
        <v/>
      </c>
      <c r="O342" s="48">
        <f>TEXT(L342,"mmm-yyyy")</f>
        <v/>
      </c>
      <c r="P342" s="48">
        <f>_xlfn.IFS(ISNUMBER(SEARCH("data analy",B342)),"Data Analyst",ISNUMBER(SEARCH("business analy",B342)),"Business Analyst",OR(ISNUMBER(SEARCH("developer",B342)),ISNUMBER(SEARCH("software engineer",B342)),ISNUMBER(SEARCH("programmer",B342))),"Software Developer",ISNUMBER(SEARCH("business development",B342)),"Business Development",ISNUMBER(SEARCH("sales",B342)),"Sales Executive",ISNUMBER(SEARCH("marketing",B342)),"Marketing Executive",OR(ISNUMBER(SEARCH("hr ",B342)),ISNUMBER(SEARCH("recruit",B342)),ISNUMBER(SEARCH("human resource",B342))),"HR / Recruiter",OR(ISNUMBER(SEARCH("account",B342)),ISNUMBER(SEARCH("finance",B342)),ISNUMBER(SEARCH("tax",B342)),ISNUMBER(SEARCH("audit",B342))),"Accountant / Finance",OR(ISNUMBER(SEARCH("customer service",B342)),ISNUMBER(SEARCH("customer support",B342)),ISNUMBER(SEARCH("customer care",B342)),ISNUMBER(SEARCH("voice process",B342)),ISNUMBER(SEARCH("bpo",B342))),"Customer Support",ISNUMBER(SEARCH("engineer",B342)),"Engineer (Technical)",ISNUMBER(SEARCH("manager",B342)),"Manager",OR(ISNUMBER(SEARCH("teacher",B342)),ISNUMBER(SEARCH("trainer",B342)),ISNUMBER(SEARCH("faculty",B342))),"Teacher / Trainer",OR(ISNUMBER(SEARCH("doctor",B342)),ISNUMBER(SEARCH("nurse",B342)),ISNUMBER(SEARCH("medical",B342)),ISNUMBER(SEARCH("pharma",B342)),ISNUMBER(SEARCH("clinical",B342))),"Healthcare",TRUE,"Other")</f>
        <v/>
      </c>
      <c r="Q342" s="48">
        <f>IF(COUNTIFS($B$11:B342,B342,$C$11:C342,C342,$D$11:D342,D342,$L$11:L342,L342)&gt;1,"Duplicate","Unique")</f>
        <v/>
      </c>
    </row>
    <row r="343">
      <c r="A343" s="48">
        <f>Raw_Data!A334</f>
        <v/>
      </c>
      <c r="B343" s="48">
        <f>PROPER(TRIM(Raw_Data!B334))</f>
        <v/>
      </c>
      <c r="C343" s="48">
        <f>TRIM(Raw_Data!C334)</f>
        <v/>
      </c>
      <c r="D343" s="48">
        <f>IF(PROPER(TRIM(Raw_Data!D334))="Bangalore","Bengaluru",IF(PROPER(TRIM(Raw_Data!D334))="Gurgaon","Gurugram",IF(OR(PROPER(TRIM(Raw_Data!D334))="New Delhi",PROPER(TRIM(Raw_Data!D334))="Delhi"),"Delhi",PROPER(TRIM(Raw_Data!D334)))))</f>
        <v/>
      </c>
      <c r="E343" s="48">
        <f>Raw_Data!E334</f>
        <v/>
      </c>
      <c r="F343" s="48">
        <f>IF(TRIM(Raw_Data!F334&amp;"")="","Not Specified",Raw_Data!F334)</f>
        <v/>
      </c>
      <c r="G343" s="48">
        <f>Raw_Data!G334</f>
        <v/>
      </c>
      <c r="H343" s="48">
        <f>Raw_Data!H334</f>
        <v/>
      </c>
      <c r="I343" s="49">
        <f>IF(Raw_Data!I334="","",Raw_Data!I334)</f>
        <v/>
      </c>
      <c r="J343" s="49">
        <f>IF(Raw_Data!J334="","",Raw_Data!J334)</f>
        <v/>
      </c>
      <c r="K343" s="48">
        <f>IF(TRIM(Raw_Data!K334&amp;"")="","Not Specified",Raw_Data!K334)</f>
        <v/>
      </c>
      <c r="L343" s="56">
        <f>Raw_Data!L334</f>
        <v/>
      </c>
      <c r="M343" s="49">
        <f>IF(OR(I343="",J343=""),"",(I343+J343)/2)</f>
        <v/>
      </c>
      <c r="N343" s="49">
        <f>IF(OR(I343="",J343=""),"",J343-I343)</f>
        <v/>
      </c>
      <c r="O343" s="48">
        <f>TEXT(L343,"mmm-yyyy")</f>
        <v/>
      </c>
      <c r="P343" s="48">
        <f>_xlfn.IFS(ISNUMBER(SEARCH("data analy",B343)),"Data Analyst",ISNUMBER(SEARCH("business analy",B343)),"Business Analyst",OR(ISNUMBER(SEARCH("developer",B343)),ISNUMBER(SEARCH("software engineer",B343)),ISNUMBER(SEARCH("programmer",B343))),"Software Developer",ISNUMBER(SEARCH("business development",B343)),"Business Development",ISNUMBER(SEARCH("sales",B343)),"Sales Executive",ISNUMBER(SEARCH("marketing",B343)),"Marketing Executive",OR(ISNUMBER(SEARCH("hr ",B343)),ISNUMBER(SEARCH("recruit",B343)),ISNUMBER(SEARCH("human resource",B343))),"HR / Recruiter",OR(ISNUMBER(SEARCH("account",B343)),ISNUMBER(SEARCH("finance",B343)),ISNUMBER(SEARCH("tax",B343)),ISNUMBER(SEARCH("audit",B343))),"Accountant / Finance",OR(ISNUMBER(SEARCH("customer service",B343)),ISNUMBER(SEARCH("customer support",B343)),ISNUMBER(SEARCH("customer care",B343)),ISNUMBER(SEARCH("voice process",B343)),ISNUMBER(SEARCH("bpo",B343))),"Customer Support",ISNUMBER(SEARCH("engineer",B343)),"Engineer (Technical)",ISNUMBER(SEARCH("manager",B343)),"Manager",OR(ISNUMBER(SEARCH("teacher",B343)),ISNUMBER(SEARCH("trainer",B343)),ISNUMBER(SEARCH("faculty",B343))),"Teacher / Trainer",OR(ISNUMBER(SEARCH("doctor",B343)),ISNUMBER(SEARCH("nurse",B343)),ISNUMBER(SEARCH("medical",B343)),ISNUMBER(SEARCH("pharma",B343)),ISNUMBER(SEARCH("clinical",B343))),"Healthcare",TRUE,"Other")</f>
        <v/>
      </c>
      <c r="Q343" s="48">
        <f>IF(COUNTIFS($B$11:B343,B343,$C$11:C343,C343,$D$11:D343,D343,$L$11:L343,L343)&gt;1,"Duplicate","Unique")</f>
        <v/>
      </c>
    </row>
    <row r="344">
      <c r="A344" s="48">
        <f>Raw_Data!A335</f>
        <v/>
      </c>
      <c r="B344" s="48">
        <f>PROPER(TRIM(Raw_Data!B335))</f>
        <v/>
      </c>
      <c r="C344" s="48">
        <f>TRIM(Raw_Data!C335)</f>
        <v/>
      </c>
      <c r="D344" s="48">
        <f>IF(PROPER(TRIM(Raw_Data!D335))="Bangalore","Bengaluru",IF(PROPER(TRIM(Raw_Data!D335))="Gurgaon","Gurugram",IF(OR(PROPER(TRIM(Raw_Data!D335))="New Delhi",PROPER(TRIM(Raw_Data!D335))="Delhi"),"Delhi",PROPER(TRIM(Raw_Data!D335)))))</f>
        <v/>
      </c>
      <c r="E344" s="48">
        <f>Raw_Data!E335</f>
        <v/>
      </c>
      <c r="F344" s="48">
        <f>IF(TRIM(Raw_Data!F335&amp;"")="","Not Specified",Raw_Data!F335)</f>
        <v/>
      </c>
      <c r="G344" s="48">
        <f>Raw_Data!G335</f>
        <v/>
      </c>
      <c r="H344" s="48">
        <f>Raw_Data!H335</f>
        <v/>
      </c>
      <c r="I344" s="49">
        <f>IF(Raw_Data!I335="","",Raw_Data!I335)</f>
        <v/>
      </c>
      <c r="J344" s="49">
        <f>IF(Raw_Data!J335="","",Raw_Data!J335)</f>
        <v/>
      </c>
      <c r="K344" s="48">
        <f>IF(TRIM(Raw_Data!K335&amp;"")="","Not Specified",Raw_Data!K335)</f>
        <v/>
      </c>
      <c r="L344" s="56">
        <f>Raw_Data!L335</f>
        <v/>
      </c>
      <c r="M344" s="49">
        <f>IF(OR(I344="",J344=""),"",(I344+J344)/2)</f>
        <v/>
      </c>
      <c r="N344" s="49">
        <f>IF(OR(I344="",J344=""),"",J344-I344)</f>
        <v/>
      </c>
      <c r="O344" s="48">
        <f>TEXT(L344,"mmm-yyyy")</f>
        <v/>
      </c>
      <c r="P344" s="48">
        <f>_xlfn.IFS(ISNUMBER(SEARCH("data analy",B344)),"Data Analyst",ISNUMBER(SEARCH("business analy",B344)),"Business Analyst",OR(ISNUMBER(SEARCH("developer",B344)),ISNUMBER(SEARCH("software engineer",B344)),ISNUMBER(SEARCH("programmer",B344))),"Software Developer",ISNUMBER(SEARCH("business development",B344)),"Business Development",ISNUMBER(SEARCH("sales",B344)),"Sales Executive",ISNUMBER(SEARCH("marketing",B344)),"Marketing Executive",OR(ISNUMBER(SEARCH("hr ",B344)),ISNUMBER(SEARCH("recruit",B344)),ISNUMBER(SEARCH("human resource",B344))),"HR / Recruiter",OR(ISNUMBER(SEARCH("account",B344)),ISNUMBER(SEARCH("finance",B344)),ISNUMBER(SEARCH("tax",B344)),ISNUMBER(SEARCH("audit",B344))),"Accountant / Finance",OR(ISNUMBER(SEARCH("customer service",B344)),ISNUMBER(SEARCH("customer support",B344)),ISNUMBER(SEARCH("customer care",B344)),ISNUMBER(SEARCH("voice process",B344)),ISNUMBER(SEARCH("bpo",B344))),"Customer Support",ISNUMBER(SEARCH("engineer",B344)),"Engineer (Technical)",ISNUMBER(SEARCH("manager",B344)),"Manager",OR(ISNUMBER(SEARCH("teacher",B344)),ISNUMBER(SEARCH("trainer",B344)),ISNUMBER(SEARCH("faculty",B344))),"Teacher / Trainer",OR(ISNUMBER(SEARCH("doctor",B344)),ISNUMBER(SEARCH("nurse",B344)),ISNUMBER(SEARCH("medical",B344)),ISNUMBER(SEARCH("pharma",B344)),ISNUMBER(SEARCH("clinical",B344))),"Healthcare",TRUE,"Other")</f>
        <v/>
      </c>
      <c r="Q344" s="48">
        <f>IF(COUNTIFS($B$11:B344,B344,$C$11:C344,C344,$D$11:D344,D344,$L$11:L344,L344)&gt;1,"Duplicate","Unique")</f>
        <v/>
      </c>
    </row>
    <row r="345">
      <c r="A345" s="48">
        <f>Raw_Data!A336</f>
        <v/>
      </c>
      <c r="B345" s="48">
        <f>PROPER(TRIM(Raw_Data!B336))</f>
        <v/>
      </c>
      <c r="C345" s="48">
        <f>TRIM(Raw_Data!C336)</f>
        <v/>
      </c>
      <c r="D345" s="48">
        <f>IF(PROPER(TRIM(Raw_Data!D336))="Bangalore","Bengaluru",IF(PROPER(TRIM(Raw_Data!D336))="Gurgaon","Gurugram",IF(OR(PROPER(TRIM(Raw_Data!D336))="New Delhi",PROPER(TRIM(Raw_Data!D336))="Delhi"),"Delhi",PROPER(TRIM(Raw_Data!D336)))))</f>
        <v/>
      </c>
      <c r="E345" s="48">
        <f>Raw_Data!E336</f>
        <v/>
      </c>
      <c r="F345" s="48">
        <f>IF(TRIM(Raw_Data!F336&amp;"")="","Not Specified",Raw_Data!F336)</f>
        <v/>
      </c>
      <c r="G345" s="48">
        <f>Raw_Data!G336</f>
        <v/>
      </c>
      <c r="H345" s="48">
        <f>Raw_Data!H336</f>
        <v/>
      </c>
      <c r="I345" s="49">
        <f>IF(Raw_Data!I336="","",Raw_Data!I336)</f>
        <v/>
      </c>
      <c r="J345" s="49">
        <f>IF(Raw_Data!J336="","",Raw_Data!J336)</f>
        <v/>
      </c>
      <c r="K345" s="48">
        <f>IF(TRIM(Raw_Data!K336&amp;"")="","Not Specified",Raw_Data!K336)</f>
        <v/>
      </c>
      <c r="L345" s="56">
        <f>Raw_Data!L336</f>
        <v/>
      </c>
      <c r="M345" s="49">
        <f>IF(OR(I345="",J345=""),"",(I345+J345)/2)</f>
        <v/>
      </c>
      <c r="N345" s="49">
        <f>IF(OR(I345="",J345=""),"",J345-I345)</f>
        <v/>
      </c>
      <c r="O345" s="48">
        <f>TEXT(L345,"mmm-yyyy")</f>
        <v/>
      </c>
      <c r="P345" s="48">
        <f>_xlfn.IFS(ISNUMBER(SEARCH("data analy",B345)),"Data Analyst",ISNUMBER(SEARCH("business analy",B345)),"Business Analyst",OR(ISNUMBER(SEARCH("developer",B345)),ISNUMBER(SEARCH("software engineer",B345)),ISNUMBER(SEARCH("programmer",B345))),"Software Developer",ISNUMBER(SEARCH("business development",B345)),"Business Development",ISNUMBER(SEARCH("sales",B345)),"Sales Executive",ISNUMBER(SEARCH("marketing",B345)),"Marketing Executive",OR(ISNUMBER(SEARCH("hr ",B345)),ISNUMBER(SEARCH("recruit",B345)),ISNUMBER(SEARCH("human resource",B345))),"HR / Recruiter",OR(ISNUMBER(SEARCH("account",B345)),ISNUMBER(SEARCH("finance",B345)),ISNUMBER(SEARCH("tax",B345)),ISNUMBER(SEARCH("audit",B345))),"Accountant / Finance",OR(ISNUMBER(SEARCH("customer service",B345)),ISNUMBER(SEARCH("customer support",B345)),ISNUMBER(SEARCH("customer care",B345)),ISNUMBER(SEARCH("voice process",B345)),ISNUMBER(SEARCH("bpo",B345))),"Customer Support",ISNUMBER(SEARCH("engineer",B345)),"Engineer (Technical)",ISNUMBER(SEARCH("manager",B345)),"Manager",OR(ISNUMBER(SEARCH("teacher",B345)),ISNUMBER(SEARCH("trainer",B345)),ISNUMBER(SEARCH("faculty",B345))),"Teacher / Trainer",OR(ISNUMBER(SEARCH("doctor",B345)),ISNUMBER(SEARCH("nurse",B345)),ISNUMBER(SEARCH("medical",B345)),ISNUMBER(SEARCH("pharma",B345)),ISNUMBER(SEARCH("clinical",B345))),"Healthcare",TRUE,"Other")</f>
        <v/>
      </c>
      <c r="Q345" s="48">
        <f>IF(COUNTIFS($B$11:B345,B345,$C$11:C345,C345,$D$11:D345,D345,$L$11:L345,L345)&gt;1,"Duplicate","Unique")</f>
        <v/>
      </c>
    </row>
    <row r="346">
      <c r="A346" s="48">
        <f>Raw_Data!A337</f>
        <v/>
      </c>
      <c r="B346" s="48">
        <f>PROPER(TRIM(Raw_Data!B337))</f>
        <v/>
      </c>
      <c r="C346" s="48">
        <f>TRIM(Raw_Data!C337)</f>
        <v/>
      </c>
      <c r="D346" s="48">
        <f>IF(PROPER(TRIM(Raw_Data!D337))="Bangalore","Bengaluru",IF(PROPER(TRIM(Raw_Data!D337))="Gurgaon","Gurugram",IF(OR(PROPER(TRIM(Raw_Data!D337))="New Delhi",PROPER(TRIM(Raw_Data!D337))="Delhi"),"Delhi",PROPER(TRIM(Raw_Data!D337)))))</f>
        <v/>
      </c>
      <c r="E346" s="48">
        <f>Raw_Data!E337</f>
        <v/>
      </c>
      <c r="F346" s="48">
        <f>IF(TRIM(Raw_Data!F337&amp;"")="","Not Specified",Raw_Data!F337)</f>
        <v/>
      </c>
      <c r="G346" s="48">
        <f>Raw_Data!G337</f>
        <v/>
      </c>
      <c r="H346" s="48">
        <f>Raw_Data!H337</f>
        <v/>
      </c>
      <c r="I346" s="49">
        <f>IF(Raw_Data!I337="","",Raw_Data!I337)</f>
        <v/>
      </c>
      <c r="J346" s="49">
        <f>IF(Raw_Data!J337="","",Raw_Data!J337)</f>
        <v/>
      </c>
      <c r="K346" s="48">
        <f>IF(TRIM(Raw_Data!K337&amp;"")="","Not Specified",Raw_Data!K337)</f>
        <v/>
      </c>
      <c r="L346" s="56">
        <f>Raw_Data!L337</f>
        <v/>
      </c>
      <c r="M346" s="49">
        <f>IF(OR(I346="",J346=""),"",(I346+J346)/2)</f>
        <v/>
      </c>
      <c r="N346" s="49">
        <f>IF(OR(I346="",J346=""),"",J346-I346)</f>
        <v/>
      </c>
      <c r="O346" s="48">
        <f>TEXT(L346,"mmm-yyyy")</f>
        <v/>
      </c>
      <c r="P346" s="48">
        <f>_xlfn.IFS(ISNUMBER(SEARCH("data analy",B346)),"Data Analyst",ISNUMBER(SEARCH("business analy",B346)),"Business Analyst",OR(ISNUMBER(SEARCH("developer",B346)),ISNUMBER(SEARCH("software engineer",B346)),ISNUMBER(SEARCH("programmer",B346))),"Software Developer",ISNUMBER(SEARCH("business development",B346)),"Business Development",ISNUMBER(SEARCH("sales",B346)),"Sales Executive",ISNUMBER(SEARCH("marketing",B346)),"Marketing Executive",OR(ISNUMBER(SEARCH("hr ",B346)),ISNUMBER(SEARCH("recruit",B346)),ISNUMBER(SEARCH("human resource",B346))),"HR / Recruiter",OR(ISNUMBER(SEARCH("account",B346)),ISNUMBER(SEARCH("finance",B346)),ISNUMBER(SEARCH("tax",B346)),ISNUMBER(SEARCH("audit",B346))),"Accountant / Finance",OR(ISNUMBER(SEARCH("customer service",B346)),ISNUMBER(SEARCH("customer support",B346)),ISNUMBER(SEARCH("customer care",B346)),ISNUMBER(SEARCH("voice process",B346)),ISNUMBER(SEARCH("bpo",B346))),"Customer Support",ISNUMBER(SEARCH("engineer",B346)),"Engineer (Technical)",ISNUMBER(SEARCH("manager",B346)),"Manager",OR(ISNUMBER(SEARCH("teacher",B346)),ISNUMBER(SEARCH("trainer",B346)),ISNUMBER(SEARCH("faculty",B346))),"Teacher / Trainer",OR(ISNUMBER(SEARCH("doctor",B346)),ISNUMBER(SEARCH("nurse",B346)),ISNUMBER(SEARCH("medical",B346)),ISNUMBER(SEARCH("pharma",B346)),ISNUMBER(SEARCH("clinical",B346))),"Healthcare",TRUE,"Other")</f>
        <v/>
      </c>
      <c r="Q346" s="48">
        <f>IF(COUNTIFS($B$11:B346,B346,$C$11:C346,C346,$D$11:D346,D346,$L$11:L346,L346)&gt;1,"Duplicate","Unique")</f>
        <v/>
      </c>
    </row>
    <row r="347">
      <c r="A347" s="48">
        <f>Raw_Data!A338</f>
        <v/>
      </c>
      <c r="B347" s="48">
        <f>PROPER(TRIM(Raw_Data!B338))</f>
        <v/>
      </c>
      <c r="C347" s="48">
        <f>TRIM(Raw_Data!C338)</f>
        <v/>
      </c>
      <c r="D347" s="48">
        <f>IF(PROPER(TRIM(Raw_Data!D338))="Bangalore","Bengaluru",IF(PROPER(TRIM(Raw_Data!D338))="Gurgaon","Gurugram",IF(OR(PROPER(TRIM(Raw_Data!D338))="New Delhi",PROPER(TRIM(Raw_Data!D338))="Delhi"),"Delhi",PROPER(TRIM(Raw_Data!D338)))))</f>
        <v/>
      </c>
      <c r="E347" s="48">
        <f>Raw_Data!E338</f>
        <v/>
      </c>
      <c r="F347" s="48">
        <f>IF(TRIM(Raw_Data!F338&amp;"")="","Not Specified",Raw_Data!F338)</f>
        <v/>
      </c>
      <c r="G347" s="48">
        <f>Raw_Data!G338</f>
        <v/>
      </c>
      <c r="H347" s="48">
        <f>Raw_Data!H338</f>
        <v/>
      </c>
      <c r="I347" s="49">
        <f>IF(Raw_Data!I338="","",Raw_Data!I338)</f>
        <v/>
      </c>
      <c r="J347" s="49">
        <f>IF(Raw_Data!J338="","",Raw_Data!J338)</f>
        <v/>
      </c>
      <c r="K347" s="48">
        <f>IF(TRIM(Raw_Data!K338&amp;"")="","Not Specified",Raw_Data!K338)</f>
        <v/>
      </c>
      <c r="L347" s="56">
        <f>Raw_Data!L338</f>
        <v/>
      </c>
      <c r="M347" s="49">
        <f>IF(OR(I347="",J347=""),"",(I347+J347)/2)</f>
        <v/>
      </c>
      <c r="N347" s="49">
        <f>IF(OR(I347="",J347=""),"",J347-I347)</f>
        <v/>
      </c>
      <c r="O347" s="48">
        <f>TEXT(L347,"mmm-yyyy")</f>
        <v/>
      </c>
      <c r="P347" s="48">
        <f>_xlfn.IFS(ISNUMBER(SEARCH("data analy",B347)),"Data Analyst",ISNUMBER(SEARCH("business analy",B347)),"Business Analyst",OR(ISNUMBER(SEARCH("developer",B347)),ISNUMBER(SEARCH("software engineer",B347)),ISNUMBER(SEARCH("programmer",B347))),"Software Developer",ISNUMBER(SEARCH("business development",B347)),"Business Development",ISNUMBER(SEARCH("sales",B347)),"Sales Executive",ISNUMBER(SEARCH("marketing",B347)),"Marketing Executive",OR(ISNUMBER(SEARCH("hr ",B347)),ISNUMBER(SEARCH("recruit",B347)),ISNUMBER(SEARCH("human resource",B347))),"HR / Recruiter",OR(ISNUMBER(SEARCH("account",B347)),ISNUMBER(SEARCH("finance",B347)),ISNUMBER(SEARCH("tax",B347)),ISNUMBER(SEARCH("audit",B347))),"Accountant / Finance",OR(ISNUMBER(SEARCH("customer service",B347)),ISNUMBER(SEARCH("customer support",B347)),ISNUMBER(SEARCH("customer care",B347)),ISNUMBER(SEARCH("voice process",B347)),ISNUMBER(SEARCH("bpo",B347))),"Customer Support",ISNUMBER(SEARCH("engineer",B347)),"Engineer (Technical)",ISNUMBER(SEARCH("manager",B347)),"Manager",OR(ISNUMBER(SEARCH("teacher",B347)),ISNUMBER(SEARCH("trainer",B347)),ISNUMBER(SEARCH("faculty",B347))),"Teacher / Trainer",OR(ISNUMBER(SEARCH("doctor",B347)),ISNUMBER(SEARCH("nurse",B347)),ISNUMBER(SEARCH("medical",B347)),ISNUMBER(SEARCH("pharma",B347)),ISNUMBER(SEARCH("clinical",B347))),"Healthcare",TRUE,"Other")</f>
        <v/>
      </c>
      <c r="Q347" s="48">
        <f>IF(COUNTIFS($B$11:B347,B347,$C$11:C347,C347,$D$11:D347,D347,$L$11:L347,L347)&gt;1,"Duplicate","Unique")</f>
        <v/>
      </c>
    </row>
    <row r="348">
      <c r="A348" s="48">
        <f>Raw_Data!A339</f>
        <v/>
      </c>
      <c r="B348" s="48">
        <f>PROPER(TRIM(Raw_Data!B339))</f>
        <v/>
      </c>
      <c r="C348" s="48">
        <f>TRIM(Raw_Data!C339)</f>
        <v/>
      </c>
      <c r="D348" s="48">
        <f>IF(PROPER(TRIM(Raw_Data!D339))="Bangalore","Bengaluru",IF(PROPER(TRIM(Raw_Data!D339))="Gurgaon","Gurugram",IF(OR(PROPER(TRIM(Raw_Data!D339))="New Delhi",PROPER(TRIM(Raw_Data!D339))="Delhi"),"Delhi",PROPER(TRIM(Raw_Data!D339)))))</f>
        <v/>
      </c>
      <c r="E348" s="48">
        <f>Raw_Data!E339</f>
        <v/>
      </c>
      <c r="F348" s="48">
        <f>IF(TRIM(Raw_Data!F339&amp;"")="","Not Specified",Raw_Data!F339)</f>
        <v/>
      </c>
      <c r="G348" s="48">
        <f>Raw_Data!G339</f>
        <v/>
      </c>
      <c r="H348" s="48">
        <f>Raw_Data!H339</f>
        <v/>
      </c>
      <c r="I348" s="49">
        <f>IF(Raw_Data!I339="","",Raw_Data!I339)</f>
        <v/>
      </c>
      <c r="J348" s="49">
        <f>IF(Raw_Data!J339="","",Raw_Data!J339)</f>
        <v/>
      </c>
      <c r="K348" s="48">
        <f>IF(TRIM(Raw_Data!K339&amp;"")="","Not Specified",Raw_Data!K339)</f>
        <v/>
      </c>
      <c r="L348" s="56">
        <f>Raw_Data!L339</f>
        <v/>
      </c>
      <c r="M348" s="49">
        <f>IF(OR(I348="",J348=""),"",(I348+J348)/2)</f>
        <v/>
      </c>
      <c r="N348" s="49">
        <f>IF(OR(I348="",J348=""),"",J348-I348)</f>
        <v/>
      </c>
      <c r="O348" s="48">
        <f>TEXT(L348,"mmm-yyyy")</f>
        <v/>
      </c>
      <c r="P348" s="48">
        <f>_xlfn.IFS(ISNUMBER(SEARCH("data analy",B348)),"Data Analyst",ISNUMBER(SEARCH("business analy",B348)),"Business Analyst",OR(ISNUMBER(SEARCH("developer",B348)),ISNUMBER(SEARCH("software engineer",B348)),ISNUMBER(SEARCH("programmer",B348))),"Software Developer",ISNUMBER(SEARCH("business development",B348)),"Business Development",ISNUMBER(SEARCH("sales",B348)),"Sales Executive",ISNUMBER(SEARCH("marketing",B348)),"Marketing Executive",OR(ISNUMBER(SEARCH("hr ",B348)),ISNUMBER(SEARCH("recruit",B348)),ISNUMBER(SEARCH("human resource",B348))),"HR / Recruiter",OR(ISNUMBER(SEARCH("account",B348)),ISNUMBER(SEARCH("finance",B348)),ISNUMBER(SEARCH("tax",B348)),ISNUMBER(SEARCH("audit",B348))),"Accountant / Finance",OR(ISNUMBER(SEARCH("customer service",B348)),ISNUMBER(SEARCH("customer support",B348)),ISNUMBER(SEARCH("customer care",B348)),ISNUMBER(SEARCH("voice process",B348)),ISNUMBER(SEARCH("bpo",B348))),"Customer Support",ISNUMBER(SEARCH("engineer",B348)),"Engineer (Technical)",ISNUMBER(SEARCH("manager",B348)),"Manager",OR(ISNUMBER(SEARCH("teacher",B348)),ISNUMBER(SEARCH("trainer",B348)),ISNUMBER(SEARCH("faculty",B348))),"Teacher / Trainer",OR(ISNUMBER(SEARCH("doctor",B348)),ISNUMBER(SEARCH("nurse",B348)),ISNUMBER(SEARCH("medical",B348)),ISNUMBER(SEARCH("pharma",B348)),ISNUMBER(SEARCH("clinical",B348))),"Healthcare",TRUE,"Other")</f>
        <v/>
      </c>
      <c r="Q348" s="48">
        <f>IF(COUNTIFS($B$11:B348,B348,$C$11:C348,C348,$D$11:D348,D348,$L$11:L348,L348)&gt;1,"Duplicate","Unique")</f>
        <v/>
      </c>
    </row>
    <row r="349">
      <c r="A349" s="48">
        <f>Raw_Data!A340</f>
        <v/>
      </c>
      <c r="B349" s="48">
        <f>PROPER(TRIM(Raw_Data!B340))</f>
        <v/>
      </c>
      <c r="C349" s="48">
        <f>TRIM(Raw_Data!C340)</f>
        <v/>
      </c>
      <c r="D349" s="48">
        <f>IF(PROPER(TRIM(Raw_Data!D340))="Bangalore","Bengaluru",IF(PROPER(TRIM(Raw_Data!D340))="Gurgaon","Gurugram",IF(OR(PROPER(TRIM(Raw_Data!D340))="New Delhi",PROPER(TRIM(Raw_Data!D340))="Delhi"),"Delhi",PROPER(TRIM(Raw_Data!D340)))))</f>
        <v/>
      </c>
      <c r="E349" s="48">
        <f>Raw_Data!E340</f>
        <v/>
      </c>
      <c r="F349" s="48">
        <f>IF(TRIM(Raw_Data!F340&amp;"")="","Not Specified",Raw_Data!F340)</f>
        <v/>
      </c>
      <c r="G349" s="48">
        <f>Raw_Data!G340</f>
        <v/>
      </c>
      <c r="H349" s="48">
        <f>Raw_Data!H340</f>
        <v/>
      </c>
      <c r="I349" s="49">
        <f>IF(Raw_Data!I340="","",Raw_Data!I340)</f>
        <v/>
      </c>
      <c r="J349" s="49">
        <f>IF(Raw_Data!J340="","",Raw_Data!J340)</f>
        <v/>
      </c>
      <c r="K349" s="48">
        <f>IF(TRIM(Raw_Data!K340&amp;"")="","Not Specified",Raw_Data!K340)</f>
        <v/>
      </c>
      <c r="L349" s="56">
        <f>Raw_Data!L340</f>
        <v/>
      </c>
      <c r="M349" s="49">
        <f>IF(OR(I349="",J349=""),"",(I349+J349)/2)</f>
        <v/>
      </c>
      <c r="N349" s="49">
        <f>IF(OR(I349="",J349=""),"",J349-I349)</f>
        <v/>
      </c>
      <c r="O349" s="48">
        <f>TEXT(L349,"mmm-yyyy")</f>
        <v/>
      </c>
      <c r="P349" s="48">
        <f>_xlfn.IFS(ISNUMBER(SEARCH("data analy",B349)),"Data Analyst",ISNUMBER(SEARCH("business analy",B349)),"Business Analyst",OR(ISNUMBER(SEARCH("developer",B349)),ISNUMBER(SEARCH("software engineer",B349)),ISNUMBER(SEARCH("programmer",B349))),"Software Developer",ISNUMBER(SEARCH("business development",B349)),"Business Development",ISNUMBER(SEARCH("sales",B349)),"Sales Executive",ISNUMBER(SEARCH("marketing",B349)),"Marketing Executive",OR(ISNUMBER(SEARCH("hr ",B349)),ISNUMBER(SEARCH("recruit",B349)),ISNUMBER(SEARCH("human resource",B349))),"HR / Recruiter",OR(ISNUMBER(SEARCH("account",B349)),ISNUMBER(SEARCH("finance",B349)),ISNUMBER(SEARCH("tax",B349)),ISNUMBER(SEARCH("audit",B349))),"Accountant / Finance",OR(ISNUMBER(SEARCH("customer service",B349)),ISNUMBER(SEARCH("customer support",B349)),ISNUMBER(SEARCH("customer care",B349)),ISNUMBER(SEARCH("voice process",B349)),ISNUMBER(SEARCH("bpo",B349))),"Customer Support",ISNUMBER(SEARCH("engineer",B349)),"Engineer (Technical)",ISNUMBER(SEARCH("manager",B349)),"Manager",OR(ISNUMBER(SEARCH("teacher",B349)),ISNUMBER(SEARCH("trainer",B349)),ISNUMBER(SEARCH("faculty",B349))),"Teacher / Trainer",OR(ISNUMBER(SEARCH("doctor",B349)),ISNUMBER(SEARCH("nurse",B349)),ISNUMBER(SEARCH("medical",B349)),ISNUMBER(SEARCH("pharma",B349)),ISNUMBER(SEARCH("clinical",B349))),"Healthcare",TRUE,"Other")</f>
        <v/>
      </c>
      <c r="Q349" s="48">
        <f>IF(COUNTIFS($B$11:B349,B349,$C$11:C349,C349,$D$11:D349,D349,$L$11:L349,L349)&gt;1,"Duplicate","Unique")</f>
        <v/>
      </c>
    </row>
    <row r="350">
      <c r="A350" s="48">
        <f>Raw_Data!A341</f>
        <v/>
      </c>
      <c r="B350" s="48">
        <f>PROPER(TRIM(Raw_Data!B341))</f>
        <v/>
      </c>
      <c r="C350" s="48">
        <f>TRIM(Raw_Data!C341)</f>
        <v/>
      </c>
      <c r="D350" s="48">
        <f>IF(PROPER(TRIM(Raw_Data!D341))="Bangalore","Bengaluru",IF(PROPER(TRIM(Raw_Data!D341))="Gurgaon","Gurugram",IF(OR(PROPER(TRIM(Raw_Data!D341))="New Delhi",PROPER(TRIM(Raw_Data!D341))="Delhi"),"Delhi",PROPER(TRIM(Raw_Data!D341)))))</f>
        <v/>
      </c>
      <c r="E350" s="48">
        <f>Raw_Data!E341</f>
        <v/>
      </c>
      <c r="F350" s="48">
        <f>IF(TRIM(Raw_Data!F341&amp;"")="","Not Specified",Raw_Data!F341)</f>
        <v/>
      </c>
      <c r="G350" s="48">
        <f>Raw_Data!G341</f>
        <v/>
      </c>
      <c r="H350" s="48">
        <f>Raw_Data!H341</f>
        <v/>
      </c>
      <c r="I350" s="49">
        <f>IF(Raw_Data!I341="","",Raw_Data!I341)</f>
        <v/>
      </c>
      <c r="J350" s="49">
        <f>IF(Raw_Data!J341="","",Raw_Data!J341)</f>
        <v/>
      </c>
      <c r="K350" s="48">
        <f>IF(TRIM(Raw_Data!K341&amp;"")="","Not Specified",Raw_Data!K341)</f>
        <v/>
      </c>
      <c r="L350" s="56">
        <f>Raw_Data!L341</f>
        <v/>
      </c>
      <c r="M350" s="49">
        <f>IF(OR(I350="",J350=""),"",(I350+J350)/2)</f>
        <v/>
      </c>
      <c r="N350" s="49">
        <f>IF(OR(I350="",J350=""),"",J350-I350)</f>
        <v/>
      </c>
      <c r="O350" s="48">
        <f>TEXT(L350,"mmm-yyyy")</f>
        <v/>
      </c>
      <c r="P350" s="48">
        <f>_xlfn.IFS(ISNUMBER(SEARCH("data analy",B350)),"Data Analyst",ISNUMBER(SEARCH("business analy",B350)),"Business Analyst",OR(ISNUMBER(SEARCH("developer",B350)),ISNUMBER(SEARCH("software engineer",B350)),ISNUMBER(SEARCH("programmer",B350))),"Software Developer",ISNUMBER(SEARCH("business development",B350)),"Business Development",ISNUMBER(SEARCH("sales",B350)),"Sales Executive",ISNUMBER(SEARCH("marketing",B350)),"Marketing Executive",OR(ISNUMBER(SEARCH("hr ",B350)),ISNUMBER(SEARCH("recruit",B350)),ISNUMBER(SEARCH("human resource",B350))),"HR / Recruiter",OR(ISNUMBER(SEARCH("account",B350)),ISNUMBER(SEARCH("finance",B350)),ISNUMBER(SEARCH("tax",B350)),ISNUMBER(SEARCH("audit",B350))),"Accountant / Finance",OR(ISNUMBER(SEARCH("customer service",B350)),ISNUMBER(SEARCH("customer support",B350)),ISNUMBER(SEARCH("customer care",B350)),ISNUMBER(SEARCH("voice process",B350)),ISNUMBER(SEARCH("bpo",B350))),"Customer Support",ISNUMBER(SEARCH("engineer",B350)),"Engineer (Technical)",ISNUMBER(SEARCH("manager",B350)),"Manager",OR(ISNUMBER(SEARCH("teacher",B350)),ISNUMBER(SEARCH("trainer",B350)),ISNUMBER(SEARCH("faculty",B350))),"Teacher / Trainer",OR(ISNUMBER(SEARCH("doctor",B350)),ISNUMBER(SEARCH("nurse",B350)),ISNUMBER(SEARCH("medical",B350)),ISNUMBER(SEARCH("pharma",B350)),ISNUMBER(SEARCH("clinical",B350))),"Healthcare",TRUE,"Other")</f>
        <v/>
      </c>
      <c r="Q350" s="48">
        <f>IF(COUNTIFS($B$11:B350,B350,$C$11:C350,C350,$D$11:D350,D350,$L$11:L350,L350)&gt;1,"Duplicate","Unique")</f>
        <v/>
      </c>
    </row>
    <row r="351">
      <c r="A351" s="48">
        <f>Raw_Data!A342</f>
        <v/>
      </c>
      <c r="B351" s="48">
        <f>PROPER(TRIM(Raw_Data!B342))</f>
        <v/>
      </c>
      <c r="C351" s="48">
        <f>TRIM(Raw_Data!C342)</f>
        <v/>
      </c>
      <c r="D351" s="48">
        <f>IF(PROPER(TRIM(Raw_Data!D342))="Bangalore","Bengaluru",IF(PROPER(TRIM(Raw_Data!D342))="Gurgaon","Gurugram",IF(OR(PROPER(TRIM(Raw_Data!D342))="New Delhi",PROPER(TRIM(Raw_Data!D342))="Delhi"),"Delhi",PROPER(TRIM(Raw_Data!D342)))))</f>
        <v/>
      </c>
      <c r="E351" s="48">
        <f>Raw_Data!E342</f>
        <v/>
      </c>
      <c r="F351" s="48">
        <f>IF(TRIM(Raw_Data!F342&amp;"")="","Not Specified",Raw_Data!F342)</f>
        <v/>
      </c>
      <c r="G351" s="48">
        <f>Raw_Data!G342</f>
        <v/>
      </c>
      <c r="H351" s="48">
        <f>Raw_Data!H342</f>
        <v/>
      </c>
      <c r="I351" s="49">
        <f>IF(Raw_Data!I342="","",Raw_Data!I342)</f>
        <v/>
      </c>
      <c r="J351" s="49">
        <f>IF(Raw_Data!J342="","",Raw_Data!J342)</f>
        <v/>
      </c>
      <c r="K351" s="48">
        <f>IF(TRIM(Raw_Data!K342&amp;"")="","Not Specified",Raw_Data!K342)</f>
        <v/>
      </c>
      <c r="L351" s="56">
        <f>Raw_Data!L342</f>
        <v/>
      </c>
      <c r="M351" s="49">
        <f>IF(OR(I351="",J351=""),"",(I351+J351)/2)</f>
        <v/>
      </c>
      <c r="N351" s="49">
        <f>IF(OR(I351="",J351=""),"",J351-I351)</f>
        <v/>
      </c>
      <c r="O351" s="48">
        <f>TEXT(L351,"mmm-yyyy")</f>
        <v/>
      </c>
      <c r="P351" s="48">
        <f>_xlfn.IFS(ISNUMBER(SEARCH("data analy",B351)),"Data Analyst",ISNUMBER(SEARCH("business analy",B351)),"Business Analyst",OR(ISNUMBER(SEARCH("developer",B351)),ISNUMBER(SEARCH("software engineer",B351)),ISNUMBER(SEARCH("programmer",B351))),"Software Developer",ISNUMBER(SEARCH("business development",B351)),"Business Development",ISNUMBER(SEARCH("sales",B351)),"Sales Executive",ISNUMBER(SEARCH("marketing",B351)),"Marketing Executive",OR(ISNUMBER(SEARCH("hr ",B351)),ISNUMBER(SEARCH("recruit",B351)),ISNUMBER(SEARCH("human resource",B351))),"HR / Recruiter",OR(ISNUMBER(SEARCH("account",B351)),ISNUMBER(SEARCH("finance",B351)),ISNUMBER(SEARCH("tax",B351)),ISNUMBER(SEARCH("audit",B351))),"Accountant / Finance",OR(ISNUMBER(SEARCH("customer service",B351)),ISNUMBER(SEARCH("customer support",B351)),ISNUMBER(SEARCH("customer care",B351)),ISNUMBER(SEARCH("voice process",B351)),ISNUMBER(SEARCH("bpo",B351))),"Customer Support",ISNUMBER(SEARCH("engineer",B351)),"Engineer (Technical)",ISNUMBER(SEARCH("manager",B351)),"Manager",OR(ISNUMBER(SEARCH("teacher",B351)),ISNUMBER(SEARCH("trainer",B351)),ISNUMBER(SEARCH("faculty",B351))),"Teacher / Trainer",OR(ISNUMBER(SEARCH("doctor",B351)),ISNUMBER(SEARCH("nurse",B351)),ISNUMBER(SEARCH("medical",B351)),ISNUMBER(SEARCH("pharma",B351)),ISNUMBER(SEARCH("clinical",B351))),"Healthcare",TRUE,"Other")</f>
        <v/>
      </c>
      <c r="Q351" s="48">
        <f>IF(COUNTIFS($B$11:B351,B351,$C$11:C351,C351,$D$11:D351,D351,$L$11:L351,L351)&gt;1,"Duplicate","Unique")</f>
        <v/>
      </c>
    </row>
    <row r="352">
      <c r="A352" s="48">
        <f>Raw_Data!A343</f>
        <v/>
      </c>
      <c r="B352" s="48">
        <f>PROPER(TRIM(Raw_Data!B343))</f>
        <v/>
      </c>
      <c r="C352" s="48">
        <f>TRIM(Raw_Data!C343)</f>
        <v/>
      </c>
      <c r="D352" s="48">
        <f>IF(PROPER(TRIM(Raw_Data!D343))="Bangalore","Bengaluru",IF(PROPER(TRIM(Raw_Data!D343))="Gurgaon","Gurugram",IF(OR(PROPER(TRIM(Raw_Data!D343))="New Delhi",PROPER(TRIM(Raw_Data!D343))="Delhi"),"Delhi",PROPER(TRIM(Raw_Data!D343)))))</f>
        <v/>
      </c>
      <c r="E352" s="48">
        <f>Raw_Data!E343</f>
        <v/>
      </c>
      <c r="F352" s="48">
        <f>IF(TRIM(Raw_Data!F343&amp;"")="","Not Specified",Raw_Data!F343)</f>
        <v/>
      </c>
      <c r="G352" s="48">
        <f>Raw_Data!G343</f>
        <v/>
      </c>
      <c r="H352" s="48">
        <f>Raw_Data!H343</f>
        <v/>
      </c>
      <c r="I352" s="49">
        <f>IF(Raw_Data!I343="","",Raw_Data!I343)</f>
        <v/>
      </c>
      <c r="J352" s="49">
        <f>IF(Raw_Data!J343="","",Raw_Data!J343)</f>
        <v/>
      </c>
      <c r="K352" s="48">
        <f>IF(TRIM(Raw_Data!K343&amp;"")="","Not Specified",Raw_Data!K343)</f>
        <v/>
      </c>
      <c r="L352" s="56">
        <f>Raw_Data!L343</f>
        <v/>
      </c>
      <c r="M352" s="49">
        <f>IF(OR(I352="",J352=""),"",(I352+J352)/2)</f>
        <v/>
      </c>
      <c r="N352" s="49">
        <f>IF(OR(I352="",J352=""),"",J352-I352)</f>
        <v/>
      </c>
      <c r="O352" s="48">
        <f>TEXT(L352,"mmm-yyyy")</f>
        <v/>
      </c>
      <c r="P352" s="48">
        <f>_xlfn.IFS(ISNUMBER(SEARCH("data analy",B352)),"Data Analyst",ISNUMBER(SEARCH("business analy",B352)),"Business Analyst",OR(ISNUMBER(SEARCH("developer",B352)),ISNUMBER(SEARCH("software engineer",B352)),ISNUMBER(SEARCH("programmer",B352))),"Software Developer",ISNUMBER(SEARCH("business development",B352)),"Business Development",ISNUMBER(SEARCH("sales",B352)),"Sales Executive",ISNUMBER(SEARCH("marketing",B352)),"Marketing Executive",OR(ISNUMBER(SEARCH("hr ",B352)),ISNUMBER(SEARCH("recruit",B352)),ISNUMBER(SEARCH("human resource",B352))),"HR / Recruiter",OR(ISNUMBER(SEARCH("account",B352)),ISNUMBER(SEARCH("finance",B352)),ISNUMBER(SEARCH("tax",B352)),ISNUMBER(SEARCH("audit",B352))),"Accountant / Finance",OR(ISNUMBER(SEARCH("customer service",B352)),ISNUMBER(SEARCH("customer support",B352)),ISNUMBER(SEARCH("customer care",B352)),ISNUMBER(SEARCH("voice process",B352)),ISNUMBER(SEARCH("bpo",B352))),"Customer Support",ISNUMBER(SEARCH("engineer",B352)),"Engineer (Technical)",ISNUMBER(SEARCH("manager",B352)),"Manager",OR(ISNUMBER(SEARCH("teacher",B352)),ISNUMBER(SEARCH("trainer",B352)),ISNUMBER(SEARCH("faculty",B352))),"Teacher / Trainer",OR(ISNUMBER(SEARCH("doctor",B352)),ISNUMBER(SEARCH("nurse",B352)),ISNUMBER(SEARCH("medical",B352)),ISNUMBER(SEARCH("pharma",B352)),ISNUMBER(SEARCH("clinical",B352))),"Healthcare",TRUE,"Other")</f>
        <v/>
      </c>
      <c r="Q352" s="48">
        <f>IF(COUNTIFS($B$11:B352,B352,$C$11:C352,C352,$D$11:D352,D352,$L$11:L352,L352)&gt;1,"Duplicate","Unique")</f>
        <v/>
      </c>
    </row>
    <row r="353">
      <c r="A353" s="48">
        <f>Raw_Data!A344</f>
        <v/>
      </c>
      <c r="B353" s="48">
        <f>PROPER(TRIM(Raw_Data!B344))</f>
        <v/>
      </c>
      <c r="C353" s="48">
        <f>TRIM(Raw_Data!C344)</f>
        <v/>
      </c>
      <c r="D353" s="48">
        <f>IF(PROPER(TRIM(Raw_Data!D344))="Bangalore","Bengaluru",IF(PROPER(TRIM(Raw_Data!D344))="Gurgaon","Gurugram",IF(OR(PROPER(TRIM(Raw_Data!D344))="New Delhi",PROPER(TRIM(Raw_Data!D344))="Delhi"),"Delhi",PROPER(TRIM(Raw_Data!D344)))))</f>
        <v/>
      </c>
      <c r="E353" s="48">
        <f>Raw_Data!E344</f>
        <v/>
      </c>
      <c r="F353" s="48">
        <f>IF(TRIM(Raw_Data!F344&amp;"")="","Not Specified",Raw_Data!F344)</f>
        <v/>
      </c>
      <c r="G353" s="48">
        <f>Raw_Data!G344</f>
        <v/>
      </c>
      <c r="H353" s="48">
        <f>Raw_Data!H344</f>
        <v/>
      </c>
      <c r="I353" s="49">
        <f>IF(Raw_Data!I344="","",Raw_Data!I344)</f>
        <v/>
      </c>
      <c r="J353" s="49">
        <f>IF(Raw_Data!J344="","",Raw_Data!J344)</f>
        <v/>
      </c>
      <c r="K353" s="48">
        <f>IF(TRIM(Raw_Data!K344&amp;"")="","Not Specified",Raw_Data!K344)</f>
        <v/>
      </c>
      <c r="L353" s="56">
        <f>Raw_Data!L344</f>
        <v/>
      </c>
      <c r="M353" s="49">
        <f>IF(OR(I353="",J353=""),"",(I353+J353)/2)</f>
        <v/>
      </c>
      <c r="N353" s="49">
        <f>IF(OR(I353="",J353=""),"",J353-I353)</f>
        <v/>
      </c>
      <c r="O353" s="48">
        <f>TEXT(L353,"mmm-yyyy")</f>
        <v/>
      </c>
      <c r="P353" s="48">
        <f>_xlfn.IFS(ISNUMBER(SEARCH("data analy",B353)),"Data Analyst",ISNUMBER(SEARCH("business analy",B353)),"Business Analyst",OR(ISNUMBER(SEARCH("developer",B353)),ISNUMBER(SEARCH("software engineer",B353)),ISNUMBER(SEARCH("programmer",B353))),"Software Developer",ISNUMBER(SEARCH("business development",B353)),"Business Development",ISNUMBER(SEARCH("sales",B353)),"Sales Executive",ISNUMBER(SEARCH("marketing",B353)),"Marketing Executive",OR(ISNUMBER(SEARCH("hr ",B353)),ISNUMBER(SEARCH("recruit",B353)),ISNUMBER(SEARCH("human resource",B353))),"HR / Recruiter",OR(ISNUMBER(SEARCH("account",B353)),ISNUMBER(SEARCH("finance",B353)),ISNUMBER(SEARCH("tax",B353)),ISNUMBER(SEARCH("audit",B353))),"Accountant / Finance",OR(ISNUMBER(SEARCH("customer service",B353)),ISNUMBER(SEARCH("customer support",B353)),ISNUMBER(SEARCH("customer care",B353)),ISNUMBER(SEARCH("voice process",B353)),ISNUMBER(SEARCH("bpo",B353))),"Customer Support",ISNUMBER(SEARCH("engineer",B353)),"Engineer (Technical)",ISNUMBER(SEARCH("manager",B353)),"Manager",OR(ISNUMBER(SEARCH("teacher",B353)),ISNUMBER(SEARCH("trainer",B353)),ISNUMBER(SEARCH("faculty",B353))),"Teacher / Trainer",OR(ISNUMBER(SEARCH("doctor",B353)),ISNUMBER(SEARCH("nurse",B353)),ISNUMBER(SEARCH("medical",B353)),ISNUMBER(SEARCH("pharma",B353)),ISNUMBER(SEARCH("clinical",B353))),"Healthcare",TRUE,"Other")</f>
        <v/>
      </c>
      <c r="Q353" s="48">
        <f>IF(COUNTIFS($B$11:B353,B353,$C$11:C353,C353,$D$11:D353,D353,$L$11:L353,L353)&gt;1,"Duplicate","Unique")</f>
        <v/>
      </c>
    </row>
    <row r="354">
      <c r="A354" s="48">
        <f>Raw_Data!A345</f>
        <v/>
      </c>
      <c r="B354" s="48">
        <f>PROPER(TRIM(Raw_Data!B345))</f>
        <v/>
      </c>
      <c r="C354" s="48">
        <f>TRIM(Raw_Data!C345)</f>
        <v/>
      </c>
      <c r="D354" s="48">
        <f>IF(PROPER(TRIM(Raw_Data!D345))="Bangalore","Bengaluru",IF(PROPER(TRIM(Raw_Data!D345))="Gurgaon","Gurugram",IF(OR(PROPER(TRIM(Raw_Data!D345))="New Delhi",PROPER(TRIM(Raw_Data!D345))="Delhi"),"Delhi",PROPER(TRIM(Raw_Data!D345)))))</f>
        <v/>
      </c>
      <c r="E354" s="48">
        <f>Raw_Data!E345</f>
        <v/>
      </c>
      <c r="F354" s="48">
        <f>IF(TRIM(Raw_Data!F345&amp;"")="","Not Specified",Raw_Data!F345)</f>
        <v/>
      </c>
      <c r="G354" s="48">
        <f>Raw_Data!G345</f>
        <v/>
      </c>
      <c r="H354" s="48">
        <f>Raw_Data!H345</f>
        <v/>
      </c>
      <c r="I354" s="49">
        <f>IF(Raw_Data!I345="","",Raw_Data!I345)</f>
        <v/>
      </c>
      <c r="J354" s="49">
        <f>IF(Raw_Data!J345="","",Raw_Data!J345)</f>
        <v/>
      </c>
      <c r="K354" s="48">
        <f>IF(TRIM(Raw_Data!K345&amp;"")="","Not Specified",Raw_Data!K345)</f>
        <v/>
      </c>
      <c r="L354" s="56">
        <f>Raw_Data!L345</f>
        <v/>
      </c>
      <c r="M354" s="49">
        <f>IF(OR(I354="",J354=""),"",(I354+J354)/2)</f>
        <v/>
      </c>
      <c r="N354" s="49">
        <f>IF(OR(I354="",J354=""),"",J354-I354)</f>
        <v/>
      </c>
      <c r="O354" s="48">
        <f>TEXT(L354,"mmm-yyyy")</f>
        <v/>
      </c>
      <c r="P354" s="48">
        <f>_xlfn.IFS(ISNUMBER(SEARCH("data analy",B354)),"Data Analyst",ISNUMBER(SEARCH("business analy",B354)),"Business Analyst",OR(ISNUMBER(SEARCH("developer",B354)),ISNUMBER(SEARCH("software engineer",B354)),ISNUMBER(SEARCH("programmer",B354))),"Software Developer",ISNUMBER(SEARCH("business development",B354)),"Business Development",ISNUMBER(SEARCH("sales",B354)),"Sales Executive",ISNUMBER(SEARCH("marketing",B354)),"Marketing Executive",OR(ISNUMBER(SEARCH("hr ",B354)),ISNUMBER(SEARCH("recruit",B354)),ISNUMBER(SEARCH("human resource",B354))),"HR / Recruiter",OR(ISNUMBER(SEARCH("account",B354)),ISNUMBER(SEARCH("finance",B354)),ISNUMBER(SEARCH("tax",B354)),ISNUMBER(SEARCH("audit",B354))),"Accountant / Finance",OR(ISNUMBER(SEARCH("customer service",B354)),ISNUMBER(SEARCH("customer support",B354)),ISNUMBER(SEARCH("customer care",B354)),ISNUMBER(SEARCH("voice process",B354)),ISNUMBER(SEARCH("bpo",B354))),"Customer Support",ISNUMBER(SEARCH("engineer",B354)),"Engineer (Technical)",ISNUMBER(SEARCH("manager",B354)),"Manager",OR(ISNUMBER(SEARCH("teacher",B354)),ISNUMBER(SEARCH("trainer",B354)),ISNUMBER(SEARCH("faculty",B354))),"Teacher / Trainer",OR(ISNUMBER(SEARCH("doctor",B354)),ISNUMBER(SEARCH("nurse",B354)),ISNUMBER(SEARCH("medical",B354)),ISNUMBER(SEARCH("pharma",B354)),ISNUMBER(SEARCH("clinical",B354))),"Healthcare",TRUE,"Other")</f>
        <v/>
      </c>
      <c r="Q354" s="48">
        <f>IF(COUNTIFS($B$11:B354,B354,$C$11:C354,C354,$D$11:D354,D354,$L$11:L354,L354)&gt;1,"Duplicate","Unique")</f>
        <v/>
      </c>
    </row>
    <row r="355">
      <c r="A355" s="48">
        <f>Raw_Data!A346</f>
        <v/>
      </c>
      <c r="B355" s="48">
        <f>PROPER(TRIM(Raw_Data!B346))</f>
        <v/>
      </c>
      <c r="C355" s="48">
        <f>TRIM(Raw_Data!C346)</f>
        <v/>
      </c>
      <c r="D355" s="48">
        <f>IF(PROPER(TRIM(Raw_Data!D346))="Bangalore","Bengaluru",IF(PROPER(TRIM(Raw_Data!D346))="Gurgaon","Gurugram",IF(OR(PROPER(TRIM(Raw_Data!D346))="New Delhi",PROPER(TRIM(Raw_Data!D346))="Delhi"),"Delhi",PROPER(TRIM(Raw_Data!D346)))))</f>
        <v/>
      </c>
      <c r="E355" s="48">
        <f>Raw_Data!E346</f>
        <v/>
      </c>
      <c r="F355" s="48">
        <f>IF(TRIM(Raw_Data!F346&amp;"")="","Not Specified",Raw_Data!F346)</f>
        <v/>
      </c>
      <c r="G355" s="48">
        <f>Raw_Data!G346</f>
        <v/>
      </c>
      <c r="H355" s="48">
        <f>Raw_Data!H346</f>
        <v/>
      </c>
      <c r="I355" s="49">
        <f>IF(Raw_Data!I346="","",Raw_Data!I346)</f>
        <v/>
      </c>
      <c r="J355" s="49">
        <f>IF(Raw_Data!J346="","",Raw_Data!J346)</f>
        <v/>
      </c>
      <c r="K355" s="48">
        <f>IF(TRIM(Raw_Data!K346&amp;"")="","Not Specified",Raw_Data!K346)</f>
        <v/>
      </c>
      <c r="L355" s="56">
        <f>Raw_Data!L346</f>
        <v/>
      </c>
      <c r="M355" s="49">
        <f>IF(OR(I355="",J355=""),"",(I355+J355)/2)</f>
        <v/>
      </c>
      <c r="N355" s="49">
        <f>IF(OR(I355="",J355=""),"",J355-I355)</f>
        <v/>
      </c>
      <c r="O355" s="48">
        <f>TEXT(L355,"mmm-yyyy")</f>
        <v/>
      </c>
      <c r="P355" s="48">
        <f>_xlfn.IFS(ISNUMBER(SEARCH("data analy",B355)),"Data Analyst",ISNUMBER(SEARCH("business analy",B355)),"Business Analyst",OR(ISNUMBER(SEARCH("developer",B355)),ISNUMBER(SEARCH("software engineer",B355)),ISNUMBER(SEARCH("programmer",B355))),"Software Developer",ISNUMBER(SEARCH("business development",B355)),"Business Development",ISNUMBER(SEARCH("sales",B355)),"Sales Executive",ISNUMBER(SEARCH("marketing",B355)),"Marketing Executive",OR(ISNUMBER(SEARCH("hr ",B355)),ISNUMBER(SEARCH("recruit",B355)),ISNUMBER(SEARCH("human resource",B355))),"HR / Recruiter",OR(ISNUMBER(SEARCH("account",B355)),ISNUMBER(SEARCH("finance",B355)),ISNUMBER(SEARCH("tax",B355)),ISNUMBER(SEARCH("audit",B355))),"Accountant / Finance",OR(ISNUMBER(SEARCH("customer service",B355)),ISNUMBER(SEARCH("customer support",B355)),ISNUMBER(SEARCH("customer care",B355)),ISNUMBER(SEARCH("voice process",B355)),ISNUMBER(SEARCH("bpo",B355))),"Customer Support",ISNUMBER(SEARCH("engineer",B355)),"Engineer (Technical)",ISNUMBER(SEARCH("manager",B355)),"Manager",OR(ISNUMBER(SEARCH("teacher",B355)),ISNUMBER(SEARCH("trainer",B355)),ISNUMBER(SEARCH("faculty",B355))),"Teacher / Trainer",OR(ISNUMBER(SEARCH("doctor",B355)),ISNUMBER(SEARCH("nurse",B355)),ISNUMBER(SEARCH("medical",B355)),ISNUMBER(SEARCH("pharma",B355)),ISNUMBER(SEARCH("clinical",B355))),"Healthcare",TRUE,"Other")</f>
        <v/>
      </c>
      <c r="Q355" s="48">
        <f>IF(COUNTIFS($B$11:B355,B355,$C$11:C355,C355,$D$11:D355,D355,$L$11:L355,L355)&gt;1,"Duplicate","Unique")</f>
        <v/>
      </c>
    </row>
    <row r="356">
      <c r="A356" s="48">
        <f>Raw_Data!A347</f>
        <v/>
      </c>
      <c r="B356" s="48">
        <f>PROPER(TRIM(Raw_Data!B347))</f>
        <v/>
      </c>
      <c r="C356" s="48">
        <f>TRIM(Raw_Data!C347)</f>
        <v/>
      </c>
      <c r="D356" s="48">
        <f>IF(PROPER(TRIM(Raw_Data!D347))="Bangalore","Bengaluru",IF(PROPER(TRIM(Raw_Data!D347))="Gurgaon","Gurugram",IF(OR(PROPER(TRIM(Raw_Data!D347))="New Delhi",PROPER(TRIM(Raw_Data!D347))="Delhi"),"Delhi",PROPER(TRIM(Raw_Data!D347)))))</f>
        <v/>
      </c>
      <c r="E356" s="48">
        <f>Raw_Data!E347</f>
        <v/>
      </c>
      <c r="F356" s="48">
        <f>IF(TRIM(Raw_Data!F347&amp;"")="","Not Specified",Raw_Data!F347)</f>
        <v/>
      </c>
      <c r="G356" s="48">
        <f>Raw_Data!G347</f>
        <v/>
      </c>
      <c r="H356" s="48">
        <f>Raw_Data!H347</f>
        <v/>
      </c>
      <c r="I356" s="49">
        <f>IF(Raw_Data!I347="","",Raw_Data!I347)</f>
        <v/>
      </c>
      <c r="J356" s="49">
        <f>IF(Raw_Data!J347="","",Raw_Data!J347)</f>
        <v/>
      </c>
      <c r="K356" s="48">
        <f>IF(TRIM(Raw_Data!K347&amp;"")="","Not Specified",Raw_Data!K347)</f>
        <v/>
      </c>
      <c r="L356" s="56">
        <f>Raw_Data!L347</f>
        <v/>
      </c>
      <c r="M356" s="49">
        <f>IF(OR(I356="",J356=""),"",(I356+J356)/2)</f>
        <v/>
      </c>
      <c r="N356" s="49">
        <f>IF(OR(I356="",J356=""),"",J356-I356)</f>
        <v/>
      </c>
      <c r="O356" s="48">
        <f>TEXT(L356,"mmm-yyyy")</f>
        <v/>
      </c>
      <c r="P356" s="48">
        <f>_xlfn.IFS(ISNUMBER(SEARCH("data analy",B356)),"Data Analyst",ISNUMBER(SEARCH("business analy",B356)),"Business Analyst",OR(ISNUMBER(SEARCH("developer",B356)),ISNUMBER(SEARCH("software engineer",B356)),ISNUMBER(SEARCH("programmer",B356))),"Software Developer",ISNUMBER(SEARCH("business development",B356)),"Business Development",ISNUMBER(SEARCH("sales",B356)),"Sales Executive",ISNUMBER(SEARCH("marketing",B356)),"Marketing Executive",OR(ISNUMBER(SEARCH("hr ",B356)),ISNUMBER(SEARCH("recruit",B356)),ISNUMBER(SEARCH("human resource",B356))),"HR / Recruiter",OR(ISNUMBER(SEARCH("account",B356)),ISNUMBER(SEARCH("finance",B356)),ISNUMBER(SEARCH("tax",B356)),ISNUMBER(SEARCH("audit",B356))),"Accountant / Finance",OR(ISNUMBER(SEARCH("customer service",B356)),ISNUMBER(SEARCH("customer support",B356)),ISNUMBER(SEARCH("customer care",B356)),ISNUMBER(SEARCH("voice process",B356)),ISNUMBER(SEARCH("bpo",B356))),"Customer Support",ISNUMBER(SEARCH("engineer",B356)),"Engineer (Technical)",ISNUMBER(SEARCH("manager",B356)),"Manager",OR(ISNUMBER(SEARCH("teacher",B356)),ISNUMBER(SEARCH("trainer",B356)),ISNUMBER(SEARCH("faculty",B356))),"Teacher / Trainer",OR(ISNUMBER(SEARCH("doctor",B356)),ISNUMBER(SEARCH("nurse",B356)),ISNUMBER(SEARCH("medical",B356)),ISNUMBER(SEARCH("pharma",B356)),ISNUMBER(SEARCH("clinical",B356))),"Healthcare",TRUE,"Other")</f>
        <v/>
      </c>
      <c r="Q356" s="48">
        <f>IF(COUNTIFS($B$11:B356,B356,$C$11:C356,C356,$D$11:D356,D356,$L$11:L356,L356)&gt;1,"Duplicate","Unique")</f>
        <v/>
      </c>
    </row>
    <row r="357">
      <c r="A357" s="48">
        <f>Raw_Data!A348</f>
        <v/>
      </c>
      <c r="B357" s="48">
        <f>PROPER(TRIM(Raw_Data!B348))</f>
        <v/>
      </c>
      <c r="C357" s="48">
        <f>TRIM(Raw_Data!C348)</f>
        <v/>
      </c>
      <c r="D357" s="48">
        <f>IF(PROPER(TRIM(Raw_Data!D348))="Bangalore","Bengaluru",IF(PROPER(TRIM(Raw_Data!D348))="Gurgaon","Gurugram",IF(OR(PROPER(TRIM(Raw_Data!D348))="New Delhi",PROPER(TRIM(Raw_Data!D348))="Delhi"),"Delhi",PROPER(TRIM(Raw_Data!D348)))))</f>
        <v/>
      </c>
      <c r="E357" s="48">
        <f>Raw_Data!E348</f>
        <v/>
      </c>
      <c r="F357" s="48">
        <f>IF(TRIM(Raw_Data!F348&amp;"")="","Not Specified",Raw_Data!F348)</f>
        <v/>
      </c>
      <c r="G357" s="48">
        <f>Raw_Data!G348</f>
        <v/>
      </c>
      <c r="H357" s="48">
        <f>Raw_Data!H348</f>
        <v/>
      </c>
      <c r="I357" s="49">
        <f>IF(Raw_Data!I348="","",Raw_Data!I348)</f>
        <v/>
      </c>
      <c r="J357" s="49">
        <f>IF(Raw_Data!J348="","",Raw_Data!J348)</f>
        <v/>
      </c>
      <c r="K357" s="48">
        <f>IF(TRIM(Raw_Data!K348&amp;"")="","Not Specified",Raw_Data!K348)</f>
        <v/>
      </c>
      <c r="L357" s="56">
        <f>Raw_Data!L348</f>
        <v/>
      </c>
      <c r="M357" s="49">
        <f>IF(OR(I357="",J357=""),"",(I357+J357)/2)</f>
        <v/>
      </c>
      <c r="N357" s="49">
        <f>IF(OR(I357="",J357=""),"",J357-I357)</f>
        <v/>
      </c>
      <c r="O357" s="48">
        <f>TEXT(L357,"mmm-yyyy")</f>
        <v/>
      </c>
      <c r="P357" s="48">
        <f>_xlfn.IFS(ISNUMBER(SEARCH("data analy",B357)),"Data Analyst",ISNUMBER(SEARCH("business analy",B357)),"Business Analyst",OR(ISNUMBER(SEARCH("developer",B357)),ISNUMBER(SEARCH("software engineer",B357)),ISNUMBER(SEARCH("programmer",B357))),"Software Developer",ISNUMBER(SEARCH("business development",B357)),"Business Development",ISNUMBER(SEARCH("sales",B357)),"Sales Executive",ISNUMBER(SEARCH("marketing",B357)),"Marketing Executive",OR(ISNUMBER(SEARCH("hr ",B357)),ISNUMBER(SEARCH("recruit",B357)),ISNUMBER(SEARCH("human resource",B357))),"HR / Recruiter",OR(ISNUMBER(SEARCH("account",B357)),ISNUMBER(SEARCH("finance",B357)),ISNUMBER(SEARCH("tax",B357)),ISNUMBER(SEARCH("audit",B357))),"Accountant / Finance",OR(ISNUMBER(SEARCH("customer service",B357)),ISNUMBER(SEARCH("customer support",B357)),ISNUMBER(SEARCH("customer care",B357)),ISNUMBER(SEARCH("voice process",B357)),ISNUMBER(SEARCH("bpo",B357))),"Customer Support",ISNUMBER(SEARCH("engineer",B357)),"Engineer (Technical)",ISNUMBER(SEARCH("manager",B357)),"Manager",OR(ISNUMBER(SEARCH("teacher",B357)),ISNUMBER(SEARCH("trainer",B357)),ISNUMBER(SEARCH("faculty",B357))),"Teacher / Trainer",OR(ISNUMBER(SEARCH("doctor",B357)),ISNUMBER(SEARCH("nurse",B357)),ISNUMBER(SEARCH("medical",B357)),ISNUMBER(SEARCH("pharma",B357)),ISNUMBER(SEARCH("clinical",B357))),"Healthcare",TRUE,"Other")</f>
        <v/>
      </c>
      <c r="Q357" s="48">
        <f>IF(COUNTIFS($B$11:B357,B357,$C$11:C357,C357,$D$11:D357,D357,$L$11:L357,L357)&gt;1,"Duplicate","Unique")</f>
        <v/>
      </c>
    </row>
    <row r="358">
      <c r="A358" s="48">
        <f>Raw_Data!A349</f>
        <v/>
      </c>
      <c r="B358" s="48">
        <f>PROPER(TRIM(Raw_Data!B349))</f>
        <v/>
      </c>
      <c r="C358" s="48">
        <f>TRIM(Raw_Data!C349)</f>
        <v/>
      </c>
      <c r="D358" s="48">
        <f>IF(PROPER(TRIM(Raw_Data!D349))="Bangalore","Bengaluru",IF(PROPER(TRIM(Raw_Data!D349))="Gurgaon","Gurugram",IF(OR(PROPER(TRIM(Raw_Data!D349))="New Delhi",PROPER(TRIM(Raw_Data!D349))="Delhi"),"Delhi",PROPER(TRIM(Raw_Data!D349)))))</f>
        <v/>
      </c>
      <c r="E358" s="48">
        <f>Raw_Data!E349</f>
        <v/>
      </c>
      <c r="F358" s="48">
        <f>IF(TRIM(Raw_Data!F349&amp;"")="","Not Specified",Raw_Data!F349)</f>
        <v/>
      </c>
      <c r="G358" s="48">
        <f>Raw_Data!G349</f>
        <v/>
      </c>
      <c r="H358" s="48">
        <f>Raw_Data!H349</f>
        <v/>
      </c>
      <c r="I358" s="49">
        <f>IF(Raw_Data!I349="","",Raw_Data!I349)</f>
        <v/>
      </c>
      <c r="J358" s="49">
        <f>IF(Raw_Data!J349="","",Raw_Data!J349)</f>
        <v/>
      </c>
      <c r="K358" s="48">
        <f>IF(TRIM(Raw_Data!K349&amp;"")="","Not Specified",Raw_Data!K349)</f>
        <v/>
      </c>
      <c r="L358" s="56">
        <f>Raw_Data!L349</f>
        <v/>
      </c>
      <c r="M358" s="49">
        <f>IF(OR(I358="",J358=""),"",(I358+J358)/2)</f>
        <v/>
      </c>
      <c r="N358" s="49">
        <f>IF(OR(I358="",J358=""),"",J358-I358)</f>
        <v/>
      </c>
      <c r="O358" s="48">
        <f>TEXT(L358,"mmm-yyyy")</f>
        <v/>
      </c>
      <c r="P358" s="48">
        <f>_xlfn.IFS(ISNUMBER(SEARCH("data analy",B358)),"Data Analyst",ISNUMBER(SEARCH("business analy",B358)),"Business Analyst",OR(ISNUMBER(SEARCH("developer",B358)),ISNUMBER(SEARCH("software engineer",B358)),ISNUMBER(SEARCH("programmer",B358))),"Software Developer",ISNUMBER(SEARCH("business development",B358)),"Business Development",ISNUMBER(SEARCH("sales",B358)),"Sales Executive",ISNUMBER(SEARCH("marketing",B358)),"Marketing Executive",OR(ISNUMBER(SEARCH("hr ",B358)),ISNUMBER(SEARCH("recruit",B358)),ISNUMBER(SEARCH("human resource",B358))),"HR / Recruiter",OR(ISNUMBER(SEARCH("account",B358)),ISNUMBER(SEARCH("finance",B358)),ISNUMBER(SEARCH("tax",B358)),ISNUMBER(SEARCH("audit",B358))),"Accountant / Finance",OR(ISNUMBER(SEARCH("customer service",B358)),ISNUMBER(SEARCH("customer support",B358)),ISNUMBER(SEARCH("customer care",B358)),ISNUMBER(SEARCH("voice process",B358)),ISNUMBER(SEARCH("bpo",B358))),"Customer Support",ISNUMBER(SEARCH("engineer",B358)),"Engineer (Technical)",ISNUMBER(SEARCH("manager",B358)),"Manager",OR(ISNUMBER(SEARCH("teacher",B358)),ISNUMBER(SEARCH("trainer",B358)),ISNUMBER(SEARCH("faculty",B358))),"Teacher / Trainer",OR(ISNUMBER(SEARCH("doctor",B358)),ISNUMBER(SEARCH("nurse",B358)),ISNUMBER(SEARCH("medical",B358)),ISNUMBER(SEARCH("pharma",B358)),ISNUMBER(SEARCH("clinical",B358))),"Healthcare",TRUE,"Other")</f>
        <v/>
      </c>
      <c r="Q358" s="48">
        <f>IF(COUNTIFS($B$11:B358,B358,$C$11:C358,C358,$D$11:D358,D358,$L$11:L358,L358)&gt;1,"Duplicate","Unique")</f>
        <v/>
      </c>
    </row>
    <row r="359">
      <c r="A359" s="48">
        <f>Raw_Data!A350</f>
        <v/>
      </c>
      <c r="B359" s="48">
        <f>PROPER(TRIM(Raw_Data!B350))</f>
        <v/>
      </c>
      <c r="C359" s="48">
        <f>TRIM(Raw_Data!C350)</f>
        <v/>
      </c>
      <c r="D359" s="48">
        <f>IF(PROPER(TRIM(Raw_Data!D350))="Bangalore","Bengaluru",IF(PROPER(TRIM(Raw_Data!D350))="Gurgaon","Gurugram",IF(OR(PROPER(TRIM(Raw_Data!D350))="New Delhi",PROPER(TRIM(Raw_Data!D350))="Delhi"),"Delhi",PROPER(TRIM(Raw_Data!D350)))))</f>
        <v/>
      </c>
      <c r="E359" s="48">
        <f>Raw_Data!E350</f>
        <v/>
      </c>
      <c r="F359" s="48">
        <f>IF(TRIM(Raw_Data!F350&amp;"")="","Not Specified",Raw_Data!F350)</f>
        <v/>
      </c>
      <c r="G359" s="48">
        <f>Raw_Data!G350</f>
        <v/>
      </c>
      <c r="H359" s="48">
        <f>Raw_Data!H350</f>
        <v/>
      </c>
      <c r="I359" s="49">
        <f>IF(Raw_Data!I350="","",Raw_Data!I350)</f>
        <v/>
      </c>
      <c r="J359" s="49">
        <f>IF(Raw_Data!J350="","",Raw_Data!J350)</f>
        <v/>
      </c>
      <c r="K359" s="48">
        <f>IF(TRIM(Raw_Data!K350&amp;"")="","Not Specified",Raw_Data!K350)</f>
        <v/>
      </c>
      <c r="L359" s="56">
        <f>Raw_Data!L350</f>
        <v/>
      </c>
      <c r="M359" s="49">
        <f>IF(OR(I359="",J359=""),"",(I359+J359)/2)</f>
        <v/>
      </c>
      <c r="N359" s="49">
        <f>IF(OR(I359="",J359=""),"",J359-I359)</f>
        <v/>
      </c>
      <c r="O359" s="48">
        <f>TEXT(L359,"mmm-yyyy")</f>
        <v/>
      </c>
      <c r="P359" s="48">
        <f>_xlfn.IFS(ISNUMBER(SEARCH("data analy",B359)),"Data Analyst",ISNUMBER(SEARCH("business analy",B359)),"Business Analyst",OR(ISNUMBER(SEARCH("developer",B359)),ISNUMBER(SEARCH("software engineer",B359)),ISNUMBER(SEARCH("programmer",B359))),"Software Developer",ISNUMBER(SEARCH("business development",B359)),"Business Development",ISNUMBER(SEARCH("sales",B359)),"Sales Executive",ISNUMBER(SEARCH("marketing",B359)),"Marketing Executive",OR(ISNUMBER(SEARCH("hr ",B359)),ISNUMBER(SEARCH("recruit",B359)),ISNUMBER(SEARCH("human resource",B359))),"HR / Recruiter",OR(ISNUMBER(SEARCH("account",B359)),ISNUMBER(SEARCH("finance",B359)),ISNUMBER(SEARCH("tax",B359)),ISNUMBER(SEARCH("audit",B359))),"Accountant / Finance",OR(ISNUMBER(SEARCH("customer service",B359)),ISNUMBER(SEARCH("customer support",B359)),ISNUMBER(SEARCH("customer care",B359)),ISNUMBER(SEARCH("voice process",B359)),ISNUMBER(SEARCH("bpo",B359))),"Customer Support",ISNUMBER(SEARCH("engineer",B359)),"Engineer (Technical)",ISNUMBER(SEARCH("manager",B359)),"Manager",OR(ISNUMBER(SEARCH("teacher",B359)),ISNUMBER(SEARCH("trainer",B359)),ISNUMBER(SEARCH("faculty",B359))),"Teacher / Trainer",OR(ISNUMBER(SEARCH("doctor",B359)),ISNUMBER(SEARCH("nurse",B359)),ISNUMBER(SEARCH("medical",B359)),ISNUMBER(SEARCH("pharma",B359)),ISNUMBER(SEARCH("clinical",B359))),"Healthcare",TRUE,"Other")</f>
        <v/>
      </c>
      <c r="Q359" s="48">
        <f>IF(COUNTIFS($B$11:B359,B359,$C$11:C359,C359,$D$11:D359,D359,$L$11:L359,L359)&gt;1,"Duplicate","Unique")</f>
        <v/>
      </c>
    </row>
    <row r="360">
      <c r="A360" s="48">
        <f>Raw_Data!A351</f>
        <v/>
      </c>
      <c r="B360" s="48">
        <f>PROPER(TRIM(Raw_Data!B351))</f>
        <v/>
      </c>
      <c r="C360" s="48">
        <f>TRIM(Raw_Data!C351)</f>
        <v/>
      </c>
      <c r="D360" s="48">
        <f>IF(PROPER(TRIM(Raw_Data!D351))="Bangalore","Bengaluru",IF(PROPER(TRIM(Raw_Data!D351))="Gurgaon","Gurugram",IF(OR(PROPER(TRIM(Raw_Data!D351))="New Delhi",PROPER(TRIM(Raw_Data!D351))="Delhi"),"Delhi",PROPER(TRIM(Raw_Data!D351)))))</f>
        <v/>
      </c>
      <c r="E360" s="48">
        <f>Raw_Data!E351</f>
        <v/>
      </c>
      <c r="F360" s="48">
        <f>IF(TRIM(Raw_Data!F351&amp;"")="","Not Specified",Raw_Data!F351)</f>
        <v/>
      </c>
      <c r="G360" s="48">
        <f>Raw_Data!G351</f>
        <v/>
      </c>
      <c r="H360" s="48">
        <f>Raw_Data!H351</f>
        <v/>
      </c>
      <c r="I360" s="49">
        <f>IF(Raw_Data!I351="","",Raw_Data!I351)</f>
        <v/>
      </c>
      <c r="J360" s="49">
        <f>IF(Raw_Data!J351="","",Raw_Data!J351)</f>
        <v/>
      </c>
      <c r="K360" s="48">
        <f>IF(TRIM(Raw_Data!K351&amp;"")="","Not Specified",Raw_Data!K351)</f>
        <v/>
      </c>
      <c r="L360" s="56">
        <f>Raw_Data!L351</f>
        <v/>
      </c>
      <c r="M360" s="49">
        <f>IF(OR(I360="",J360=""),"",(I360+J360)/2)</f>
        <v/>
      </c>
      <c r="N360" s="49">
        <f>IF(OR(I360="",J360=""),"",J360-I360)</f>
        <v/>
      </c>
      <c r="O360" s="48">
        <f>TEXT(L360,"mmm-yyyy")</f>
        <v/>
      </c>
      <c r="P360" s="48">
        <f>_xlfn.IFS(ISNUMBER(SEARCH("data analy",B360)),"Data Analyst",ISNUMBER(SEARCH("business analy",B360)),"Business Analyst",OR(ISNUMBER(SEARCH("developer",B360)),ISNUMBER(SEARCH("software engineer",B360)),ISNUMBER(SEARCH("programmer",B360))),"Software Developer",ISNUMBER(SEARCH("business development",B360)),"Business Development",ISNUMBER(SEARCH("sales",B360)),"Sales Executive",ISNUMBER(SEARCH("marketing",B360)),"Marketing Executive",OR(ISNUMBER(SEARCH("hr ",B360)),ISNUMBER(SEARCH("recruit",B360)),ISNUMBER(SEARCH("human resource",B360))),"HR / Recruiter",OR(ISNUMBER(SEARCH("account",B360)),ISNUMBER(SEARCH("finance",B360)),ISNUMBER(SEARCH("tax",B360)),ISNUMBER(SEARCH("audit",B360))),"Accountant / Finance",OR(ISNUMBER(SEARCH("customer service",B360)),ISNUMBER(SEARCH("customer support",B360)),ISNUMBER(SEARCH("customer care",B360)),ISNUMBER(SEARCH("voice process",B360)),ISNUMBER(SEARCH("bpo",B360))),"Customer Support",ISNUMBER(SEARCH("engineer",B360)),"Engineer (Technical)",ISNUMBER(SEARCH("manager",B360)),"Manager",OR(ISNUMBER(SEARCH("teacher",B360)),ISNUMBER(SEARCH("trainer",B360)),ISNUMBER(SEARCH("faculty",B360))),"Teacher / Trainer",OR(ISNUMBER(SEARCH("doctor",B360)),ISNUMBER(SEARCH("nurse",B360)),ISNUMBER(SEARCH("medical",B360)),ISNUMBER(SEARCH("pharma",B360)),ISNUMBER(SEARCH("clinical",B360))),"Healthcare",TRUE,"Other")</f>
        <v/>
      </c>
      <c r="Q360" s="48">
        <f>IF(COUNTIFS($B$11:B360,B360,$C$11:C360,C360,$D$11:D360,D360,$L$11:L360,L360)&gt;1,"Duplicate","Unique")</f>
        <v/>
      </c>
    </row>
    <row r="361">
      <c r="A361" s="48">
        <f>Raw_Data!A352</f>
        <v/>
      </c>
      <c r="B361" s="48">
        <f>PROPER(TRIM(Raw_Data!B352))</f>
        <v/>
      </c>
      <c r="C361" s="48">
        <f>TRIM(Raw_Data!C352)</f>
        <v/>
      </c>
      <c r="D361" s="48">
        <f>IF(PROPER(TRIM(Raw_Data!D352))="Bangalore","Bengaluru",IF(PROPER(TRIM(Raw_Data!D352))="Gurgaon","Gurugram",IF(OR(PROPER(TRIM(Raw_Data!D352))="New Delhi",PROPER(TRIM(Raw_Data!D352))="Delhi"),"Delhi",PROPER(TRIM(Raw_Data!D352)))))</f>
        <v/>
      </c>
      <c r="E361" s="48">
        <f>Raw_Data!E352</f>
        <v/>
      </c>
      <c r="F361" s="48">
        <f>IF(TRIM(Raw_Data!F352&amp;"")="","Not Specified",Raw_Data!F352)</f>
        <v/>
      </c>
      <c r="G361" s="48">
        <f>Raw_Data!G352</f>
        <v/>
      </c>
      <c r="H361" s="48">
        <f>Raw_Data!H352</f>
        <v/>
      </c>
      <c r="I361" s="49">
        <f>IF(Raw_Data!I352="","",Raw_Data!I352)</f>
        <v/>
      </c>
      <c r="J361" s="49">
        <f>IF(Raw_Data!J352="","",Raw_Data!J352)</f>
        <v/>
      </c>
      <c r="K361" s="48">
        <f>IF(TRIM(Raw_Data!K352&amp;"")="","Not Specified",Raw_Data!K352)</f>
        <v/>
      </c>
      <c r="L361" s="56">
        <f>Raw_Data!L352</f>
        <v/>
      </c>
      <c r="M361" s="49">
        <f>IF(OR(I361="",J361=""),"",(I361+J361)/2)</f>
        <v/>
      </c>
      <c r="N361" s="49">
        <f>IF(OR(I361="",J361=""),"",J361-I361)</f>
        <v/>
      </c>
      <c r="O361" s="48">
        <f>TEXT(L361,"mmm-yyyy")</f>
        <v/>
      </c>
      <c r="P361" s="48">
        <f>_xlfn.IFS(ISNUMBER(SEARCH("data analy",B361)),"Data Analyst",ISNUMBER(SEARCH("business analy",B361)),"Business Analyst",OR(ISNUMBER(SEARCH("developer",B361)),ISNUMBER(SEARCH("software engineer",B361)),ISNUMBER(SEARCH("programmer",B361))),"Software Developer",ISNUMBER(SEARCH("business development",B361)),"Business Development",ISNUMBER(SEARCH("sales",B361)),"Sales Executive",ISNUMBER(SEARCH("marketing",B361)),"Marketing Executive",OR(ISNUMBER(SEARCH("hr ",B361)),ISNUMBER(SEARCH("recruit",B361)),ISNUMBER(SEARCH("human resource",B361))),"HR / Recruiter",OR(ISNUMBER(SEARCH("account",B361)),ISNUMBER(SEARCH("finance",B361)),ISNUMBER(SEARCH("tax",B361)),ISNUMBER(SEARCH("audit",B361))),"Accountant / Finance",OR(ISNUMBER(SEARCH("customer service",B361)),ISNUMBER(SEARCH("customer support",B361)),ISNUMBER(SEARCH("customer care",B361)),ISNUMBER(SEARCH("voice process",B361)),ISNUMBER(SEARCH("bpo",B361))),"Customer Support",ISNUMBER(SEARCH("engineer",B361)),"Engineer (Technical)",ISNUMBER(SEARCH("manager",B361)),"Manager",OR(ISNUMBER(SEARCH("teacher",B361)),ISNUMBER(SEARCH("trainer",B361)),ISNUMBER(SEARCH("faculty",B361))),"Teacher / Trainer",OR(ISNUMBER(SEARCH("doctor",B361)),ISNUMBER(SEARCH("nurse",B361)),ISNUMBER(SEARCH("medical",B361)),ISNUMBER(SEARCH("pharma",B361)),ISNUMBER(SEARCH("clinical",B361))),"Healthcare",TRUE,"Other")</f>
        <v/>
      </c>
      <c r="Q361" s="48">
        <f>IF(COUNTIFS($B$11:B361,B361,$C$11:C361,C361,$D$11:D361,D361,$L$11:L361,L361)&gt;1,"Duplicate","Unique")</f>
        <v/>
      </c>
    </row>
    <row r="362">
      <c r="A362" s="48">
        <f>Raw_Data!A353</f>
        <v/>
      </c>
      <c r="B362" s="48">
        <f>PROPER(TRIM(Raw_Data!B353))</f>
        <v/>
      </c>
      <c r="C362" s="48">
        <f>TRIM(Raw_Data!C353)</f>
        <v/>
      </c>
      <c r="D362" s="48">
        <f>IF(PROPER(TRIM(Raw_Data!D353))="Bangalore","Bengaluru",IF(PROPER(TRIM(Raw_Data!D353))="Gurgaon","Gurugram",IF(OR(PROPER(TRIM(Raw_Data!D353))="New Delhi",PROPER(TRIM(Raw_Data!D353))="Delhi"),"Delhi",PROPER(TRIM(Raw_Data!D353)))))</f>
        <v/>
      </c>
      <c r="E362" s="48">
        <f>Raw_Data!E353</f>
        <v/>
      </c>
      <c r="F362" s="48">
        <f>IF(TRIM(Raw_Data!F353&amp;"")="","Not Specified",Raw_Data!F353)</f>
        <v/>
      </c>
      <c r="G362" s="48">
        <f>Raw_Data!G353</f>
        <v/>
      </c>
      <c r="H362" s="48">
        <f>Raw_Data!H353</f>
        <v/>
      </c>
      <c r="I362" s="49">
        <f>IF(Raw_Data!I353="","",Raw_Data!I353)</f>
        <v/>
      </c>
      <c r="J362" s="49">
        <f>IF(Raw_Data!J353="","",Raw_Data!J353)</f>
        <v/>
      </c>
      <c r="K362" s="48">
        <f>IF(TRIM(Raw_Data!K353&amp;"")="","Not Specified",Raw_Data!K353)</f>
        <v/>
      </c>
      <c r="L362" s="56">
        <f>Raw_Data!L353</f>
        <v/>
      </c>
      <c r="M362" s="49">
        <f>IF(OR(I362="",J362=""),"",(I362+J362)/2)</f>
        <v/>
      </c>
      <c r="N362" s="49">
        <f>IF(OR(I362="",J362=""),"",J362-I362)</f>
        <v/>
      </c>
      <c r="O362" s="48">
        <f>TEXT(L362,"mmm-yyyy")</f>
        <v/>
      </c>
      <c r="P362" s="48">
        <f>_xlfn.IFS(ISNUMBER(SEARCH("data analy",B362)),"Data Analyst",ISNUMBER(SEARCH("business analy",B362)),"Business Analyst",OR(ISNUMBER(SEARCH("developer",B362)),ISNUMBER(SEARCH("software engineer",B362)),ISNUMBER(SEARCH("programmer",B362))),"Software Developer",ISNUMBER(SEARCH("business development",B362)),"Business Development",ISNUMBER(SEARCH("sales",B362)),"Sales Executive",ISNUMBER(SEARCH("marketing",B362)),"Marketing Executive",OR(ISNUMBER(SEARCH("hr ",B362)),ISNUMBER(SEARCH("recruit",B362)),ISNUMBER(SEARCH("human resource",B362))),"HR / Recruiter",OR(ISNUMBER(SEARCH("account",B362)),ISNUMBER(SEARCH("finance",B362)),ISNUMBER(SEARCH("tax",B362)),ISNUMBER(SEARCH("audit",B362))),"Accountant / Finance",OR(ISNUMBER(SEARCH("customer service",B362)),ISNUMBER(SEARCH("customer support",B362)),ISNUMBER(SEARCH("customer care",B362)),ISNUMBER(SEARCH("voice process",B362)),ISNUMBER(SEARCH("bpo",B362))),"Customer Support",ISNUMBER(SEARCH("engineer",B362)),"Engineer (Technical)",ISNUMBER(SEARCH("manager",B362)),"Manager",OR(ISNUMBER(SEARCH("teacher",B362)),ISNUMBER(SEARCH("trainer",B362)),ISNUMBER(SEARCH("faculty",B362))),"Teacher / Trainer",OR(ISNUMBER(SEARCH("doctor",B362)),ISNUMBER(SEARCH("nurse",B362)),ISNUMBER(SEARCH("medical",B362)),ISNUMBER(SEARCH("pharma",B362)),ISNUMBER(SEARCH("clinical",B362))),"Healthcare",TRUE,"Other")</f>
        <v/>
      </c>
      <c r="Q362" s="48">
        <f>IF(COUNTIFS($B$11:B362,B362,$C$11:C362,C362,$D$11:D362,D362,$L$11:L362,L362)&gt;1,"Duplicate","Unique")</f>
        <v/>
      </c>
    </row>
    <row r="363">
      <c r="A363" s="48">
        <f>Raw_Data!A354</f>
        <v/>
      </c>
      <c r="B363" s="48">
        <f>PROPER(TRIM(Raw_Data!B354))</f>
        <v/>
      </c>
      <c r="C363" s="48">
        <f>TRIM(Raw_Data!C354)</f>
        <v/>
      </c>
      <c r="D363" s="48">
        <f>IF(PROPER(TRIM(Raw_Data!D354))="Bangalore","Bengaluru",IF(PROPER(TRIM(Raw_Data!D354))="Gurgaon","Gurugram",IF(OR(PROPER(TRIM(Raw_Data!D354))="New Delhi",PROPER(TRIM(Raw_Data!D354))="Delhi"),"Delhi",PROPER(TRIM(Raw_Data!D354)))))</f>
        <v/>
      </c>
      <c r="E363" s="48">
        <f>Raw_Data!E354</f>
        <v/>
      </c>
      <c r="F363" s="48">
        <f>IF(TRIM(Raw_Data!F354&amp;"")="","Not Specified",Raw_Data!F354)</f>
        <v/>
      </c>
      <c r="G363" s="48">
        <f>Raw_Data!G354</f>
        <v/>
      </c>
      <c r="H363" s="48">
        <f>Raw_Data!H354</f>
        <v/>
      </c>
      <c r="I363" s="49">
        <f>IF(Raw_Data!I354="","",Raw_Data!I354)</f>
        <v/>
      </c>
      <c r="J363" s="49">
        <f>IF(Raw_Data!J354="","",Raw_Data!J354)</f>
        <v/>
      </c>
      <c r="K363" s="48">
        <f>IF(TRIM(Raw_Data!K354&amp;"")="","Not Specified",Raw_Data!K354)</f>
        <v/>
      </c>
      <c r="L363" s="56">
        <f>Raw_Data!L354</f>
        <v/>
      </c>
      <c r="M363" s="49">
        <f>IF(OR(I363="",J363=""),"",(I363+J363)/2)</f>
        <v/>
      </c>
      <c r="N363" s="49">
        <f>IF(OR(I363="",J363=""),"",J363-I363)</f>
        <v/>
      </c>
      <c r="O363" s="48">
        <f>TEXT(L363,"mmm-yyyy")</f>
        <v/>
      </c>
      <c r="P363" s="48">
        <f>_xlfn.IFS(ISNUMBER(SEARCH("data analy",B363)),"Data Analyst",ISNUMBER(SEARCH("business analy",B363)),"Business Analyst",OR(ISNUMBER(SEARCH("developer",B363)),ISNUMBER(SEARCH("software engineer",B363)),ISNUMBER(SEARCH("programmer",B363))),"Software Developer",ISNUMBER(SEARCH("business development",B363)),"Business Development",ISNUMBER(SEARCH("sales",B363)),"Sales Executive",ISNUMBER(SEARCH("marketing",B363)),"Marketing Executive",OR(ISNUMBER(SEARCH("hr ",B363)),ISNUMBER(SEARCH("recruit",B363)),ISNUMBER(SEARCH("human resource",B363))),"HR / Recruiter",OR(ISNUMBER(SEARCH("account",B363)),ISNUMBER(SEARCH("finance",B363)),ISNUMBER(SEARCH("tax",B363)),ISNUMBER(SEARCH("audit",B363))),"Accountant / Finance",OR(ISNUMBER(SEARCH("customer service",B363)),ISNUMBER(SEARCH("customer support",B363)),ISNUMBER(SEARCH("customer care",B363)),ISNUMBER(SEARCH("voice process",B363)),ISNUMBER(SEARCH("bpo",B363))),"Customer Support",ISNUMBER(SEARCH("engineer",B363)),"Engineer (Technical)",ISNUMBER(SEARCH("manager",B363)),"Manager",OR(ISNUMBER(SEARCH("teacher",B363)),ISNUMBER(SEARCH("trainer",B363)),ISNUMBER(SEARCH("faculty",B363))),"Teacher / Trainer",OR(ISNUMBER(SEARCH("doctor",B363)),ISNUMBER(SEARCH("nurse",B363)),ISNUMBER(SEARCH("medical",B363)),ISNUMBER(SEARCH("pharma",B363)),ISNUMBER(SEARCH("clinical",B363))),"Healthcare",TRUE,"Other")</f>
        <v/>
      </c>
      <c r="Q363" s="48">
        <f>IF(COUNTIFS($B$11:B363,B363,$C$11:C363,C363,$D$11:D363,D363,$L$11:L363,L363)&gt;1,"Duplicate","Unique")</f>
        <v/>
      </c>
    </row>
    <row r="364">
      <c r="A364" s="48">
        <f>Raw_Data!A355</f>
        <v/>
      </c>
      <c r="B364" s="48">
        <f>PROPER(TRIM(Raw_Data!B355))</f>
        <v/>
      </c>
      <c r="C364" s="48">
        <f>TRIM(Raw_Data!C355)</f>
        <v/>
      </c>
      <c r="D364" s="48">
        <f>IF(PROPER(TRIM(Raw_Data!D355))="Bangalore","Bengaluru",IF(PROPER(TRIM(Raw_Data!D355))="Gurgaon","Gurugram",IF(OR(PROPER(TRIM(Raw_Data!D355))="New Delhi",PROPER(TRIM(Raw_Data!D355))="Delhi"),"Delhi",PROPER(TRIM(Raw_Data!D355)))))</f>
        <v/>
      </c>
      <c r="E364" s="48">
        <f>Raw_Data!E355</f>
        <v/>
      </c>
      <c r="F364" s="48">
        <f>IF(TRIM(Raw_Data!F355&amp;"")="","Not Specified",Raw_Data!F355)</f>
        <v/>
      </c>
      <c r="G364" s="48">
        <f>Raw_Data!G355</f>
        <v/>
      </c>
      <c r="H364" s="48">
        <f>Raw_Data!H355</f>
        <v/>
      </c>
      <c r="I364" s="49">
        <f>IF(Raw_Data!I355="","",Raw_Data!I355)</f>
        <v/>
      </c>
      <c r="J364" s="49">
        <f>IF(Raw_Data!J355="","",Raw_Data!J355)</f>
        <v/>
      </c>
      <c r="K364" s="48">
        <f>IF(TRIM(Raw_Data!K355&amp;"")="","Not Specified",Raw_Data!K355)</f>
        <v/>
      </c>
      <c r="L364" s="56">
        <f>Raw_Data!L355</f>
        <v/>
      </c>
      <c r="M364" s="49">
        <f>IF(OR(I364="",J364=""),"",(I364+J364)/2)</f>
        <v/>
      </c>
      <c r="N364" s="49">
        <f>IF(OR(I364="",J364=""),"",J364-I364)</f>
        <v/>
      </c>
      <c r="O364" s="48">
        <f>TEXT(L364,"mmm-yyyy")</f>
        <v/>
      </c>
      <c r="P364" s="48">
        <f>_xlfn.IFS(ISNUMBER(SEARCH("data analy",B364)),"Data Analyst",ISNUMBER(SEARCH("business analy",B364)),"Business Analyst",OR(ISNUMBER(SEARCH("developer",B364)),ISNUMBER(SEARCH("software engineer",B364)),ISNUMBER(SEARCH("programmer",B364))),"Software Developer",ISNUMBER(SEARCH("business development",B364)),"Business Development",ISNUMBER(SEARCH("sales",B364)),"Sales Executive",ISNUMBER(SEARCH("marketing",B364)),"Marketing Executive",OR(ISNUMBER(SEARCH("hr ",B364)),ISNUMBER(SEARCH("recruit",B364)),ISNUMBER(SEARCH("human resource",B364))),"HR / Recruiter",OR(ISNUMBER(SEARCH("account",B364)),ISNUMBER(SEARCH("finance",B364)),ISNUMBER(SEARCH("tax",B364)),ISNUMBER(SEARCH("audit",B364))),"Accountant / Finance",OR(ISNUMBER(SEARCH("customer service",B364)),ISNUMBER(SEARCH("customer support",B364)),ISNUMBER(SEARCH("customer care",B364)),ISNUMBER(SEARCH("voice process",B364)),ISNUMBER(SEARCH("bpo",B364))),"Customer Support",ISNUMBER(SEARCH("engineer",B364)),"Engineer (Technical)",ISNUMBER(SEARCH("manager",B364)),"Manager",OR(ISNUMBER(SEARCH("teacher",B364)),ISNUMBER(SEARCH("trainer",B364)),ISNUMBER(SEARCH("faculty",B364))),"Teacher / Trainer",OR(ISNUMBER(SEARCH("doctor",B364)),ISNUMBER(SEARCH("nurse",B364)),ISNUMBER(SEARCH("medical",B364)),ISNUMBER(SEARCH("pharma",B364)),ISNUMBER(SEARCH("clinical",B364))),"Healthcare",TRUE,"Other")</f>
        <v/>
      </c>
      <c r="Q364" s="48">
        <f>IF(COUNTIFS($B$11:B364,B364,$C$11:C364,C364,$D$11:D364,D364,$L$11:L364,L364)&gt;1,"Duplicate","Unique")</f>
        <v/>
      </c>
    </row>
    <row r="365">
      <c r="A365" s="48">
        <f>Raw_Data!A356</f>
        <v/>
      </c>
      <c r="B365" s="48">
        <f>PROPER(TRIM(Raw_Data!B356))</f>
        <v/>
      </c>
      <c r="C365" s="48">
        <f>TRIM(Raw_Data!C356)</f>
        <v/>
      </c>
      <c r="D365" s="48">
        <f>IF(PROPER(TRIM(Raw_Data!D356))="Bangalore","Bengaluru",IF(PROPER(TRIM(Raw_Data!D356))="Gurgaon","Gurugram",IF(OR(PROPER(TRIM(Raw_Data!D356))="New Delhi",PROPER(TRIM(Raw_Data!D356))="Delhi"),"Delhi",PROPER(TRIM(Raw_Data!D356)))))</f>
        <v/>
      </c>
      <c r="E365" s="48">
        <f>Raw_Data!E356</f>
        <v/>
      </c>
      <c r="F365" s="48">
        <f>IF(TRIM(Raw_Data!F356&amp;"")="","Not Specified",Raw_Data!F356)</f>
        <v/>
      </c>
      <c r="G365" s="48">
        <f>Raw_Data!G356</f>
        <v/>
      </c>
      <c r="H365" s="48">
        <f>Raw_Data!H356</f>
        <v/>
      </c>
      <c r="I365" s="49">
        <f>IF(Raw_Data!I356="","",Raw_Data!I356)</f>
        <v/>
      </c>
      <c r="J365" s="49">
        <f>IF(Raw_Data!J356="","",Raw_Data!J356)</f>
        <v/>
      </c>
      <c r="K365" s="48">
        <f>IF(TRIM(Raw_Data!K356&amp;"")="","Not Specified",Raw_Data!K356)</f>
        <v/>
      </c>
      <c r="L365" s="56">
        <f>Raw_Data!L356</f>
        <v/>
      </c>
      <c r="M365" s="49">
        <f>IF(OR(I365="",J365=""),"",(I365+J365)/2)</f>
        <v/>
      </c>
      <c r="N365" s="49">
        <f>IF(OR(I365="",J365=""),"",J365-I365)</f>
        <v/>
      </c>
      <c r="O365" s="48">
        <f>TEXT(L365,"mmm-yyyy")</f>
        <v/>
      </c>
      <c r="P365" s="48">
        <f>_xlfn.IFS(ISNUMBER(SEARCH("data analy",B365)),"Data Analyst",ISNUMBER(SEARCH("business analy",B365)),"Business Analyst",OR(ISNUMBER(SEARCH("developer",B365)),ISNUMBER(SEARCH("software engineer",B365)),ISNUMBER(SEARCH("programmer",B365))),"Software Developer",ISNUMBER(SEARCH("business development",B365)),"Business Development",ISNUMBER(SEARCH("sales",B365)),"Sales Executive",ISNUMBER(SEARCH("marketing",B365)),"Marketing Executive",OR(ISNUMBER(SEARCH("hr ",B365)),ISNUMBER(SEARCH("recruit",B365)),ISNUMBER(SEARCH("human resource",B365))),"HR / Recruiter",OR(ISNUMBER(SEARCH("account",B365)),ISNUMBER(SEARCH("finance",B365)),ISNUMBER(SEARCH("tax",B365)),ISNUMBER(SEARCH("audit",B365))),"Accountant / Finance",OR(ISNUMBER(SEARCH("customer service",B365)),ISNUMBER(SEARCH("customer support",B365)),ISNUMBER(SEARCH("customer care",B365)),ISNUMBER(SEARCH("voice process",B365)),ISNUMBER(SEARCH("bpo",B365))),"Customer Support",ISNUMBER(SEARCH("engineer",B365)),"Engineer (Technical)",ISNUMBER(SEARCH("manager",B365)),"Manager",OR(ISNUMBER(SEARCH("teacher",B365)),ISNUMBER(SEARCH("trainer",B365)),ISNUMBER(SEARCH("faculty",B365))),"Teacher / Trainer",OR(ISNUMBER(SEARCH("doctor",B365)),ISNUMBER(SEARCH("nurse",B365)),ISNUMBER(SEARCH("medical",B365)),ISNUMBER(SEARCH("pharma",B365)),ISNUMBER(SEARCH("clinical",B365))),"Healthcare",TRUE,"Other")</f>
        <v/>
      </c>
      <c r="Q365" s="48">
        <f>IF(COUNTIFS($B$11:B365,B365,$C$11:C365,C365,$D$11:D365,D365,$L$11:L365,L365)&gt;1,"Duplicate","Unique")</f>
        <v/>
      </c>
    </row>
    <row r="366">
      <c r="A366" s="48">
        <f>Raw_Data!A357</f>
        <v/>
      </c>
      <c r="B366" s="48">
        <f>PROPER(TRIM(Raw_Data!B357))</f>
        <v/>
      </c>
      <c r="C366" s="48">
        <f>TRIM(Raw_Data!C357)</f>
        <v/>
      </c>
      <c r="D366" s="48">
        <f>IF(PROPER(TRIM(Raw_Data!D357))="Bangalore","Bengaluru",IF(PROPER(TRIM(Raw_Data!D357))="Gurgaon","Gurugram",IF(OR(PROPER(TRIM(Raw_Data!D357))="New Delhi",PROPER(TRIM(Raw_Data!D357))="Delhi"),"Delhi",PROPER(TRIM(Raw_Data!D357)))))</f>
        <v/>
      </c>
      <c r="E366" s="48">
        <f>Raw_Data!E357</f>
        <v/>
      </c>
      <c r="F366" s="48">
        <f>IF(TRIM(Raw_Data!F357&amp;"")="","Not Specified",Raw_Data!F357)</f>
        <v/>
      </c>
      <c r="G366" s="48">
        <f>Raw_Data!G357</f>
        <v/>
      </c>
      <c r="H366" s="48">
        <f>Raw_Data!H357</f>
        <v/>
      </c>
      <c r="I366" s="49">
        <f>IF(Raw_Data!I357="","",Raw_Data!I357)</f>
        <v/>
      </c>
      <c r="J366" s="49">
        <f>IF(Raw_Data!J357="","",Raw_Data!J357)</f>
        <v/>
      </c>
      <c r="K366" s="48">
        <f>IF(TRIM(Raw_Data!K357&amp;"")="","Not Specified",Raw_Data!K357)</f>
        <v/>
      </c>
      <c r="L366" s="56">
        <f>Raw_Data!L357</f>
        <v/>
      </c>
      <c r="M366" s="49">
        <f>IF(OR(I366="",J366=""),"",(I366+J366)/2)</f>
        <v/>
      </c>
      <c r="N366" s="49">
        <f>IF(OR(I366="",J366=""),"",J366-I366)</f>
        <v/>
      </c>
      <c r="O366" s="48">
        <f>TEXT(L366,"mmm-yyyy")</f>
        <v/>
      </c>
      <c r="P366" s="48">
        <f>_xlfn.IFS(ISNUMBER(SEARCH("data analy",B366)),"Data Analyst",ISNUMBER(SEARCH("business analy",B366)),"Business Analyst",OR(ISNUMBER(SEARCH("developer",B366)),ISNUMBER(SEARCH("software engineer",B366)),ISNUMBER(SEARCH("programmer",B366))),"Software Developer",ISNUMBER(SEARCH("business development",B366)),"Business Development",ISNUMBER(SEARCH("sales",B366)),"Sales Executive",ISNUMBER(SEARCH("marketing",B366)),"Marketing Executive",OR(ISNUMBER(SEARCH("hr ",B366)),ISNUMBER(SEARCH("recruit",B366)),ISNUMBER(SEARCH("human resource",B366))),"HR / Recruiter",OR(ISNUMBER(SEARCH("account",B366)),ISNUMBER(SEARCH("finance",B366)),ISNUMBER(SEARCH("tax",B366)),ISNUMBER(SEARCH("audit",B366))),"Accountant / Finance",OR(ISNUMBER(SEARCH("customer service",B366)),ISNUMBER(SEARCH("customer support",B366)),ISNUMBER(SEARCH("customer care",B366)),ISNUMBER(SEARCH("voice process",B366)),ISNUMBER(SEARCH("bpo",B366))),"Customer Support",ISNUMBER(SEARCH("engineer",B366)),"Engineer (Technical)",ISNUMBER(SEARCH("manager",B366)),"Manager",OR(ISNUMBER(SEARCH("teacher",B366)),ISNUMBER(SEARCH("trainer",B366)),ISNUMBER(SEARCH("faculty",B366))),"Teacher / Trainer",OR(ISNUMBER(SEARCH("doctor",B366)),ISNUMBER(SEARCH("nurse",B366)),ISNUMBER(SEARCH("medical",B366)),ISNUMBER(SEARCH("pharma",B366)),ISNUMBER(SEARCH("clinical",B366))),"Healthcare",TRUE,"Other")</f>
        <v/>
      </c>
      <c r="Q366" s="48">
        <f>IF(COUNTIFS($B$11:B366,B366,$C$11:C366,C366,$D$11:D366,D366,$L$11:L366,L366)&gt;1,"Duplicate","Unique")</f>
        <v/>
      </c>
    </row>
    <row r="367">
      <c r="A367" s="48">
        <f>Raw_Data!A358</f>
        <v/>
      </c>
      <c r="B367" s="48">
        <f>PROPER(TRIM(Raw_Data!B358))</f>
        <v/>
      </c>
      <c r="C367" s="48">
        <f>TRIM(Raw_Data!C358)</f>
        <v/>
      </c>
      <c r="D367" s="48">
        <f>IF(PROPER(TRIM(Raw_Data!D358))="Bangalore","Bengaluru",IF(PROPER(TRIM(Raw_Data!D358))="Gurgaon","Gurugram",IF(OR(PROPER(TRIM(Raw_Data!D358))="New Delhi",PROPER(TRIM(Raw_Data!D358))="Delhi"),"Delhi",PROPER(TRIM(Raw_Data!D358)))))</f>
        <v/>
      </c>
      <c r="E367" s="48">
        <f>Raw_Data!E358</f>
        <v/>
      </c>
      <c r="F367" s="48">
        <f>IF(TRIM(Raw_Data!F358&amp;"")="","Not Specified",Raw_Data!F358)</f>
        <v/>
      </c>
      <c r="G367" s="48">
        <f>Raw_Data!G358</f>
        <v/>
      </c>
      <c r="H367" s="48">
        <f>Raw_Data!H358</f>
        <v/>
      </c>
      <c r="I367" s="49">
        <f>IF(Raw_Data!I358="","",Raw_Data!I358)</f>
        <v/>
      </c>
      <c r="J367" s="49">
        <f>IF(Raw_Data!J358="","",Raw_Data!J358)</f>
        <v/>
      </c>
      <c r="K367" s="48">
        <f>IF(TRIM(Raw_Data!K358&amp;"")="","Not Specified",Raw_Data!K358)</f>
        <v/>
      </c>
      <c r="L367" s="56">
        <f>Raw_Data!L358</f>
        <v/>
      </c>
      <c r="M367" s="49">
        <f>IF(OR(I367="",J367=""),"",(I367+J367)/2)</f>
        <v/>
      </c>
      <c r="N367" s="49">
        <f>IF(OR(I367="",J367=""),"",J367-I367)</f>
        <v/>
      </c>
      <c r="O367" s="48">
        <f>TEXT(L367,"mmm-yyyy")</f>
        <v/>
      </c>
      <c r="P367" s="48">
        <f>_xlfn.IFS(ISNUMBER(SEARCH("data analy",B367)),"Data Analyst",ISNUMBER(SEARCH("business analy",B367)),"Business Analyst",OR(ISNUMBER(SEARCH("developer",B367)),ISNUMBER(SEARCH("software engineer",B367)),ISNUMBER(SEARCH("programmer",B367))),"Software Developer",ISNUMBER(SEARCH("business development",B367)),"Business Development",ISNUMBER(SEARCH("sales",B367)),"Sales Executive",ISNUMBER(SEARCH("marketing",B367)),"Marketing Executive",OR(ISNUMBER(SEARCH("hr ",B367)),ISNUMBER(SEARCH("recruit",B367)),ISNUMBER(SEARCH("human resource",B367))),"HR / Recruiter",OR(ISNUMBER(SEARCH("account",B367)),ISNUMBER(SEARCH("finance",B367)),ISNUMBER(SEARCH("tax",B367)),ISNUMBER(SEARCH("audit",B367))),"Accountant / Finance",OR(ISNUMBER(SEARCH("customer service",B367)),ISNUMBER(SEARCH("customer support",B367)),ISNUMBER(SEARCH("customer care",B367)),ISNUMBER(SEARCH("voice process",B367)),ISNUMBER(SEARCH("bpo",B367))),"Customer Support",ISNUMBER(SEARCH("engineer",B367)),"Engineer (Technical)",ISNUMBER(SEARCH("manager",B367)),"Manager",OR(ISNUMBER(SEARCH("teacher",B367)),ISNUMBER(SEARCH("trainer",B367)),ISNUMBER(SEARCH("faculty",B367))),"Teacher / Trainer",OR(ISNUMBER(SEARCH("doctor",B367)),ISNUMBER(SEARCH("nurse",B367)),ISNUMBER(SEARCH("medical",B367)),ISNUMBER(SEARCH("pharma",B367)),ISNUMBER(SEARCH("clinical",B367))),"Healthcare",TRUE,"Other")</f>
        <v/>
      </c>
      <c r="Q367" s="48">
        <f>IF(COUNTIFS($B$11:B367,B367,$C$11:C367,C367,$D$11:D367,D367,$L$11:L367,L367)&gt;1,"Duplicate","Unique")</f>
        <v/>
      </c>
    </row>
    <row r="368">
      <c r="A368" s="48">
        <f>Raw_Data!A359</f>
        <v/>
      </c>
      <c r="B368" s="48">
        <f>PROPER(TRIM(Raw_Data!B359))</f>
        <v/>
      </c>
      <c r="C368" s="48">
        <f>TRIM(Raw_Data!C359)</f>
        <v/>
      </c>
      <c r="D368" s="48">
        <f>IF(PROPER(TRIM(Raw_Data!D359))="Bangalore","Bengaluru",IF(PROPER(TRIM(Raw_Data!D359))="Gurgaon","Gurugram",IF(OR(PROPER(TRIM(Raw_Data!D359))="New Delhi",PROPER(TRIM(Raw_Data!D359))="Delhi"),"Delhi",PROPER(TRIM(Raw_Data!D359)))))</f>
        <v/>
      </c>
      <c r="E368" s="48">
        <f>Raw_Data!E359</f>
        <v/>
      </c>
      <c r="F368" s="48">
        <f>IF(TRIM(Raw_Data!F359&amp;"")="","Not Specified",Raw_Data!F359)</f>
        <v/>
      </c>
      <c r="G368" s="48">
        <f>Raw_Data!G359</f>
        <v/>
      </c>
      <c r="H368" s="48">
        <f>Raw_Data!H359</f>
        <v/>
      </c>
      <c r="I368" s="49">
        <f>IF(Raw_Data!I359="","",Raw_Data!I359)</f>
        <v/>
      </c>
      <c r="J368" s="49">
        <f>IF(Raw_Data!J359="","",Raw_Data!J359)</f>
        <v/>
      </c>
      <c r="K368" s="48">
        <f>IF(TRIM(Raw_Data!K359&amp;"")="","Not Specified",Raw_Data!K359)</f>
        <v/>
      </c>
      <c r="L368" s="56">
        <f>Raw_Data!L359</f>
        <v/>
      </c>
      <c r="M368" s="49">
        <f>IF(OR(I368="",J368=""),"",(I368+J368)/2)</f>
        <v/>
      </c>
      <c r="N368" s="49">
        <f>IF(OR(I368="",J368=""),"",J368-I368)</f>
        <v/>
      </c>
      <c r="O368" s="48">
        <f>TEXT(L368,"mmm-yyyy")</f>
        <v/>
      </c>
      <c r="P368" s="48">
        <f>_xlfn.IFS(ISNUMBER(SEARCH("data analy",B368)),"Data Analyst",ISNUMBER(SEARCH("business analy",B368)),"Business Analyst",OR(ISNUMBER(SEARCH("developer",B368)),ISNUMBER(SEARCH("software engineer",B368)),ISNUMBER(SEARCH("programmer",B368))),"Software Developer",ISNUMBER(SEARCH("business development",B368)),"Business Development",ISNUMBER(SEARCH("sales",B368)),"Sales Executive",ISNUMBER(SEARCH("marketing",B368)),"Marketing Executive",OR(ISNUMBER(SEARCH("hr ",B368)),ISNUMBER(SEARCH("recruit",B368)),ISNUMBER(SEARCH("human resource",B368))),"HR / Recruiter",OR(ISNUMBER(SEARCH("account",B368)),ISNUMBER(SEARCH("finance",B368)),ISNUMBER(SEARCH("tax",B368)),ISNUMBER(SEARCH("audit",B368))),"Accountant / Finance",OR(ISNUMBER(SEARCH("customer service",B368)),ISNUMBER(SEARCH("customer support",B368)),ISNUMBER(SEARCH("customer care",B368)),ISNUMBER(SEARCH("voice process",B368)),ISNUMBER(SEARCH("bpo",B368))),"Customer Support",ISNUMBER(SEARCH("engineer",B368)),"Engineer (Technical)",ISNUMBER(SEARCH("manager",B368)),"Manager",OR(ISNUMBER(SEARCH("teacher",B368)),ISNUMBER(SEARCH("trainer",B368)),ISNUMBER(SEARCH("faculty",B368))),"Teacher / Trainer",OR(ISNUMBER(SEARCH("doctor",B368)),ISNUMBER(SEARCH("nurse",B368)),ISNUMBER(SEARCH("medical",B368)),ISNUMBER(SEARCH("pharma",B368)),ISNUMBER(SEARCH("clinical",B368))),"Healthcare",TRUE,"Other")</f>
        <v/>
      </c>
      <c r="Q368" s="48">
        <f>IF(COUNTIFS($B$11:B368,B368,$C$11:C368,C368,$D$11:D368,D368,$L$11:L368,L368)&gt;1,"Duplicate","Unique")</f>
        <v/>
      </c>
    </row>
    <row r="369">
      <c r="A369" s="48">
        <f>Raw_Data!A360</f>
        <v/>
      </c>
      <c r="B369" s="48">
        <f>PROPER(TRIM(Raw_Data!B360))</f>
        <v/>
      </c>
      <c r="C369" s="48">
        <f>TRIM(Raw_Data!C360)</f>
        <v/>
      </c>
      <c r="D369" s="48">
        <f>IF(PROPER(TRIM(Raw_Data!D360))="Bangalore","Bengaluru",IF(PROPER(TRIM(Raw_Data!D360))="Gurgaon","Gurugram",IF(OR(PROPER(TRIM(Raw_Data!D360))="New Delhi",PROPER(TRIM(Raw_Data!D360))="Delhi"),"Delhi",PROPER(TRIM(Raw_Data!D360)))))</f>
        <v/>
      </c>
      <c r="E369" s="48">
        <f>Raw_Data!E360</f>
        <v/>
      </c>
      <c r="F369" s="48">
        <f>IF(TRIM(Raw_Data!F360&amp;"")="","Not Specified",Raw_Data!F360)</f>
        <v/>
      </c>
      <c r="G369" s="48">
        <f>Raw_Data!G360</f>
        <v/>
      </c>
      <c r="H369" s="48">
        <f>Raw_Data!H360</f>
        <v/>
      </c>
      <c r="I369" s="49">
        <f>IF(Raw_Data!I360="","",Raw_Data!I360)</f>
        <v/>
      </c>
      <c r="J369" s="49">
        <f>IF(Raw_Data!J360="","",Raw_Data!J360)</f>
        <v/>
      </c>
      <c r="K369" s="48">
        <f>IF(TRIM(Raw_Data!K360&amp;"")="","Not Specified",Raw_Data!K360)</f>
        <v/>
      </c>
      <c r="L369" s="56">
        <f>Raw_Data!L360</f>
        <v/>
      </c>
      <c r="M369" s="49">
        <f>IF(OR(I369="",J369=""),"",(I369+J369)/2)</f>
        <v/>
      </c>
      <c r="N369" s="49">
        <f>IF(OR(I369="",J369=""),"",J369-I369)</f>
        <v/>
      </c>
      <c r="O369" s="48">
        <f>TEXT(L369,"mmm-yyyy")</f>
        <v/>
      </c>
      <c r="P369" s="48">
        <f>_xlfn.IFS(ISNUMBER(SEARCH("data analy",B369)),"Data Analyst",ISNUMBER(SEARCH("business analy",B369)),"Business Analyst",OR(ISNUMBER(SEARCH("developer",B369)),ISNUMBER(SEARCH("software engineer",B369)),ISNUMBER(SEARCH("programmer",B369))),"Software Developer",ISNUMBER(SEARCH("business development",B369)),"Business Development",ISNUMBER(SEARCH("sales",B369)),"Sales Executive",ISNUMBER(SEARCH("marketing",B369)),"Marketing Executive",OR(ISNUMBER(SEARCH("hr ",B369)),ISNUMBER(SEARCH("recruit",B369)),ISNUMBER(SEARCH("human resource",B369))),"HR / Recruiter",OR(ISNUMBER(SEARCH("account",B369)),ISNUMBER(SEARCH("finance",B369)),ISNUMBER(SEARCH("tax",B369)),ISNUMBER(SEARCH("audit",B369))),"Accountant / Finance",OR(ISNUMBER(SEARCH("customer service",B369)),ISNUMBER(SEARCH("customer support",B369)),ISNUMBER(SEARCH("customer care",B369)),ISNUMBER(SEARCH("voice process",B369)),ISNUMBER(SEARCH("bpo",B369))),"Customer Support",ISNUMBER(SEARCH("engineer",B369)),"Engineer (Technical)",ISNUMBER(SEARCH("manager",B369)),"Manager",OR(ISNUMBER(SEARCH("teacher",B369)),ISNUMBER(SEARCH("trainer",B369)),ISNUMBER(SEARCH("faculty",B369))),"Teacher / Trainer",OR(ISNUMBER(SEARCH("doctor",B369)),ISNUMBER(SEARCH("nurse",B369)),ISNUMBER(SEARCH("medical",B369)),ISNUMBER(SEARCH("pharma",B369)),ISNUMBER(SEARCH("clinical",B369))),"Healthcare",TRUE,"Other")</f>
        <v/>
      </c>
      <c r="Q369" s="48">
        <f>IF(COUNTIFS($B$11:B369,B369,$C$11:C369,C369,$D$11:D369,D369,$L$11:L369,L369)&gt;1,"Duplicate","Unique")</f>
        <v/>
      </c>
    </row>
    <row r="370">
      <c r="A370" s="48">
        <f>Raw_Data!A361</f>
        <v/>
      </c>
      <c r="B370" s="48">
        <f>PROPER(TRIM(Raw_Data!B361))</f>
        <v/>
      </c>
      <c r="C370" s="48">
        <f>TRIM(Raw_Data!C361)</f>
        <v/>
      </c>
      <c r="D370" s="48">
        <f>IF(PROPER(TRIM(Raw_Data!D361))="Bangalore","Bengaluru",IF(PROPER(TRIM(Raw_Data!D361))="Gurgaon","Gurugram",IF(OR(PROPER(TRIM(Raw_Data!D361))="New Delhi",PROPER(TRIM(Raw_Data!D361))="Delhi"),"Delhi",PROPER(TRIM(Raw_Data!D361)))))</f>
        <v/>
      </c>
      <c r="E370" s="48">
        <f>Raw_Data!E361</f>
        <v/>
      </c>
      <c r="F370" s="48">
        <f>IF(TRIM(Raw_Data!F361&amp;"")="","Not Specified",Raw_Data!F361)</f>
        <v/>
      </c>
      <c r="G370" s="48">
        <f>Raw_Data!G361</f>
        <v/>
      </c>
      <c r="H370" s="48">
        <f>Raw_Data!H361</f>
        <v/>
      </c>
      <c r="I370" s="49">
        <f>IF(Raw_Data!I361="","",Raw_Data!I361)</f>
        <v/>
      </c>
      <c r="J370" s="49">
        <f>IF(Raw_Data!J361="","",Raw_Data!J361)</f>
        <v/>
      </c>
      <c r="K370" s="48">
        <f>IF(TRIM(Raw_Data!K361&amp;"")="","Not Specified",Raw_Data!K361)</f>
        <v/>
      </c>
      <c r="L370" s="56">
        <f>Raw_Data!L361</f>
        <v/>
      </c>
      <c r="M370" s="49">
        <f>IF(OR(I370="",J370=""),"",(I370+J370)/2)</f>
        <v/>
      </c>
      <c r="N370" s="49">
        <f>IF(OR(I370="",J370=""),"",J370-I370)</f>
        <v/>
      </c>
      <c r="O370" s="48">
        <f>TEXT(L370,"mmm-yyyy")</f>
        <v/>
      </c>
      <c r="P370" s="48">
        <f>_xlfn.IFS(ISNUMBER(SEARCH("data analy",B370)),"Data Analyst",ISNUMBER(SEARCH("business analy",B370)),"Business Analyst",OR(ISNUMBER(SEARCH("developer",B370)),ISNUMBER(SEARCH("software engineer",B370)),ISNUMBER(SEARCH("programmer",B370))),"Software Developer",ISNUMBER(SEARCH("business development",B370)),"Business Development",ISNUMBER(SEARCH("sales",B370)),"Sales Executive",ISNUMBER(SEARCH("marketing",B370)),"Marketing Executive",OR(ISNUMBER(SEARCH("hr ",B370)),ISNUMBER(SEARCH("recruit",B370)),ISNUMBER(SEARCH("human resource",B370))),"HR / Recruiter",OR(ISNUMBER(SEARCH("account",B370)),ISNUMBER(SEARCH("finance",B370)),ISNUMBER(SEARCH("tax",B370)),ISNUMBER(SEARCH("audit",B370))),"Accountant / Finance",OR(ISNUMBER(SEARCH("customer service",B370)),ISNUMBER(SEARCH("customer support",B370)),ISNUMBER(SEARCH("customer care",B370)),ISNUMBER(SEARCH("voice process",B370)),ISNUMBER(SEARCH("bpo",B370))),"Customer Support",ISNUMBER(SEARCH("engineer",B370)),"Engineer (Technical)",ISNUMBER(SEARCH("manager",B370)),"Manager",OR(ISNUMBER(SEARCH("teacher",B370)),ISNUMBER(SEARCH("trainer",B370)),ISNUMBER(SEARCH("faculty",B370))),"Teacher / Trainer",OR(ISNUMBER(SEARCH("doctor",B370)),ISNUMBER(SEARCH("nurse",B370)),ISNUMBER(SEARCH("medical",B370)),ISNUMBER(SEARCH("pharma",B370)),ISNUMBER(SEARCH("clinical",B370))),"Healthcare",TRUE,"Other")</f>
        <v/>
      </c>
      <c r="Q370" s="48">
        <f>IF(COUNTIFS($B$11:B370,B370,$C$11:C370,C370,$D$11:D370,D370,$L$11:L370,L370)&gt;1,"Duplicate","Unique")</f>
        <v/>
      </c>
    </row>
    <row r="371">
      <c r="A371" s="48">
        <f>Raw_Data!A362</f>
        <v/>
      </c>
      <c r="B371" s="48">
        <f>PROPER(TRIM(Raw_Data!B362))</f>
        <v/>
      </c>
      <c r="C371" s="48">
        <f>TRIM(Raw_Data!C362)</f>
        <v/>
      </c>
      <c r="D371" s="48">
        <f>IF(PROPER(TRIM(Raw_Data!D362))="Bangalore","Bengaluru",IF(PROPER(TRIM(Raw_Data!D362))="Gurgaon","Gurugram",IF(OR(PROPER(TRIM(Raw_Data!D362))="New Delhi",PROPER(TRIM(Raw_Data!D362))="Delhi"),"Delhi",PROPER(TRIM(Raw_Data!D362)))))</f>
        <v/>
      </c>
      <c r="E371" s="48">
        <f>Raw_Data!E362</f>
        <v/>
      </c>
      <c r="F371" s="48">
        <f>IF(TRIM(Raw_Data!F362&amp;"")="","Not Specified",Raw_Data!F362)</f>
        <v/>
      </c>
      <c r="G371" s="48">
        <f>Raw_Data!G362</f>
        <v/>
      </c>
      <c r="H371" s="48">
        <f>Raw_Data!H362</f>
        <v/>
      </c>
      <c r="I371" s="49">
        <f>IF(Raw_Data!I362="","",Raw_Data!I362)</f>
        <v/>
      </c>
      <c r="J371" s="49">
        <f>IF(Raw_Data!J362="","",Raw_Data!J362)</f>
        <v/>
      </c>
      <c r="K371" s="48">
        <f>IF(TRIM(Raw_Data!K362&amp;"")="","Not Specified",Raw_Data!K362)</f>
        <v/>
      </c>
      <c r="L371" s="56">
        <f>Raw_Data!L362</f>
        <v/>
      </c>
      <c r="M371" s="49">
        <f>IF(OR(I371="",J371=""),"",(I371+J371)/2)</f>
        <v/>
      </c>
      <c r="N371" s="49">
        <f>IF(OR(I371="",J371=""),"",J371-I371)</f>
        <v/>
      </c>
      <c r="O371" s="48">
        <f>TEXT(L371,"mmm-yyyy")</f>
        <v/>
      </c>
      <c r="P371" s="48">
        <f>_xlfn.IFS(ISNUMBER(SEARCH("data analy",B371)),"Data Analyst",ISNUMBER(SEARCH("business analy",B371)),"Business Analyst",OR(ISNUMBER(SEARCH("developer",B371)),ISNUMBER(SEARCH("software engineer",B371)),ISNUMBER(SEARCH("programmer",B371))),"Software Developer",ISNUMBER(SEARCH("business development",B371)),"Business Development",ISNUMBER(SEARCH("sales",B371)),"Sales Executive",ISNUMBER(SEARCH("marketing",B371)),"Marketing Executive",OR(ISNUMBER(SEARCH("hr ",B371)),ISNUMBER(SEARCH("recruit",B371)),ISNUMBER(SEARCH("human resource",B371))),"HR / Recruiter",OR(ISNUMBER(SEARCH("account",B371)),ISNUMBER(SEARCH("finance",B371)),ISNUMBER(SEARCH("tax",B371)),ISNUMBER(SEARCH("audit",B371))),"Accountant / Finance",OR(ISNUMBER(SEARCH("customer service",B371)),ISNUMBER(SEARCH("customer support",B371)),ISNUMBER(SEARCH("customer care",B371)),ISNUMBER(SEARCH("voice process",B371)),ISNUMBER(SEARCH("bpo",B371))),"Customer Support",ISNUMBER(SEARCH("engineer",B371)),"Engineer (Technical)",ISNUMBER(SEARCH("manager",B371)),"Manager",OR(ISNUMBER(SEARCH("teacher",B371)),ISNUMBER(SEARCH("trainer",B371)),ISNUMBER(SEARCH("faculty",B371))),"Teacher / Trainer",OR(ISNUMBER(SEARCH("doctor",B371)),ISNUMBER(SEARCH("nurse",B371)),ISNUMBER(SEARCH("medical",B371)),ISNUMBER(SEARCH("pharma",B371)),ISNUMBER(SEARCH("clinical",B371))),"Healthcare",TRUE,"Other")</f>
        <v/>
      </c>
      <c r="Q371" s="48">
        <f>IF(COUNTIFS($B$11:B371,B371,$C$11:C371,C371,$D$11:D371,D371,$L$11:L371,L371)&gt;1,"Duplicate","Unique")</f>
        <v/>
      </c>
    </row>
    <row r="372">
      <c r="A372" s="48">
        <f>Raw_Data!A363</f>
        <v/>
      </c>
      <c r="B372" s="48">
        <f>PROPER(TRIM(Raw_Data!B363))</f>
        <v/>
      </c>
      <c r="C372" s="48">
        <f>TRIM(Raw_Data!C363)</f>
        <v/>
      </c>
      <c r="D372" s="48">
        <f>IF(PROPER(TRIM(Raw_Data!D363))="Bangalore","Bengaluru",IF(PROPER(TRIM(Raw_Data!D363))="Gurgaon","Gurugram",IF(OR(PROPER(TRIM(Raw_Data!D363))="New Delhi",PROPER(TRIM(Raw_Data!D363))="Delhi"),"Delhi",PROPER(TRIM(Raw_Data!D363)))))</f>
        <v/>
      </c>
      <c r="E372" s="48">
        <f>Raw_Data!E363</f>
        <v/>
      </c>
      <c r="F372" s="48">
        <f>IF(TRIM(Raw_Data!F363&amp;"")="","Not Specified",Raw_Data!F363)</f>
        <v/>
      </c>
      <c r="G372" s="48">
        <f>Raw_Data!G363</f>
        <v/>
      </c>
      <c r="H372" s="48">
        <f>Raw_Data!H363</f>
        <v/>
      </c>
      <c r="I372" s="49">
        <f>IF(Raw_Data!I363="","",Raw_Data!I363)</f>
        <v/>
      </c>
      <c r="J372" s="49">
        <f>IF(Raw_Data!J363="","",Raw_Data!J363)</f>
        <v/>
      </c>
      <c r="K372" s="48">
        <f>IF(TRIM(Raw_Data!K363&amp;"")="","Not Specified",Raw_Data!K363)</f>
        <v/>
      </c>
      <c r="L372" s="56">
        <f>Raw_Data!L363</f>
        <v/>
      </c>
      <c r="M372" s="49">
        <f>IF(OR(I372="",J372=""),"",(I372+J372)/2)</f>
        <v/>
      </c>
      <c r="N372" s="49">
        <f>IF(OR(I372="",J372=""),"",J372-I372)</f>
        <v/>
      </c>
      <c r="O372" s="48">
        <f>TEXT(L372,"mmm-yyyy")</f>
        <v/>
      </c>
      <c r="P372" s="48">
        <f>_xlfn.IFS(ISNUMBER(SEARCH("data analy",B372)),"Data Analyst",ISNUMBER(SEARCH("business analy",B372)),"Business Analyst",OR(ISNUMBER(SEARCH("developer",B372)),ISNUMBER(SEARCH("software engineer",B372)),ISNUMBER(SEARCH("programmer",B372))),"Software Developer",ISNUMBER(SEARCH("business development",B372)),"Business Development",ISNUMBER(SEARCH("sales",B372)),"Sales Executive",ISNUMBER(SEARCH("marketing",B372)),"Marketing Executive",OR(ISNUMBER(SEARCH("hr ",B372)),ISNUMBER(SEARCH("recruit",B372)),ISNUMBER(SEARCH("human resource",B372))),"HR / Recruiter",OR(ISNUMBER(SEARCH("account",B372)),ISNUMBER(SEARCH("finance",B372)),ISNUMBER(SEARCH("tax",B372)),ISNUMBER(SEARCH("audit",B372))),"Accountant / Finance",OR(ISNUMBER(SEARCH("customer service",B372)),ISNUMBER(SEARCH("customer support",B372)),ISNUMBER(SEARCH("customer care",B372)),ISNUMBER(SEARCH("voice process",B372)),ISNUMBER(SEARCH("bpo",B372))),"Customer Support",ISNUMBER(SEARCH("engineer",B372)),"Engineer (Technical)",ISNUMBER(SEARCH("manager",B372)),"Manager",OR(ISNUMBER(SEARCH("teacher",B372)),ISNUMBER(SEARCH("trainer",B372)),ISNUMBER(SEARCH("faculty",B372))),"Teacher / Trainer",OR(ISNUMBER(SEARCH("doctor",B372)),ISNUMBER(SEARCH("nurse",B372)),ISNUMBER(SEARCH("medical",B372)),ISNUMBER(SEARCH("pharma",B372)),ISNUMBER(SEARCH("clinical",B372))),"Healthcare",TRUE,"Other")</f>
        <v/>
      </c>
      <c r="Q372" s="48">
        <f>IF(COUNTIFS($B$11:B372,B372,$C$11:C372,C372,$D$11:D372,D372,$L$11:L372,L372)&gt;1,"Duplicate","Unique")</f>
        <v/>
      </c>
    </row>
    <row r="373">
      <c r="A373" s="48">
        <f>Raw_Data!A364</f>
        <v/>
      </c>
      <c r="B373" s="48">
        <f>PROPER(TRIM(Raw_Data!B364))</f>
        <v/>
      </c>
      <c r="C373" s="48">
        <f>TRIM(Raw_Data!C364)</f>
        <v/>
      </c>
      <c r="D373" s="48">
        <f>IF(PROPER(TRIM(Raw_Data!D364))="Bangalore","Bengaluru",IF(PROPER(TRIM(Raw_Data!D364))="Gurgaon","Gurugram",IF(OR(PROPER(TRIM(Raw_Data!D364))="New Delhi",PROPER(TRIM(Raw_Data!D364))="Delhi"),"Delhi",PROPER(TRIM(Raw_Data!D364)))))</f>
        <v/>
      </c>
      <c r="E373" s="48">
        <f>Raw_Data!E364</f>
        <v/>
      </c>
      <c r="F373" s="48">
        <f>IF(TRIM(Raw_Data!F364&amp;"")="","Not Specified",Raw_Data!F364)</f>
        <v/>
      </c>
      <c r="G373" s="48">
        <f>Raw_Data!G364</f>
        <v/>
      </c>
      <c r="H373" s="48">
        <f>Raw_Data!H364</f>
        <v/>
      </c>
      <c r="I373" s="49">
        <f>IF(Raw_Data!I364="","",Raw_Data!I364)</f>
        <v/>
      </c>
      <c r="J373" s="49">
        <f>IF(Raw_Data!J364="","",Raw_Data!J364)</f>
        <v/>
      </c>
      <c r="K373" s="48">
        <f>IF(TRIM(Raw_Data!K364&amp;"")="","Not Specified",Raw_Data!K364)</f>
        <v/>
      </c>
      <c r="L373" s="56">
        <f>Raw_Data!L364</f>
        <v/>
      </c>
      <c r="M373" s="49">
        <f>IF(OR(I373="",J373=""),"",(I373+J373)/2)</f>
        <v/>
      </c>
      <c r="N373" s="49">
        <f>IF(OR(I373="",J373=""),"",J373-I373)</f>
        <v/>
      </c>
      <c r="O373" s="48">
        <f>TEXT(L373,"mmm-yyyy")</f>
        <v/>
      </c>
      <c r="P373" s="48">
        <f>_xlfn.IFS(ISNUMBER(SEARCH("data analy",B373)),"Data Analyst",ISNUMBER(SEARCH("business analy",B373)),"Business Analyst",OR(ISNUMBER(SEARCH("developer",B373)),ISNUMBER(SEARCH("software engineer",B373)),ISNUMBER(SEARCH("programmer",B373))),"Software Developer",ISNUMBER(SEARCH("business development",B373)),"Business Development",ISNUMBER(SEARCH("sales",B373)),"Sales Executive",ISNUMBER(SEARCH("marketing",B373)),"Marketing Executive",OR(ISNUMBER(SEARCH("hr ",B373)),ISNUMBER(SEARCH("recruit",B373)),ISNUMBER(SEARCH("human resource",B373))),"HR / Recruiter",OR(ISNUMBER(SEARCH("account",B373)),ISNUMBER(SEARCH("finance",B373)),ISNUMBER(SEARCH("tax",B373)),ISNUMBER(SEARCH("audit",B373))),"Accountant / Finance",OR(ISNUMBER(SEARCH("customer service",B373)),ISNUMBER(SEARCH("customer support",B373)),ISNUMBER(SEARCH("customer care",B373)),ISNUMBER(SEARCH("voice process",B373)),ISNUMBER(SEARCH("bpo",B373))),"Customer Support",ISNUMBER(SEARCH("engineer",B373)),"Engineer (Technical)",ISNUMBER(SEARCH("manager",B373)),"Manager",OR(ISNUMBER(SEARCH("teacher",B373)),ISNUMBER(SEARCH("trainer",B373)),ISNUMBER(SEARCH("faculty",B373))),"Teacher / Trainer",OR(ISNUMBER(SEARCH("doctor",B373)),ISNUMBER(SEARCH("nurse",B373)),ISNUMBER(SEARCH("medical",B373)),ISNUMBER(SEARCH("pharma",B373)),ISNUMBER(SEARCH("clinical",B373))),"Healthcare",TRUE,"Other")</f>
        <v/>
      </c>
      <c r="Q373" s="48">
        <f>IF(COUNTIFS($B$11:B373,B373,$C$11:C373,C373,$D$11:D373,D373,$L$11:L373,L373)&gt;1,"Duplicate","Unique")</f>
        <v/>
      </c>
    </row>
    <row r="374">
      <c r="A374" s="48">
        <f>Raw_Data!A365</f>
        <v/>
      </c>
      <c r="B374" s="48">
        <f>PROPER(TRIM(Raw_Data!B365))</f>
        <v/>
      </c>
      <c r="C374" s="48">
        <f>TRIM(Raw_Data!C365)</f>
        <v/>
      </c>
      <c r="D374" s="48">
        <f>IF(PROPER(TRIM(Raw_Data!D365))="Bangalore","Bengaluru",IF(PROPER(TRIM(Raw_Data!D365))="Gurgaon","Gurugram",IF(OR(PROPER(TRIM(Raw_Data!D365))="New Delhi",PROPER(TRIM(Raw_Data!D365))="Delhi"),"Delhi",PROPER(TRIM(Raw_Data!D365)))))</f>
        <v/>
      </c>
      <c r="E374" s="48">
        <f>Raw_Data!E365</f>
        <v/>
      </c>
      <c r="F374" s="48">
        <f>IF(TRIM(Raw_Data!F365&amp;"")="","Not Specified",Raw_Data!F365)</f>
        <v/>
      </c>
      <c r="G374" s="48">
        <f>Raw_Data!G365</f>
        <v/>
      </c>
      <c r="H374" s="48">
        <f>Raw_Data!H365</f>
        <v/>
      </c>
      <c r="I374" s="49">
        <f>IF(Raw_Data!I365="","",Raw_Data!I365)</f>
        <v/>
      </c>
      <c r="J374" s="49">
        <f>IF(Raw_Data!J365="","",Raw_Data!J365)</f>
        <v/>
      </c>
      <c r="K374" s="48">
        <f>IF(TRIM(Raw_Data!K365&amp;"")="","Not Specified",Raw_Data!K365)</f>
        <v/>
      </c>
      <c r="L374" s="56">
        <f>Raw_Data!L365</f>
        <v/>
      </c>
      <c r="M374" s="49">
        <f>IF(OR(I374="",J374=""),"",(I374+J374)/2)</f>
        <v/>
      </c>
      <c r="N374" s="49">
        <f>IF(OR(I374="",J374=""),"",J374-I374)</f>
        <v/>
      </c>
      <c r="O374" s="48">
        <f>TEXT(L374,"mmm-yyyy")</f>
        <v/>
      </c>
      <c r="P374" s="48">
        <f>_xlfn.IFS(ISNUMBER(SEARCH("data analy",B374)),"Data Analyst",ISNUMBER(SEARCH("business analy",B374)),"Business Analyst",OR(ISNUMBER(SEARCH("developer",B374)),ISNUMBER(SEARCH("software engineer",B374)),ISNUMBER(SEARCH("programmer",B374))),"Software Developer",ISNUMBER(SEARCH("business development",B374)),"Business Development",ISNUMBER(SEARCH("sales",B374)),"Sales Executive",ISNUMBER(SEARCH("marketing",B374)),"Marketing Executive",OR(ISNUMBER(SEARCH("hr ",B374)),ISNUMBER(SEARCH("recruit",B374)),ISNUMBER(SEARCH("human resource",B374))),"HR / Recruiter",OR(ISNUMBER(SEARCH("account",B374)),ISNUMBER(SEARCH("finance",B374)),ISNUMBER(SEARCH("tax",B374)),ISNUMBER(SEARCH("audit",B374))),"Accountant / Finance",OR(ISNUMBER(SEARCH("customer service",B374)),ISNUMBER(SEARCH("customer support",B374)),ISNUMBER(SEARCH("customer care",B374)),ISNUMBER(SEARCH("voice process",B374)),ISNUMBER(SEARCH("bpo",B374))),"Customer Support",ISNUMBER(SEARCH("engineer",B374)),"Engineer (Technical)",ISNUMBER(SEARCH("manager",B374)),"Manager",OR(ISNUMBER(SEARCH("teacher",B374)),ISNUMBER(SEARCH("trainer",B374)),ISNUMBER(SEARCH("faculty",B374))),"Teacher / Trainer",OR(ISNUMBER(SEARCH("doctor",B374)),ISNUMBER(SEARCH("nurse",B374)),ISNUMBER(SEARCH("medical",B374)),ISNUMBER(SEARCH("pharma",B374)),ISNUMBER(SEARCH("clinical",B374))),"Healthcare",TRUE,"Other")</f>
        <v/>
      </c>
      <c r="Q374" s="48">
        <f>IF(COUNTIFS($B$11:B374,B374,$C$11:C374,C374,$D$11:D374,D374,$L$11:L374,L374)&gt;1,"Duplicate","Unique")</f>
        <v/>
      </c>
    </row>
    <row r="375">
      <c r="A375" s="48">
        <f>Raw_Data!A366</f>
        <v/>
      </c>
      <c r="B375" s="48">
        <f>PROPER(TRIM(Raw_Data!B366))</f>
        <v/>
      </c>
      <c r="C375" s="48">
        <f>TRIM(Raw_Data!C366)</f>
        <v/>
      </c>
      <c r="D375" s="48">
        <f>IF(PROPER(TRIM(Raw_Data!D366))="Bangalore","Bengaluru",IF(PROPER(TRIM(Raw_Data!D366))="Gurgaon","Gurugram",IF(OR(PROPER(TRIM(Raw_Data!D366))="New Delhi",PROPER(TRIM(Raw_Data!D366))="Delhi"),"Delhi",PROPER(TRIM(Raw_Data!D366)))))</f>
        <v/>
      </c>
      <c r="E375" s="48">
        <f>Raw_Data!E366</f>
        <v/>
      </c>
      <c r="F375" s="48">
        <f>IF(TRIM(Raw_Data!F366&amp;"")="","Not Specified",Raw_Data!F366)</f>
        <v/>
      </c>
      <c r="G375" s="48">
        <f>Raw_Data!G366</f>
        <v/>
      </c>
      <c r="H375" s="48">
        <f>Raw_Data!H366</f>
        <v/>
      </c>
      <c r="I375" s="49">
        <f>IF(Raw_Data!I366="","",Raw_Data!I366)</f>
        <v/>
      </c>
      <c r="J375" s="49">
        <f>IF(Raw_Data!J366="","",Raw_Data!J366)</f>
        <v/>
      </c>
      <c r="K375" s="48">
        <f>IF(TRIM(Raw_Data!K366&amp;"")="","Not Specified",Raw_Data!K366)</f>
        <v/>
      </c>
      <c r="L375" s="56">
        <f>Raw_Data!L366</f>
        <v/>
      </c>
      <c r="M375" s="49">
        <f>IF(OR(I375="",J375=""),"",(I375+J375)/2)</f>
        <v/>
      </c>
      <c r="N375" s="49">
        <f>IF(OR(I375="",J375=""),"",J375-I375)</f>
        <v/>
      </c>
      <c r="O375" s="48">
        <f>TEXT(L375,"mmm-yyyy")</f>
        <v/>
      </c>
      <c r="P375" s="48">
        <f>_xlfn.IFS(ISNUMBER(SEARCH("data analy",B375)),"Data Analyst",ISNUMBER(SEARCH("business analy",B375)),"Business Analyst",OR(ISNUMBER(SEARCH("developer",B375)),ISNUMBER(SEARCH("software engineer",B375)),ISNUMBER(SEARCH("programmer",B375))),"Software Developer",ISNUMBER(SEARCH("business development",B375)),"Business Development",ISNUMBER(SEARCH("sales",B375)),"Sales Executive",ISNUMBER(SEARCH("marketing",B375)),"Marketing Executive",OR(ISNUMBER(SEARCH("hr ",B375)),ISNUMBER(SEARCH("recruit",B375)),ISNUMBER(SEARCH("human resource",B375))),"HR / Recruiter",OR(ISNUMBER(SEARCH("account",B375)),ISNUMBER(SEARCH("finance",B375)),ISNUMBER(SEARCH("tax",B375)),ISNUMBER(SEARCH("audit",B375))),"Accountant / Finance",OR(ISNUMBER(SEARCH("customer service",B375)),ISNUMBER(SEARCH("customer support",B375)),ISNUMBER(SEARCH("customer care",B375)),ISNUMBER(SEARCH("voice process",B375)),ISNUMBER(SEARCH("bpo",B375))),"Customer Support",ISNUMBER(SEARCH("engineer",B375)),"Engineer (Technical)",ISNUMBER(SEARCH("manager",B375)),"Manager",OR(ISNUMBER(SEARCH("teacher",B375)),ISNUMBER(SEARCH("trainer",B375)),ISNUMBER(SEARCH("faculty",B375))),"Teacher / Trainer",OR(ISNUMBER(SEARCH("doctor",B375)),ISNUMBER(SEARCH("nurse",B375)),ISNUMBER(SEARCH("medical",B375)),ISNUMBER(SEARCH("pharma",B375)),ISNUMBER(SEARCH("clinical",B375))),"Healthcare",TRUE,"Other")</f>
        <v/>
      </c>
      <c r="Q375" s="48">
        <f>IF(COUNTIFS($B$11:B375,B375,$C$11:C375,C375,$D$11:D375,D375,$L$11:L375,L375)&gt;1,"Duplicate","Unique")</f>
        <v/>
      </c>
    </row>
    <row r="376">
      <c r="A376" s="48">
        <f>Raw_Data!A367</f>
        <v/>
      </c>
      <c r="B376" s="48">
        <f>PROPER(TRIM(Raw_Data!B367))</f>
        <v/>
      </c>
      <c r="C376" s="48">
        <f>TRIM(Raw_Data!C367)</f>
        <v/>
      </c>
      <c r="D376" s="48">
        <f>IF(PROPER(TRIM(Raw_Data!D367))="Bangalore","Bengaluru",IF(PROPER(TRIM(Raw_Data!D367))="Gurgaon","Gurugram",IF(OR(PROPER(TRIM(Raw_Data!D367))="New Delhi",PROPER(TRIM(Raw_Data!D367))="Delhi"),"Delhi",PROPER(TRIM(Raw_Data!D367)))))</f>
        <v/>
      </c>
      <c r="E376" s="48">
        <f>Raw_Data!E367</f>
        <v/>
      </c>
      <c r="F376" s="48">
        <f>IF(TRIM(Raw_Data!F367&amp;"")="","Not Specified",Raw_Data!F367)</f>
        <v/>
      </c>
      <c r="G376" s="48">
        <f>Raw_Data!G367</f>
        <v/>
      </c>
      <c r="H376" s="48">
        <f>Raw_Data!H367</f>
        <v/>
      </c>
      <c r="I376" s="49">
        <f>IF(Raw_Data!I367="","",Raw_Data!I367)</f>
        <v/>
      </c>
      <c r="J376" s="49">
        <f>IF(Raw_Data!J367="","",Raw_Data!J367)</f>
        <v/>
      </c>
      <c r="K376" s="48">
        <f>IF(TRIM(Raw_Data!K367&amp;"")="","Not Specified",Raw_Data!K367)</f>
        <v/>
      </c>
      <c r="L376" s="56">
        <f>Raw_Data!L367</f>
        <v/>
      </c>
      <c r="M376" s="49">
        <f>IF(OR(I376="",J376=""),"",(I376+J376)/2)</f>
        <v/>
      </c>
      <c r="N376" s="49">
        <f>IF(OR(I376="",J376=""),"",J376-I376)</f>
        <v/>
      </c>
      <c r="O376" s="48">
        <f>TEXT(L376,"mmm-yyyy")</f>
        <v/>
      </c>
      <c r="P376" s="48">
        <f>_xlfn.IFS(ISNUMBER(SEARCH("data analy",B376)),"Data Analyst",ISNUMBER(SEARCH("business analy",B376)),"Business Analyst",OR(ISNUMBER(SEARCH("developer",B376)),ISNUMBER(SEARCH("software engineer",B376)),ISNUMBER(SEARCH("programmer",B376))),"Software Developer",ISNUMBER(SEARCH("business development",B376)),"Business Development",ISNUMBER(SEARCH("sales",B376)),"Sales Executive",ISNUMBER(SEARCH("marketing",B376)),"Marketing Executive",OR(ISNUMBER(SEARCH("hr ",B376)),ISNUMBER(SEARCH("recruit",B376)),ISNUMBER(SEARCH("human resource",B376))),"HR / Recruiter",OR(ISNUMBER(SEARCH("account",B376)),ISNUMBER(SEARCH("finance",B376)),ISNUMBER(SEARCH("tax",B376)),ISNUMBER(SEARCH("audit",B376))),"Accountant / Finance",OR(ISNUMBER(SEARCH("customer service",B376)),ISNUMBER(SEARCH("customer support",B376)),ISNUMBER(SEARCH("customer care",B376)),ISNUMBER(SEARCH("voice process",B376)),ISNUMBER(SEARCH("bpo",B376))),"Customer Support",ISNUMBER(SEARCH("engineer",B376)),"Engineer (Technical)",ISNUMBER(SEARCH("manager",B376)),"Manager",OR(ISNUMBER(SEARCH("teacher",B376)),ISNUMBER(SEARCH("trainer",B376)),ISNUMBER(SEARCH("faculty",B376))),"Teacher / Trainer",OR(ISNUMBER(SEARCH("doctor",B376)),ISNUMBER(SEARCH("nurse",B376)),ISNUMBER(SEARCH("medical",B376)),ISNUMBER(SEARCH("pharma",B376)),ISNUMBER(SEARCH("clinical",B376))),"Healthcare",TRUE,"Other")</f>
        <v/>
      </c>
      <c r="Q376" s="48">
        <f>IF(COUNTIFS($B$11:B376,B376,$C$11:C376,C376,$D$11:D376,D376,$L$11:L376,L376)&gt;1,"Duplicate","Unique")</f>
        <v/>
      </c>
    </row>
    <row r="377">
      <c r="A377" s="48">
        <f>Raw_Data!A368</f>
        <v/>
      </c>
      <c r="B377" s="48">
        <f>PROPER(TRIM(Raw_Data!B368))</f>
        <v/>
      </c>
      <c r="C377" s="48">
        <f>TRIM(Raw_Data!C368)</f>
        <v/>
      </c>
      <c r="D377" s="48">
        <f>IF(PROPER(TRIM(Raw_Data!D368))="Bangalore","Bengaluru",IF(PROPER(TRIM(Raw_Data!D368))="Gurgaon","Gurugram",IF(OR(PROPER(TRIM(Raw_Data!D368))="New Delhi",PROPER(TRIM(Raw_Data!D368))="Delhi"),"Delhi",PROPER(TRIM(Raw_Data!D368)))))</f>
        <v/>
      </c>
      <c r="E377" s="48">
        <f>Raw_Data!E368</f>
        <v/>
      </c>
      <c r="F377" s="48">
        <f>IF(TRIM(Raw_Data!F368&amp;"")="","Not Specified",Raw_Data!F368)</f>
        <v/>
      </c>
      <c r="G377" s="48">
        <f>Raw_Data!G368</f>
        <v/>
      </c>
      <c r="H377" s="48">
        <f>Raw_Data!H368</f>
        <v/>
      </c>
      <c r="I377" s="49">
        <f>IF(Raw_Data!I368="","",Raw_Data!I368)</f>
        <v/>
      </c>
      <c r="J377" s="49">
        <f>IF(Raw_Data!J368="","",Raw_Data!J368)</f>
        <v/>
      </c>
      <c r="K377" s="48">
        <f>IF(TRIM(Raw_Data!K368&amp;"")="","Not Specified",Raw_Data!K368)</f>
        <v/>
      </c>
      <c r="L377" s="56">
        <f>Raw_Data!L368</f>
        <v/>
      </c>
      <c r="M377" s="49">
        <f>IF(OR(I377="",J377=""),"",(I377+J377)/2)</f>
        <v/>
      </c>
      <c r="N377" s="49">
        <f>IF(OR(I377="",J377=""),"",J377-I377)</f>
        <v/>
      </c>
      <c r="O377" s="48">
        <f>TEXT(L377,"mmm-yyyy")</f>
        <v/>
      </c>
      <c r="P377" s="48">
        <f>_xlfn.IFS(ISNUMBER(SEARCH("data analy",B377)),"Data Analyst",ISNUMBER(SEARCH("business analy",B377)),"Business Analyst",OR(ISNUMBER(SEARCH("developer",B377)),ISNUMBER(SEARCH("software engineer",B377)),ISNUMBER(SEARCH("programmer",B377))),"Software Developer",ISNUMBER(SEARCH("business development",B377)),"Business Development",ISNUMBER(SEARCH("sales",B377)),"Sales Executive",ISNUMBER(SEARCH("marketing",B377)),"Marketing Executive",OR(ISNUMBER(SEARCH("hr ",B377)),ISNUMBER(SEARCH("recruit",B377)),ISNUMBER(SEARCH("human resource",B377))),"HR / Recruiter",OR(ISNUMBER(SEARCH("account",B377)),ISNUMBER(SEARCH("finance",B377)),ISNUMBER(SEARCH("tax",B377)),ISNUMBER(SEARCH("audit",B377))),"Accountant / Finance",OR(ISNUMBER(SEARCH("customer service",B377)),ISNUMBER(SEARCH("customer support",B377)),ISNUMBER(SEARCH("customer care",B377)),ISNUMBER(SEARCH("voice process",B377)),ISNUMBER(SEARCH("bpo",B377))),"Customer Support",ISNUMBER(SEARCH("engineer",B377)),"Engineer (Technical)",ISNUMBER(SEARCH("manager",B377)),"Manager",OR(ISNUMBER(SEARCH("teacher",B377)),ISNUMBER(SEARCH("trainer",B377)),ISNUMBER(SEARCH("faculty",B377))),"Teacher / Trainer",OR(ISNUMBER(SEARCH("doctor",B377)),ISNUMBER(SEARCH("nurse",B377)),ISNUMBER(SEARCH("medical",B377)),ISNUMBER(SEARCH("pharma",B377)),ISNUMBER(SEARCH("clinical",B377))),"Healthcare",TRUE,"Other")</f>
        <v/>
      </c>
      <c r="Q377" s="48">
        <f>IF(COUNTIFS($B$11:B377,B377,$C$11:C377,C377,$D$11:D377,D377,$L$11:L377,L377)&gt;1,"Duplicate","Unique")</f>
        <v/>
      </c>
    </row>
    <row r="378">
      <c r="A378" s="48">
        <f>Raw_Data!A369</f>
        <v/>
      </c>
      <c r="B378" s="48">
        <f>PROPER(TRIM(Raw_Data!B369))</f>
        <v/>
      </c>
      <c r="C378" s="48">
        <f>TRIM(Raw_Data!C369)</f>
        <v/>
      </c>
      <c r="D378" s="48">
        <f>IF(PROPER(TRIM(Raw_Data!D369))="Bangalore","Bengaluru",IF(PROPER(TRIM(Raw_Data!D369))="Gurgaon","Gurugram",IF(OR(PROPER(TRIM(Raw_Data!D369))="New Delhi",PROPER(TRIM(Raw_Data!D369))="Delhi"),"Delhi",PROPER(TRIM(Raw_Data!D369)))))</f>
        <v/>
      </c>
      <c r="E378" s="48">
        <f>Raw_Data!E369</f>
        <v/>
      </c>
      <c r="F378" s="48">
        <f>IF(TRIM(Raw_Data!F369&amp;"")="","Not Specified",Raw_Data!F369)</f>
        <v/>
      </c>
      <c r="G378" s="48">
        <f>Raw_Data!G369</f>
        <v/>
      </c>
      <c r="H378" s="48">
        <f>Raw_Data!H369</f>
        <v/>
      </c>
      <c r="I378" s="49">
        <f>IF(Raw_Data!I369="","",Raw_Data!I369)</f>
        <v/>
      </c>
      <c r="J378" s="49">
        <f>IF(Raw_Data!J369="","",Raw_Data!J369)</f>
        <v/>
      </c>
      <c r="K378" s="48">
        <f>IF(TRIM(Raw_Data!K369&amp;"")="","Not Specified",Raw_Data!K369)</f>
        <v/>
      </c>
      <c r="L378" s="56">
        <f>Raw_Data!L369</f>
        <v/>
      </c>
      <c r="M378" s="49">
        <f>IF(OR(I378="",J378=""),"",(I378+J378)/2)</f>
        <v/>
      </c>
      <c r="N378" s="49">
        <f>IF(OR(I378="",J378=""),"",J378-I378)</f>
        <v/>
      </c>
      <c r="O378" s="48">
        <f>TEXT(L378,"mmm-yyyy")</f>
        <v/>
      </c>
      <c r="P378" s="48">
        <f>_xlfn.IFS(ISNUMBER(SEARCH("data analy",B378)),"Data Analyst",ISNUMBER(SEARCH("business analy",B378)),"Business Analyst",OR(ISNUMBER(SEARCH("developer",B378)),ISNUMBER(SEARCH("software engineer",B378)),ISNUMBER(SEARCH("programmer",B378))),"Software Developer",ISNUMBER(SEARCH("business development",B378)),"Business Development",ISNUMBER(SEARCH("sales",B378)),"Sales Executive",ISNUMBER(SEARCH("marketing",B378)),"Marketing Executive",OR(ISNUMBER(SEARCH("hr ",B378)),ISNUMBER(SEARCH("recruit",B378)),ISNUMBER(SEARCH("human resource",B378))),"HR / Recruiter",OR(ISNUMBER(SEARCH("account",B378)),ISNUMBER(SEARCH("finance",B378)),ISNUMBER(SEARCH("tax",B378)),ISNUMBER(SEARCH("audit",B378))),"Accountant / Finance",OR(ISNUMBER(SEARCH("customer service",B378)),ISNUMBER(SEARCH("customer support",B378)),ISNUMBER(SEARCH("customer care",B378)),ISNUMBER(SEARCH("voice process",B378)),ISNUMBER(SEARCH("bpo",B378))),"Customer Support",ISNUMBER(SEARCH("engineer",B378)),"Engineer (Technical)",ISNUMBER(SEARCH("manager",B378)),"Manager",OR(ISNUMBER(SEARCH("teacher",B378)),ISNUMBER(SEARCH("trainer",B378)),ISNUMBER(SEARCH("faculty",B378))),"Teacher / Trainer",OR(ISNUMBER(SEARCH("doctor",B378)),ISNUMBER(SEARCH("nurse",B378)),ISNUMBER(SEARCH("medical",B378)),ISNUMBER(SEARCH("pharma",B378)),ISNUMBER(SEARCH("clinical",B378))),"Healthcare",TRUE,"Other")</f>
        <v/>
      </c>
      <c r="Q378" s="48">
        <f>IF(COUNTIFS($B$11:B378,B378,$C$11:C378,C378,$D$11:D378,D378,$L$11:L378,L378)&gt;1,"Duplicate","Unique")</f>
        <v/>
      </c>
    </row>
    <row r="379">
      <c r="A379" s="48">
        <f>Raw_Data!A370</f>
        <v/>
      </c>
      <c r="B379" s="48">
        <f>PROPER(TRIM(Raw_Data!B370))</f>
        <v/>
      </c>
      <c r="C379" s="48">
        <f>TRIM(Raw_Data!C370)</f>
        <v/>
      </c>
      <c r="D379" s="48">
        <f>IF(PROPER(TRIM(Raw_Data!D370))="Bangalore","Bengaluru",IF(PROPER(TRIM(Raw_Data!D370))="Gurgaon","Gurugram",IF(OR(PROPER(TRIM(Raw_Data!D370))="New Delhi",PROPER(TRIM(Raw_Data!D370))="Delhi"),"Delhi",PROPER(TRIM(Raw_Data!D370)))))</f>
        <v/>
      </c>
      <c r="E379" s="48">
        <f>Raw_Data!E370</f>
        <v/>
      </c>
      <c r="F379" s="48">
        <f>IF(TRIM(Raw_Data!F370&amp;"")="","Not Specified",Raw_Data!F370)</f>
        <v/>
      </c>
      <c r="G379" s="48">
        <f>Raw_Data!G370</f>
        <v/>
      </c>
      <c r="H379" s="48">
        <f>Raw_Data!H370</f>
        <v/>
      </c>
      <c r="I379" s="49">
        <f>IF(Raw_Data!I370="","",Raw_Data!I370)</f>
        <v/>
      </c>
      <c r="J379" s="49">
        <f>IF(Raw_Data!J370="","",Raw_Data!J370)</f>
        <v/>
      </c>
      <c r="K379" s="48">
        <f>IF(TRIM(Raw_Data!K370&amp;"")="","Not Specified",Raw_Data!K370)</f>
        <v/>
      </c>
      <c r="L379" s="56">
        <f>Raw_Data!L370</f>
        <v/>
      </c>
      <c r="M379" s="49">
        <f>IF(OR(I379="",J379=""),"",(I379+J379)/2)</f>
        <v/>
      </c>
      <c r="N379" s="49">
        <f>IF(OR(I379="",J379=""),"",J379-I379)</f>
        <v/>
      </c>
      <c r="O379" s="48">
        <f>TEXT(L379,"mmm-yyyy")</f>
        <v/>
      </c>
      <c r="P379" s="48">
        <f>_xlfn.IFS(ISNUMBER(SEARCH("data analy",B379)),"Data Analyst",ISNUMBER(SEARCH("business analy",B379)),"Business Analyst",OR(ISNUMBER(SEARCH("developer",B379)),ISNUMBER(SEARCH("software engineer",B379)),ISNUMBER(SEARCH("programmer",B379))),"Software Developer",ISNUMBER(SEARCH("business development",B379)),"Business Development",ISNUMBER(SEARCH("sales",B379)),"Sales Executive",ISNUMBER(SEARCH("marketing",B379)),"Marketing Executive",OR(ISNUMBER(SEARCH("hr ",B379)),ISNUMBER(SEARCH("recruit",B379)),ISNUMBER(SEARCH("human resource",B379))),"HR / Recruiter",OR(ISNUMBER(SEARCH("account",B379)),ISNUMBER(SEARCH("finance",B379)),ISNUMBER(SEARCH("tax",B379)),ISNUMBER(SEARCH("audit",B379))),"Accountant / Finance",OR(ISNUMBER(SEARCH("customer service",B379)),ISNUMBER(SEARCH("customer support",B379)),ISNUMBER(SEARCH("customer care",B379)),ISNUMBER(SEARCH("voice process",B379)),ISNUMBER(SEARCH("bpo",B379))),"Customer Support",ISNUMBER(SEARCH("engineer",B379)),"Engineer (Technical)",ISNUMBER(SEARCH("manager",B379)),"Manager",OR(ISNUMBER(SEARCH("teacher",B379)),ISNUMBER(SEARCH("trainer",B379)),ISNUMBER(SEARCH("faculty",B379))),"Teacher / Trainer",OR(ISNUMBER(SEARCH("doctor",B379)),ISNUMBER(SEARCH("nurse",B379)),ISNUMBER(SEARCH("medical",B379)),ISNUMBER(SEARCH("pharma",B379)),ISNUMBER(SEARCH("clinical",B379))),"Healthcare",TRUE,"Other")</f>
        <v/>
      </c>
      <c r="Q379" s="48">
        <f>IF(COUNTIFS($B$11:B379,B379,$C$11:C379,C379,$D$11:D379,D379,$L$11:L379,L379)&gt;1,"Duplicate","Unique")</f>
        <v/>
      </c>
    </row>
    <row r="380">
      <c r="A380" s="48">
        <f>Raw_Data!A371</f>
        <v/>
      </c>
      <c r="B380" s="48">
        <f>PROPER(TRIM(Raw_Data!B371))</f>
        <v/>
      </c>
      <c r="C380" s="48">
        <f>TRIM(Raw_Data!C371)</f>
        <v/>
      </c>
      <c r="D380" s="48">
        <f>IF(PROPER(TRIM(Raw_Data!D371))="Bangalore","Bengaluru",IF(PROPER(TRIM(Raw_Data!D371))="Gurgaon","Gurugram",IF(OR(PROPER(TRIM(Raw_Data!D371))="New Delhi",PROPER(TRIM(Raw_Data!D371))="Delhi"),"Delhi",PROPER(TRIM(Raw_Data!D371)))))</f>
        <v/>
      </c>
      <c r="E380" s="48">
        <f>Raw_Data!E371</f>
        <v/>
      </c>
      <c r="F380" s="48">
        <f>IF(TRIM(Raw_Data!F371&amp;"")="","Not Specified",Raw_Data!F371)</f>
        <v/>
      </c>
      <c r="G380" s="48">
        <f>Raw_Data!G371</f>
        <v/>
      </c>
      <c r="H380" s="48">
        <f>Raw_Data!H371</f>
        <v/>
      </c>
      <c r="I380" s="49">
        <f>IF(Raw_Data!I371="","",Raw_Data!I371)</f>
        <v/>
      </c>
      <c r="J380" s="49">
        <f>IF(Raw_Data!J371="","",Raw_Data!J371)</f>
        <v/>
      </c>
      <c r="K380" s="48">
        <f>IF(TRIM(Raw_Data!K371&amp;"")="","Not Specified",Raw_Data!K371)</f>
        <v/>
      </c>
      <c r="L380" s="56">
        <f>Raw_Data!L371</f>
        <v/>
      </c>
      <c r="M380" s="49">
        <f>IF(OR(I380="",J380=""),"",(I380+J380)/2)</f>
        <v/>
      </c>
      <c r="N380" s="49">
        <f>IF(OR(I380="",J380=""),"",J380-I380)</f>
        <v/>
      </c>
      <c r="O380" s="48">
        <f>TEXT(L380,"mmm-yyyy")</f>
        <v/>
      </c>
      <c r="P380" s="48">
        <f>_xlfn.IFS(ISNUMBER(SEARCH("data analy",B380)),"Data Analyst",ISNUMBER(SEARCH("business analy",B380)),"Business Analyst",OR(ISNUMBER(SEARCH("developer",B380)),ISNUMBER(SEARCH("software engineer",B380)),ISNUMBER(SEARCH("programmer",B380))),"Software Developer",ISNUMBER(SEARCH("business development",B380)),"Business Development",ISNUMBER(SEARCH("sales",B380)),"Sales Executive",ISNUMBER(SEARCH("marketing",B380)),"Marketing Executive",OR(ISNUMBER(SEARCH("hr ",B380)),ISNUMBER(SEARCH("recruit",B380)),ISNUMBER(SEARCH("human resource",B380))),"HR / Recruiter",OR(ISNUMBER(SEARCH("account",B380)),ISNUMBER(SEARCH("finance",B380)),ISNUMBER(SEARCH("tax",B380)),ISNUMBER(SEARCH("audit",B380))),"Accountant / Finance",OR(ISNUMBER(SEARCH("customer service",B380)),ISNUMBER(SEARCH("customer support",B380)),ISNUMBER(SEARCH("customer care",B380)),ISNUMBER(SEARCH("voice process",B380)),ISNUMBER(SEARCH("bpo",B380))),"Customer Support",ISNUMBER(SEARCH("engineer",B380)),"Engineer (Technical)",ISNUMBER(SEARCH("manager",B380)),"Manager",OR(ISNUMBER(SEARCH("teacher",B380)),ISNUMBER(SEARCH("trainer",B380)),ISNUMBER(SEARCH("faculty",B380))),"Teacher / Trainer",OR(ISNUMBER(SEARCH("doctor",B380)),ISNUMBER(SEARCH("nurse",B380)),ISNUMBER(SEARCH("medical",B380)),ISNUMBER(SEARCH("pharma",B380)),ISNUMBER(SEARCH("clinical",B380))),"Healthcare",TRUE,"Other")</f>
        <v/>
      </c>
      <c r="Q380" s="48">
        <f>IF(COUNTIFS($B$11:B380,B380,$C$11:C380,C380,$D$11:D380,D380,$L$11:L380,L380)&gt;1,"Duplicate","Unique")</f>
        <v/>
      </c>
    </row>
    <row r="381">
      <c r="A381" s="48">
        <f>Raw_Data!A372</f>
        <v/>
      </c>
      <c r="B381" s="48">
        <f>PROPER(TRIM(Raw_Data!B372))</f>
        <v/>
      </c>
      <c r="C381" s="48">
        <f>TRIM(Raw_Data!C372)</f>
        <v/>
      </c>
      <c r="D381" s="48">
        <f>IF(PROPER(TRIM(Raw_Data!D372))="Bangalore","Bengaluru",IF(PROPER(TRIM(Raw_Data!D372))="Gurgaon","Gurugram",IF(OR(PROPER(TRIM(Raw_Data!D372))="New Delhi",PROPER(TRIM(Raw_Data!D372))="Delhi"),"Delhi",PROPER(TRIM(Raw_Data!D372)))))</f>
        <v/>
      </c>
      <c r="E381" s="48">
        <f>Raw_Data!E372</f>
        <v/>
      </c>
      <c r="F381" s="48">
        <f>IF(TRIM(Raw_Data!F372&amp;"")="","Not Specified",Raw_Data!F372)</f>
        <v/>
      </c>
      <c r="G381" s="48">
        <f>Raw_Data!G372</f>
        <v/>
      </c>
      <c r="H381" s="48">
        <f>Raw_Data!H372</f>
        <v/>
      </c>
      <c r="I381" s="49">
        <f>IF(Raw_Data!I372="","",Raw_Data!I372)</f>
        <v/>
      </c>
      <c r="J381" s="49">
        <f>IF(Raw_Data!J372="","",Raw_Data!J372)</f>
        <v/>
      </c>
      <c r="K381" s="48">
        <f>IF(TRIM(Raw_Data!K372&amp;"")="","Not Specified",Raw_Data!K372)</f>
        <v/>
      </c>
      <c r="L381" s="56">
        <f>Raw_Data!L372</f>
        <v/>
      </c>
      <c r="M381" s="49">
        <f>IF(OR(I381="",J381=""),"",(I381+J381)/2)</f>
        <v/>
      </c>
      <c r="N381" s="49">
        <f>IF(OR(I381="",J381=""),"",J381-I381)</f>
        <v/>
      </c>
      <c r="O381" s="48">
        <f>TEXT(L381,"mmm-yyyy")</f>
        <v/>
      </c>
      <c r="P381" s="48">
        <f>_xlfn.IFS(ISNUMBER(SEARCH("data analy",B381)),"Data Analyst",ISNUMBER(SEARCH("business analy",B381)),"Business Analyst",OR(ISNUMBER(SEARCH("developer",B381)),ISNUMBER(SEARCH("software engineer",B381)),ISNUMBER(SEARCH("programmer",B381))),"Software Developer",ISNUMBER(SEARCH("business development",B381)),"Business Development",ISNUMBER(SEARCH("sales",B381)),"Sales Executive",ISNUMBER(SEARCH("marketing",B381)),"Marketing Executive",OR(ISNUMBER(SEARCH("hr ",B381)),ISNUMBER(SEARCH("recruit",B381)),ISNUMBER(SEARCH("human resource",B381))),"HR / Recruiter",OR(ISNUMBER(SEARCH("account",B381)),ISNUMBER(SEARCH("finance",B381)),ISNUMBER(SEARCH("tax",B381)),ISNUMBER(SEARCH("audit",B381))),"Accountant / Finance",OR(ISNUMBER(SEARCH("customer service",B381)),ISNUMBER(SEARCH("customer support",B381)),ISNUMBER(SEARCH("customer care",B381)),ISNUMBER(SEARCH("voice process",B381)),ISNUMBER(SEARCH("bpo",B381))),"Customer Support",ISNUMBER(SEARCH("engineer",B381)),"Engineer (Technical)",ISNUMBER(SEARCH("manager",B381)),"Manager",OR(ISNUMBER(SEARCH("teacher",B381)),ISNUMBER(SEARCH("trainer",B381)),ISNUMBER(SEARCH("faculty",B381))),"Teacher / Trainer",OR(ISNUMBER(SEARCH("doctor",B381)),ISNUMBER(SEARCH("nurse",B381)),ISNUMBER(SEARCH("medical",B381)),ISNUMBER(SEARCH("pharma",B381)),ISNUMBER(SEARCH("clinical",B381))),"Healthcare",TRUE,"Other")</f>
        <v/>
      </c>
      <c r="Q381" s="48">
        <f>IF(COUNTIFS($B$11:B381,B381,$C$11:C381,C381,$D$11:D381,D381,$L$11:L381,L381)&gt;1,"Duplicate","Unique")</f>
        <v/>
      </c>
    </row>
    <row r="382">
      <c r="A382" s="48">
        <f>Raw_Data!A373</f>
        <v/>
      </c>
      <c r="B382" s="48">
        <f>PROPER(TRIM(Raw_Data!B373))</f>
        <v/>
      </c>
      <c r="C382" s="48">
        <f>TRIM(Raw_Data!C373)</f>
        <v/>
      </c>
      <c r="D382" s="48">
        <f>IF(PROPER(TRIM(Raw_Data!D373))="Bangalore","Bengaluru",IF(PROPER(TRIM(Raw_Data!D373))="Gurgaon","Gurugram",IF(OR(PROPER(TRIM(Raw_Data!D373))="New Delhi",PROPER(TRIM(Raw_Data!D373))="Delhi"),"Delhi",PROPER(TRIM(Raw_Data!D373)))))</f>
        <v/>
      </c>
      <c r="E382" s="48">
        <f>Raw_Data!E373</f>
        <v/>
      </c>
      <c r="F382" s="48">
        <f>IF(TRIM(Raw_Data!F373&amp;"")="","Not Specified",Raw_Data!F373)</f>
        <v/>
      </c>
      <c r="G382" s="48">
        <f>Raw_Data!G373</f>
        <v/>
      </c>
      <c r="H382" s="48">
        <f>Raw_Data!H373</f>
        <v/>
      </c>
      <c r="I382" s="49">
        <f>IF(Raw_Data!I373="","",Raw_Data!I373)</f>
        <v/>
      </c>
      <c r="J382" s="49">
        <f>IF(Raw_Data!J373="","",Raw_Data!J373)</f>
        <v/>
      </c>
      <c r="K382" s="48">
        <f>IF(TRIM(Raw_Data!K373&amp;"")="","Not Specified",Raw_Data!K373)</f>
        <v/>
      </c>
      <c r="L382" s="56">
        <f>Raw_Data!L373</f>
        <v/>
      </c>
      <c r="M382" s="49">
        <f>IF(OR(I382="",J382=""),"",(I382+J382)/2)</f>
        <v/>
      </c>
      <c r="N382" s="49">
        <f>IF(OR(I382="",J382=""),"",J382-I382)</f>
        <v/>
      </c>
      <c r="O382" s="48">
        <f>TEXT(L382,"mmm-yyyy")</f>
        <v/>
      </c>
      <c r="P382" s="48">
        <f>_xlfn.IFS(ISNUMBER(SEARCH("data analy",B382)),"Data Analyst",ISNUMBER(SEARCH("business analy",B382)),"Business Analyst",OR(ISNUMBER(SEARCH("developer",B382)),ISNUMBER(SEARCH("software engineer",B382)),ISNUMBER(SEARCH("programmer",B382))),"Software Developer",ISNUMBER(SEARCH("business development",B382)),"Business Development",ISNUMBER(SEARCH("sales",B382)),"Sales Executive",ISNUMBER(SEARCH("marketing",B382)),"Marketing Executive",OR(ISNUMBER(SEARCH("hr ",B382)),ISNUMBER(SEARCH("recruit",B382)),ISNUMBER(SEARCH("human resource",B382))),"HR / Recruiter",OR(ISNUMBER(SEARCH("account",B382)),ISNUMBER(SEARCH("finance",B382)),ISNUMBER(SEARCH("tax",B382)),ISNUMBER(SEARCH("audit",B382))),"Accountant / Finance",OR(ISNUMBER(SEARCH("customer service",B382)),ISNUMBER(SEARCH("customer support",B382)),ISNUMBER(SEARCH("customer care",B382)),ISNUMBER(SEARCH("voice process",B382)),ISNUMBER(SEARCH("bpo",B382))),"Customer Support",ISNUMBER(SEARCH("engineer",B382)),"Engineer (Technical)",ISNUMBER(SEARCH("manager",B382)),"Manager",OR(ISNUMBER(SEARCH("teacher",B382)),ISNUMBER(SEARCH("trainer",B382)),ISNUMBER(SEARCH("faculty",B382))),"Teacher / Trainer",OR(ISNUMBER(SEARCH("doctor",B382)),ISNUMBER(SEARCH("nurse",B382)),ISNUMBER(SEARCH("medical",B382)),ISNUMBER(SEARCH("pharma",B382)),ISNUMBER(SEARCH("clinical",B382))),"Healthcare",TRUE,"Other")</f>
        <v/>
      </c>
      <c r="Q382" s="48">
        <f>IF(COUNTIFS($B$11:B382,B382,$C$11:C382,C382,$D$11:D382,D382,$L$11:L382,L382)&gt;1,"Duplicate","Unique")</f>
        <v/>
      </c>
    </row>
    <row r="383">
      <c r="A383" s="48">
        <f>Raw_Data!A374</f>
        <v/>
      </c>
      <c r="B383" s="48">
        <f>PROPER(TRIM(Raw_Data!B374))</f>
        <v/>
      </c>
      <c r="C383" s="48">
        <f>TRIM(Raw_Data!C374)</f>
        <v/>
      </c>
      <c r="D383" s="48">
        <f>IF(PROPER(TRIM(Raw_Data!D374))="Bangalore","Bengaluru",IF(PROPER(TRIM(Raw_Data!D374))="Gurgaon","Gurugram",IF(OR(PROPER(TRIM(Raw_Data!D374))="New Delhi",PROPER(TRIM(Raw_Data!D374))="Delhi"),"Delhi",PROPER(TRIM(Raw_Data!D374)))))</f>
        <v/>
      </c>
      <c r="E383" s="48">
        <f>Raw_Data!E374</f>
        <v/>
      </c>
      <c r="F383" s="48">
        <f>IF(TRIM(Raw_Data!F374&amp;"")="","Not Specified",Raw_Data!F374)</f>
        <v/>
      </c>
      <c r="G383" s="48">
        <f>Raw_Data!G374</f>
        <v/>
      </c>
      <c r="H383" s="48">
        <f>Raw_Data!H374</f>
        <v/>
      </c>
      <c r="I383" s="49">
        <f>IF(Raw_Data!I374="","",Raw_Data!I374)</f>
        <v/>
      </c>
      <c r="J383" s="49">
        <f>IF(Raw_Data!J374="","",Raw_Data!J374)</f>
        <v/>
      </c>
      <c r="K383" s="48">
        <f>IF(TRIM(Raw_Data!K374&amp;"")="","Not Specified",Raw_Data!K374)</f>
        <v/>
      </c>
      <c r="L383" s="56">
        <f>Raw_Data!L374</f>
        <v/>
      </c>
      <c r="M383" s="49">
        <f>IF(OR(I383="",J383=""),"",(I383+J383)/2)</f>
        <v/>
      </c>
      <c r="N383" s="49">
        <f>IF(OR(I383="",J383=""),"",J383-I383)</f>
        <v/>
      </c>
      <c r="O383" s="48">
        <f>TEXT(L383,"mmm-yyyy")</f>
        <v/>
      </c>
      <c r="P383" s="48">
        <f>_xlfn.IFS(ISNUMBER(SEARCH("data analy",B383)),"Data Analyst",ISNUMBER(SEARCH("business analy",B383)),"Business Analyst",OR(ISNUMBER(SEARCH("developer",B383)),ISNUMBER(SEARCH("software engineer",B383)),ISNUMBER(SEARCH("programmer",B383))),"Software Developer",ISNUMBER(SEARCH("business development",B383)),"Business Development",ISNUMBER(SEARCH("sales",B383)),"Sales Executive",ISNUMBER(SEARCH("marketing",B383)),"Marketing Executive",OR(ISNUMBER(SEARCH("hr ",B383)),ISNUMBER(SEARCH("recruit",B383)),ISNUMBER(SEARCH("human resource",B383))),"HR / Recruiter",OR(ISNUMBER(SEARCH("account",B383)),ISNUMBER(SEARCH("finance",B383)),ISNUMBER(SEARCH("tax",B383)),ISNUMBER(SEARCH("audit",B383))),"Accountant / Finance",OR(ISNUMBER(SEARCH("customer service",B383)),ISNUMBER(SEARCH("customer support",B383)),ISNUMBER(SEARCH("customer care",B383)),ISNUMBER(SEARCH("voice process",B383)),ISNUMBER(SEARCH("bpo",B383))),"Customer Support",ISNUMBER(SEARCH("engineer",B383)),"Engineer (Technical)",ISNUMBER(SEARCH("manager",B383)),"Manager",OR(ISNUMBER(SEARCH("teacher",B383)),ISNUMBER(SEARCH("trainer",B383)),ISNUMBER(SEARCH("faculty",B383))),"Teacher / Trainer",OR(ISNUMBER(SEARCH("doctor",B383)),ISNUMBER(SEARCH("nurse",B383)),ISNUMBER(SEARCH("medical",B383)),ISNUMBER(SEARCH("pharma",B383)),ISNUMBER(SEARCH("clinical",B383))),"Healthcare",TRUE,"Other")</f>
        <v/>
      </c>
      <c r="Q383" s="48">
        <f>IF(COUNTIFS($B$11:B383,B383,$C$11:C383,C383,$D$11:D383,D383,$L$11:L383,L383)&gt;1,"Duplicate","Unique")</f>
        <v/>
      </c>
    </row>
    <row r="384">
      <c r="A384" s="48">
        <f>Raw_Data!A375</f>
        <v/>
      </c>
      <c r="B384" s="48">
        <f>PROPER(TRIM(Raw_Data!B375))</f>
        <v/>
      </c>
      <c r="C384" s="48">
        <f>TRIM(Raw_Data!C375)</f>
        <v/>
      </c>
      <c r="D384" s="48">
        <f>IF(PROPER(TRIM(Raw_Data!D375))="Bangalore","Bengaluru",IF(PROPER(TRIM(Raw_Data!D375))="Gurgaon","Gurugram",IF(OR(PROPER(TRIM(Raw_Data!D375))="New Delhi",PROPER(TRIM(Raw_Data!D375))="Delhi"),"Delhi",PROPER(TRIM(Raw_Data!D375)))))</f>
        <v/>
      </c>
      <c r="E384" s="48">
        <f>Raw_Data!E375</f>
        <v/>
      </c>
      <c r="F384" s="48">
        <f>IF(TRIM(Raw_Data!F375&amp;"")="","Not Specified",Raw_Data!F375)</f>
        <v/>
      </c>
      <c r="G384" s="48">
        <f>Raw_Data!G375</f>
        <v/>
      </c>
      <c r="H384" s="48">
        <f>Raw_Data!H375</f>
        <v/>
      </c>
      <c r="I384" s="49">
        <f>IF(Raw_Data!I375="","",Raw_Data!I375)</f>
        <v/>
      </c>
      <c r="J384" s="49">
        <f>IF(Raw_Data!J375="","",Raw_Data!J375)</f>
        <v/>
      </c>
      <c r="K384" s="48">
        <f>IF(TRIM(Raw_Data!K375&amp;"")="","Not Specified",Raw_Data!K375)</f>
        <v/>
      </c>
      <c r="L384" s="56">
        <f>Raw_Data!L375</f>
        <v/>
      </c>
      <c r="M384" s="49">
        <f>IF(OR(I384="",J384=""),"",(I384+J384)/2)</f>
        <v/>
      </c>
      <c r="N384" s="49">
        <f>IF(OR(I384="",J384=""),"",J384-I384)</f>
        <v/>
      </c>
      <c r="O384" s="48">
        <f>TEXT(L384,"mmm-yyyy")</f>
        <v/>
      </c>
      <c r="P384" s="48">
        <f>_xlfn.IFS(ISNUMBER(SEARCH("data analy",B384)),"Data Analyst",ISNUMBER(SEARCH("business analy",B384)),"Business Analyst",OR(ISNUMBER(SEARCH("developer",B384)),ISNUMBER(SEARCH("software engineer",B384)),ISNUMBER(SEARCH("programmer",B384))),"Software Developer",ISNUMBER(SEARCH("business development",B384)),"Business Development",ISNUMBER(SEARCH("sales",B384)),"Sales Executive",ISNUMBER(SEARCH("marketing",B384)),"Marketing Executive",OR(ISNUMBER(SEARCH("hr ",B384)),ISNUMBER(SEARCH("recruit",B384)),ISNUMBER(SEARCH("human resource",B384))),"HR / Recruiter",OR(ISNUMBER(SEARCH("account",B384)),ISNUMBER(SEARCH("finance",B384)),ISNUMBER(SEARCH("tax",B384)),ISNUMBER(SEARCH("audit",B384))),"Accountant / Finance",OR(ISNUMBER(SEARCH("customer service",B384)),ISNUMBER(SEARCH("customer support",B384)),ISNUMBER(SEARCH("customer care",B384)),ISNUMBER(SEARCH("voice process",B384)),ISNUMBER(SEARCH("bpo",B384))),"Customer Support",ISNUMBER(SEARCH("engineer",B384)),"Engineer (Technical)",ISNUMBER(SEARCH("manager",B384)),"Manager",OR(ISNUMBER(SEARCH("teacher",B384)),ISNUMBER(SEARCH("trainer",B384)),ISNUMBER(SEARCH("faculty",B384))),"Teacher / Trainer",OR(ISNUMBER(SEARCH("doctor",B384)),ISNUMBER(SEARCH("nurse",B384)),ISNUMBER(SEARCH("medical",B384)),ISNUMBER(SEARCH("pharma",B384)),ISNUMBER(SEARCH("clinical",B384))),"Healthcare",TRUE,"Other")</f>
        <v/>
      </c>
      <c r="Q384" s="48">
        <f>IF(COUNTIFS($B$11:B384,B384,$C$11:C384,C384,$D$11:D384,D384,$L$11:L384,L384)&gt;1,"Duplicate","Unique")</f>
        <v/>
      </c>
    </row>
    <row r="385">
      <c r="A385" s="48">
        <f>Raw_Data!A376</f>
        <v/>
      </c>
      <c r="B385" s="48">
        <f>PROPER(TRIM(Raw_Data!B376))</f>
        <v/>
      </c>
      <c r="C385" s="48">
        <f>TRIM(Raw_Data!C376)</f>
        <v/>
      </c>
      <c r="D385" s="48">
        <f>IF(PROPER(TRIM(Raw_Data!D376))="Bangalore","Bengaluru",IF(PROPER(TRIM(Raw_Data!D376))="Gurgaon","Gurugram",IF(OR(PROPER(TRIM(Raw_Data!D376))="New Delhi",PROPER(TRIM(Raw_Data!D376))="Delhi"),"Delhi",PROPER(TRIM(Raw_Data!D376)))))</f>
        <v/>
      </c>
      <c r="E385" s="48">
        <f>Raw_Data!E376</f>
        <v/>
      </c>
      <c r="F385" s="48">
        <f>IF(TRIM(Raw_Data!F376&amp;"")="","Not Specified",Raw_Data!F376)</f>
        <v/>
      </c>
      <c r="G385" s="48">
        <f>Raw_Data!G376</f>
        <v/>
      </c>
      <c r="H385" s="48">
        <f>Raw_Data!H376</f>
        <v/>
      </c>
      <c r="I385" s="49">
        <f>IF(Raw_Data!I376="","",Raw_Data!I376)</f>
        <v/>
      </c>
      <c r="J385" s="49">
        <f>IF(Raw_Data!J376="","",Raw_Data!J376)</f>
        <v/>
      </c>
      <c r="K385" s="48">
        <f>IF(TRIM(Raw_Data!K376&amp;"")="","Not Specified",Raw_Data!K376)</f>
        <v/>
      </c>
      <c r="L385" s="56">
        <f>Raw_Data!L376</f>
        <v/>
      </c>
      <c r="M385" s="49">
        <f>IF(OR(I385="",J385=""),"",(I385+J385)/2)</f>
        <v/>
      </c>
      <c r="N385" s="49">
        <f>IF(OR(I385="",J385=""),"",J385-I385)</f>
        <v/>
      </c>
      <c r="O385" s="48">
        <f>TEXT(L385,"mmm-yyyy")</f>
        <v/>
      </c>
      <c r="P385" s="48">
        <f>_xlfn.IFS(ISNUMBER(SEARCH("data analy",B385)),"Data Analyst",ISNUMBER(SEARCH("business analy",B385)),"Business Analyst",OR(ISNUMBER(SEARCH("developer",B385)),ISNUMBER(SEARCH("software engineer",B385)),ISNUMBER(SEARCH("programmer",B385))),"Software Developer",ISNUMBER(SEARCH("business development",B385)),"Business Development",ISNUMBER(SEARCH("sales",B385)),"Sales Executive",ISNUMBER(SEARCH("marketing",B385)),"Marketing Executive",OR(ISNUMBER(SEARCH("hr ",B385)),ISNUMBER(SEARCH("recruit",B385)),ISNUMBER(SEARCH("human resource",B385))),"HR / Recruiter",OR(ISNUMBER(SEARCH("account",B385)),ISNUMBER(SEARCH("finance",B385)),ISNUMBER(SEARCH("tax",B385)),ISNUMBER(SEARCH("audit",B385))),"Accountant / Finance",OR(ISNUMBER(SEARCH("customer service",B385)),ISNUMBER(SEARCH("customer support",B385)),ISNUMBER(SEARCH("customer care",B385)),ISNUMBER(SEARCH("voice process",B385)),ISNUMBER(SEARCH("bpo",B385))),"Customer Support",ISNUMBER(SEARCH("engineer",B385)),"Engineer (Technical)",ISNUMBER(SEARCH("manager",B385)),"Manager",OR(ISNUMBER(SEARCH("teacher",B385)),ISNUMBER(SEARCH("trainer",B385)),ISNUMBER(SEARCH("faculty",B385))),"Teacher / Trainer",OR(ISNUMBER(SEARCH("doctor",B385)),ISNUMBER(SEARCH("nurse",B385)),ISNUMBER(SEARCH("medical",B385)),ISNUMBER(SEARCH("pharma",B385)),ISNUMBER(SEARCH("clinical",B385))),"Healthcare",TRUE,"Other")</f>
        <v/>
      </c>
      <c r="Q385" s="48">
        <f>IF(COUNTIFS($B$11:B385,B385,$C$11:C385,C385,$D$11:D385,D385,$L$11:L385,L385)&gt;1,"Duplicate","Unique")</f>
        <v/>
      </c>
    </row>
    <row r="386">
      <c r="A386" s="48">
        <f>Raw_Data!A377</f>
        <v/>
      </c>
      <c r="B386" s="48">
        <f>PROPER(TRIM(Raw_Data!B377))</f>
        <v/>
      </c>
      <c r="C386" s="48">
        <f>TRIM(Raw_Data!C377)</f>
        <v/>
      </c>
      <c r="D386" s="48">
        <f>IF(PROPER(TRIM(Raw_Data!D377))="Bangalore","Bengaluru",IF(PROPER(TRIM(Raw_Data!D377))="Gurgaon","Gurugram",IF(OR(PROPER(TRIM(Raw_Data!D377))="New Delhi",PROPER(TRIM(Raw_Data!D377))="Delhi"),"Delhi",PROPER(TRIM(Raw_Data!D377)))))</f>
        <v/>
      </c>
      <c r="E386" s="48">
        <f>Raw_Data!E377</f>
        <v/>
      </c>
      <c r="F386" s="48">
        <f>IF(TRIM(Raw_Data!F377&amp;"")="","Not Specified",Raw_Data!F377)</f>
        <v/>
      </c>
      <c r="G386" s="48">
        <f>Raw_Data!G377</f>
        <v/>
      </c>
      <c r="H386" s="48">
        <f>Raw_Data!H377</f>
        <v/>
      </c>
      <c r="I386" s="49">
        <f>IF(Raw_Data!I377="","",Raw_Data!I377)</f>
        <v/>
      </c>
      <c r="J386" s="49">
        <f>IF(Raw_Data!J377="","",Raw_Data!J377)</f>
        <v/>
      </c>
      <c r="K386" s="48">
        <f>IF(TRIM(Raw_Data!K377&amp;"")="","Not Specified",Raw_Data!K377)</f>
        <v/>
      </c>
      <c r="L386" s="56">
        <f>Raw_Data!L377</f>
        <v/>
      </c>
      <c r="M386" s="49">
        <f>IF(OR(I386="",J386=""),"",(I386+J386)/2)</f>
        <v/>
      </c>
      <c r="N386" s="49">
        <f>IF(OR(I386="",J386=""),"",J386-I386)</f>
        <v/>
      </c>
      <c r="O386" s="48">
        <f>TEXT(L386,"mmm-yyyy")</f>
        <v/>
      </c>
      <c r="P386" s="48">
        <f>_xlfn.IFS(ISNUMBER(SEARCH("data analy",B386)),"Data Analyst",ISNUMBER(SEARCH("business analy",B386)),"Business Analyst",OR(ISNUMBER(SEARCH("developer",B386)),ISNUMBER(SEARCH("software engineer",B386)),ISNUMBER(SEARCH("programmer",B386))),"Software Developer",ISNUMBER(SEARCH("business development",B386)),"Business Development",ISNUMBER(SEARCH("sales",B386)),"Sales Executive",ISNUMBER(SEARCH("marketing",B386)),"Marketing Executive",OR(ISNUMBER(SEARCH("hr ",B386)),ISNUMBER(SEARCH("recruit",B386)),ISNUMBER(SEARCH("human resource",B386))),"HR / Recruiter",OR(ISNUMBER(SEARCH("account",B386)),ISNUMBER(SEARCH("finance",B386)),ISNUMBER(SEARCH("tax",B386)),ISNUMBER(SEARCH("audit",B386))),"Accountant / Finance",OR(ISNUMBER(SEARCH("customer service",B386)),ISNUMBER(SEARCH("customer support",B386)),ISNUMBER(SEARCH("customer care",B386)),ISNUMBER(SEARCH("voice process",B386)),ISNUMBER(SEARCH("bpo",B386))),"Customer Support",ISNUMBER(SEARCH("engineer",B386)),"Engineer (Technical)",ISNUMBER(SEARCH("manager",B386)),"Manager",OR(ISNUMBER(SEARCH("teacher",B386)),ISNUMBER(SEARCH("trainer",B386)),ISNUMBER(SEARCH("faculty",B386))),"Teacher / Trainer",OR(ISNUMBER(SEARCH("doctor",B386)),ISNUMBER(SEARCH("nurse",B386)),ISNUMBER(SEARCH("medical",B386)),ISNUMBER(SEARCH("pharma",B386)),ISNUMBER(SEARCH("clinical",B386))),"Healthcare",TRUE,"Other")</f>
        <v/>
      </c>
      <c r="Q386" s="48">
        <f>IF(COUNTIFS($B$11:B386,B386,$C$11:C386,C386,$D$11:D386,D386,$L$11:L386,L386)&gt;1,"Duplicate","Unique")</f>
        <v/>
      </c>
    </row>
    <row r="387">
      <c r="A387" s="48">
        <f>Raw_Data!A378</f>
        <v/>
      </c>
      <c r="B387" s="48">
        <f>PROPER(TRIM(Raw_Data!B378))</f>
        <v/>
      </c>
      <c r="C387" s="48">
        <f>TRIM(Raw_Data!C378)</f>
        <v/>
      </c>
      <c r="D387" s="48">
        <f>IF(PROPER(TRIM(Raw_Data!D378))="Bangalore","Bengaluru",IF(PROPER(TRIM(Raw_Data!D378))="Gurgaon","Gurugram",IF(OR(PROPER(TRIM(Raw_Data!D378))="New Delhi",PROPER(TRIM(Raw_Data!D378))="Delhi"),"Delhi",PROPER(TRIM(Raw_Data!D378)))))</f>
        <v/>
      </c>
      <c r="E387" s="48">
        <f>Raw_Data!E378</f>
        <v/>
      </c>
      <c r="F387" s="48">
        <f>IF(TRIM(Raw_Data!F378&amp;"")="","Not Specified",Raw_Data!F378)</f>
        <v/>
      </c>
      <c r="G387" s="48">
        <f>Raw_Data!G378</f>
        <v/>
      </c>
      <c r="H387" s="48">
        <f>Raw_Data!H378</f>
        <v/>
      </c>
      <c r="I387" s="49">
        <f>IF(Raw_Data!I378="","",Raw_Data!I378)</f>
        <v/>
      </c>
      <c r="J387" s="49">
        <f>IF(Raw_Data!J378="","",Raw_Data!J378)</f>
        <v/>
      </c>
      <c r="K387" s="48">
        <f>IF(TRIM(Raw_Data!K378&amp;"")="","Not Specified",Raw_Data!K378)</f>
        <v/>
      </c>
      <c r="L387" s="56">
        <f>Raw_Data!L378</f>
        <v/>
      </c>
      <c r="M387" s="49">
        <f>IF(OR(I387="",J387=""),"",(I387+J387)/2)</f>
        <v/>
      </c>
      <c r="N387" s="49">
        <f>IF(OR(I387="",J387=""),"",J387-I387)</f>
        <v/>
      </c>
      <c r="O387" s="48">
        <f>TEXT(L387,"mmm-yyyy")</f>
        <v/>
      </c>
      <c r="P387" s="48">
        <f>_xlfn.IFS(ISNUMBER(SEARCH("data analy",B387)),"Data Analyst",ISNUMBER(SEARCH("business analy",B387)),"Business Analyst",OR(ISNUMBER(SEARCH("developer",B387)),ISNUMBER(SEARCH("software engineer",B387)),ISNUMBER(SEARCH("programmer",B387))),"Software Developer",ISNUMBER(SEARCH("business development",B387)),"Business Development",ISNUMBER(SEARCH("sales",B387)),"Sales Executive",ISNUMBER(SEARCH("marketing",B387)),"Marketing Executive",OR(ISNUMBER(SEARCH("hr ",B387)),ISNUMBER(SEARCH("recruit",B387)),ISNUMBER(SEARCH("human resource",B387))),"HR / Recruiter",OR(ISNUMBER(SEARCH("account",B387)),ISNUMBER(SEARCH("finance",B387)),ISNUMBER(SEARCH("tax",B387)),ISNUMBER(SEARCH("audit",B387))),"Accountant / Finance",OR(ISNUMBER(SEARCH("customer service",B387)),ISNUMBER(SEARCH("customer support",B387)),ISNUMBER(SEARCH("customer care",B387)),ISNUMBER(SEARCH("voice process",B387)),ISNUMBER(SEARCH("bpo",B387))),"Customer Support",ISNUMBER(SEARCH("engineer",B387)),"Engineer (Technical)",ISNUMBER(SEARCH("manager",B387)),"Manager",OR(ISNUMBER(SEARCH("teacher",B387)),ISNUMBER(SEARCH("trainer",B387)),ISNUMBER(SEARCH("faculty",B387))),"Teacher / Trainer",OR(ISNUMBER(SEARCH("doctor",B387)),ISNUMBER(SEARCH("nurse",B387)),ISNUMBER(SEARCH("medical",B387)),ISNUMBER(SEARCH("pharma",B387)),ISNUMBER(SEARCH("clinical",B387))),"Healthcare",TRUE,"Other")</f>
        <v/>
      </c>
      <c r="Q387" s="48">
        <f>IF(COUNTIFS($B$11:B387,B387,$C$11:C387,C387,$D$11:D387,D387,$L$11:L387,L387)&gt;1,"Duplicate","Unique")</f>
        <v/>
      </c>
    </row>
    <row r="388">
      <c r="A388" s="48">
        <f>Raw_Data!A379</f>
        <v/>
      </c>
      <c r="B388" s="48">
        <f>PROPER(TRIM(Raw_Data!B379))</f>
        <v/>
      </c>
      <c r="C388" s="48">
        <f>TRIM(Raw_Data!C379)</f>
        <v/>
      </c>
      <c r="D388" s="48">
        <f>IF(PROPER(TRIM(Raw_Data!D379))="Bangalore","Bengaluru",IF(PROPER(TRIM(Raw_Data!D379))="Gurgaon","Gurugram",IF(OR(PROPER(TRIM(Raw_Data!D379))="New Delhi",PROPER(TRIM(Raw_Data!D379))="Delhi"),"Delhi",PROPER(TRIM(Raw_Data!D379)))))</f>
        <v/>
      </c>
      <c r="E388" s="48">
        <f>Raw_Data!E379</f>
        <v/>
      </c>
      <c r="F388" s="48">
        <f>IF(TRIM(Raw_Data!F379&amp;"")="","Not Specified",Raw_Data!F379)</f>
        <v/>
      </c>
      <c r="G388" s="48">
        <f>Raw_Data!G379</f>
        <v/>
      </c>
      <c r="H388" s="48">
        <f>Raw_Data!H379</f>
        <v/>
      </c>
      <c r="I388" s="49">
        <f>IF(Raw_Data!I379="","",Raw_Data!I379)</f>
        <v/>
      </c>
      <c r="J388" s="49">
        <f>IF(Raw_Data!J379="","",Raw_Data!J379)</f>
        <v/>
      </c>
      <c r="K388" s="48">
        <f>IF(TRIM(Raw_Data!K379&amp;"")="","Not Specified",Raw_Data!K379)</f>
        <v/>
      </c>
      <c r="L388" s="56">
        <f>Raw_Data!L379</f>
        <v/>
      </c>
      <c r="M388" s="49">
        <f>IF(OR(I388="",J388=""),"",(I388+J388)/2)</f>
        <v/>
      </c>
      <c r="N388" s="49">
        <f>IF(OR(I388="",J388=""),"",J388-I388)</f>
        <v/>
      </c>
      <c r="O388" s="48">
        <f>TEXT(L388,"mmm-yyyy")</f>
        <v/>
      </c>
      <c r="P388" s="48">
        <f>_xlfn.IFS(ISNUMBER(SEARCH("data analy",B388)),"Data Analyst",ISNUMBER(SEARCH("business analy",B388)),"Business Analyst",OR(ISNUMBER(SEARCH("developer",B388)),ISNUMBER(SEARCH("software engineer",B388)),ISNUMBER(SEARCH("programmer",B388))),"Software Developer",ISNUMBER(SEARCH("business development",B388)),"Business Development",ISNUMBER(SEARCH("sales",B388)),"Sales Executive",ISNUMBER(SEARCH("marketing",B388)),"Marketing Executive",OR(ISNUMBER(SEARCH("hr ",B388)),ISNUMBER(SEARCH("recruit",B388)),ISNUMBER(SEARCH("human resource",B388))),"HR / Recruiter",OR(ISNUMBER(SEARCH("account",B388)),ISNUMBER(SEARCH("finance",B388)),ISNUMBER(SEARCH("tax",B388)),ISNUMBER(SEARCH("audit",B388))),"Accountant / Finance",OR(ISNUMBER(SEARCH("customer service",B388)),ISNUMBER(SEARCH("customer support",B388)),ISNUMBER(SEARCH("customer care",B388)),ISNUMBER(SEARCH("voice process",B388)),ISNUMBER(SEARCH("bpo",B388))),"Customer Support",ISNUMBER(SEARCH("engineer",B388)),"Engineer (Technical)",ISNUMBER(SEARCH("manager",B388)),"Manager",OR(ISNUMBER(SEARCH("teacher",B388)),ISNUMBER(SEARCH("trainer",B388)),ISNUMBER(SEARCH("faculty",B388))),"Teacher / Trainer",OR(ISNUMBER(SEARCH("doctor",B388)),ISNUMBER(SEARCH("nurse",B388)),ISNUMBER(SEARCH("medical",B388)),ISNUMBER(SEARCH("pharma",B388)),ISNUMBER(SEARCH("clinical",B388))),"Healthcare",TRUE,"Other")</f>
        <v/>
      </c>
      <c r="Q388" s="48">
        <f>IF(COUNTIFS($B$11:B388,B388,$C$11:C388,C388,$D$11:D388,D388,$L$11:L388,L388)&gt;1,"Duplicate","Unique")</f>
        <v/>
      </c>
    </row>
    <row r="389">
      <c r="A389" s="48">
        <f>Raw_Data!A380</f>
        <v/>
      </c>
      <c r="B389" s="48">
        <f>PROPER(TRIM(Raw_Data!B380))</f>
        <v/>
      </c>
      <c r="C389" s="48">
        <f>TRIM(Raw_Data!C380)</f>
        <v/>
      </c>
      <c r="D389" s="48">
        <f>IF(PROPER(TRIM(Raw_Data!D380))="Bangalore","Bengaluru",IF(PROPER(TRIM(Raw_Data!D380))="Gurgaon","Gurugram",IF(OR(PROPER(TRIM(Raw_Data!D380))="New Delhi",PROPER(TRIM(Raw_Data!D380))="Delhi"),"Delhi",PROPER(TRIM(Raw_Data!D380)))))</f>
        <v/>
      </c>
      <c r="E389" s="48">
        <f>Raw_Data!E380</f>
        <v/>
      </c>
      <c r="F389" s="48">
        <f>IF(TRIM(Raw_Data!F380&amp;"")="","Not Specified",Raw_Data!F380)</f>
        <v/>
      </c>
      <c r="G389" s="48">
        <f>Raw_Data!G380</f>
        <v/>
      </c>
      <c r="H389" s="48">
        <f>Raw_Data!H380</f>
        <v/>
      </c>
      <c r="I389" s="49">
        <f>IF(Raw_Data!I380="","",Raw_Data!I380)</f>
        <v/>
      </c>
      <c r="J389" s="49">
        <f>IF(Raw_Data!J380="","",Raw_Data!J380)</f>
        <v/>
      </c>
      <c r="K389" s="48">
        <f>IF(TRIM(Raw_Data!K380&amp;"")="","Not Specified",Raw_Data!K380)</f>
        <v/>
      </c>
      <c r="L389" s="56">
        <f>Raw_Data!L380</f>
        <v/>
      </c>
      <c r="M389" s="49">
        <f>IF(OR(I389="",J389=""),"",(I389+J389)/2)</f>
        <v/>
      </c>
      <c r="N389" s="49">
        <f>IF(OR(I389="",J389=""),"",J389-I389)</f>
        <v/>
      </c>
      <c r="O389" s="48">
        <f>TEXT(L389,"mmm-yyyy")</f>
        <v/>
      </c>
      <c r="P389" s="48">
        <f>_xlfn.IFS(ISNUMBER(SEARCH("data analy",B389)),"Data Analyst",ISNUMBER(SEARCH("business analy",B389)),"Business Analyst",OR(ISNUMBER(SEARCH("developer",B389)),ISNUMBER(SEARCH("software engineer",B389)),ISNUMBER(SEARCH("programmer",B389))),"Software Developer",ISNUMBER(SEARCH("business development",B389)),"Business Development",ISNUMBER(SEARCH("sales",B389)),"Sales Executive",ISNUMBER(SEARCH("marketing",B389)),"Marketing Executive",OR(ISNUMBER(SEARCH("hr ",B389)),ISNUMBER(SEARCH("recruit",B389)),ISNUMBER(SEARCH("human resource",B389))),"HR / Recruiter",OR(ISNUMBER(SEARCH("account",B389)),ISNUMBER(SEARCH("finance",B389)),ISNUMBER(SEARCH("tax",B389)),ISNUMBER(SEARCH("audit",B389))),"Accountant / Finance",OR(ISNUMBER(SEARCH("customer service",B389)),ISNUMBER(SEARCH("customer support",B389)),ISNUMBER(SEARCH("customer care",B389)),ISNUMBER(SEARCH("voice process",B389)),ISNUMBER(SEARCH("bpo",B389))),"Customer Support",ISNUMBER(SEARCH("engineer",B389)),"Engineer (Technical)",ISNUMBER(SEARCH("manager",B389)),"Manager",OR(ISNUMBER(SEARCH("teacher",B389)),ISNUMBER(SEARCH("trainer",B389)),ISNUMBER(SEARCH("faculty",B389))),"Teacher / Trainer",OR(ISNUMBER(SEARCH("doctor",B389)),ISNUMBER(SEARCH("nurse",B389)),ISNUMBER(SEARCH("medical",B389)),ISNUMBER(SEARCH("pharma",B389)),ISNUMBER(SEARCH("clinical",B389))),"Healthcare",TRUE,"Other")</f>
        <v/>
      </c>
      <c r="Q389" s="48">
        <f>IF(COUNTIFS($B$11:B389,B389,$C$11:C389,C389,$D$11:D389,D389,$L$11:L389,L389)&gt;1,"Duplicate","Unique")</f>
        <v/>
      </c>
    </row>
    <row r="390">
      <c r="A390" s="48">
        <f>Raw_Data!A381</f>
        <v/>
      </c>
      <c r="B390" s="48">
        <f>PROPER(TRIM(Raw_Data!B381))</f>
        <v/>
      </c>
      <c r="C390" s="48">
        <f>TRIM(Raw_Data!C381)</f>
        <v/>
      </c>
      <c r="D390" s="48">
        <f>IF(PROPER(TRIM(Raw_Data!D381))="Bangalore","Bengaluru",IF(PROPER(TRIM(Raw_Data!D381))="Gurgaon","Gurugram",IF(OR(PROPER(TRIM(Raw_Data!D381))="New Delhi",PROPER(TRIM(Raw_Data!D381))="Delhi"),"Delhi",PROPER(TRIM(Raw_Data!D381)))))</f>
        <v/>
      </c>
      <c r="E390" s="48">
        <f>Raw_Data!E381</f>
        <v/>
      </c>
      <c r="F390" s="48">
        <f>IF(TRIM(Raw_Data!F381&amp;"")="","Not Specified",Raw_Data!F381)</f>
        <v/>
      </c>
      <c r="G390" s="48">
        <f>Raw_Data!G381</f>
        <v/>
      </c>
      <c r="H390" s="48">
        <f>Raw_Data!H381</f>
        <v/>
      </c>
      <c r="I390" s="49">
        <f>IF(Raw_Data!I381="","",Raw_Data!I381)</f>
        <v/>
      </c>
      <c r="J390" s="49">
        <f>IF(Raw_Data!J381="","",Raw_Data!J381)</f>
        <v/>
      </c>
      <c r="K390" s="48">
        <f>IF(TRIM(Raw_Data!K381&amp;"")="","Not Specified",Raw_Data!K381)</f>
        <v/>
      </c>
      <c r="L390" s="56">
        <f>Raw_Data!L381</f>
        <v/>
      </c>
      <c r="M390" s="49">
        <f>IF(OR(I390="",J390=""),"",(I390+J390)/2)</f>
        <v/>
      </c>
      <c r="N390" s="49">
        <f>IF(OR(I390="",J390=""),"",J390-I390)</f>
        <v/>
      </c>
      <c r="O390" s="48">
        <f>TEXT(L390,"mmm-yyyy")</f>
        <v/>
      </c>
      <c r="P390" s="48">
        <f>_xlfn.IFS(ISNUMBER(SEARCH("data analy",B390)),"Data Analyst",ISNUMBER(SEARCH("business analy",B390)),"Business Analyst",OR(ISNUMBER(SEARCH("developer",B390)),ISNUMBER(SEARCH("software engineer",B390)),ISNUMBER(SEARCH("programmer",B390))),"Software Developer",ISNUMBER(SEARCH("business development",B390)),"Business Development",ISNUMBER(SEARCH("sales",B390)),"Sales Executive",ISNUMBER(SEARCH("marketing",B390)),"Marketing Executive",OR(ISNUMBER(SEARCH("hr ",B390)),ISNUMBER(SEARCH("recruit",B390)),ISNUMBER(SEARCH("human resource",B390))),"HR / Recruiter",OR(ISNUMBER(SEARCH("account",B390)),ISNUMBER(SEARCH("finance",B390)),ISNUMBER(SEARCH("tax",B390)),ISNUMBER(SEARCH("audit",B390))),"Accountant / Finance",OR(ISNUMBER(SEARCH("customer service",B390)),ISNUMBER(SEARCH("customer support",B390)),ISNUMBER(SEARCH("customer care",B390)),ISNUMBER(SEARCH("voice process",B390)),ISNUMBER(SEARCH("bpo",B390))),"Customer Support",ISNUMBER(SEARCH("engineer",B390)),"Engineer (Technical)",ISNUMBER(SEARCH("manager",B390)),"Manager",OR(ISNUMBER(SEARCH("teacher",B390)),ISNUMBER(SEARCH("trainer",B390)),ISNUMBER(SEARCH("faculty",B390))),"Teacher / Trainer",OR(ISNUMBER(SEARCH("doctor",B390)),ISNUMBER(SEARCH("nurse",B390)),ISNUMBER(SEARCH("medical",B390)),ISNUMBER(SEARCH("pharma",B390)),ISNUMBER(SEARCH("clinical",B390))),"Healthcare",TRUE,"Other")</f>
        <v/>
      </c>
      <c r="Q390" s="48">
        <f>IF(COUNTIFS($B$11:B390,B390,$C$11:C390,C390,$D$11:D390,D390,$L$11:L390,L390)&gt;1,"Duplicate","Unique")</f>
        <v/>
      </c>
    </row>
    <row r="391">
      <c r="A391" s="48">
        <f>Raw_Data!A382</f>
        <v/>
      </c>
      <c r="B391" s="48">
        <f>PROPER(TRIM(Raw_Data!B382))</f>
        <v/>
      </c>
      <c r="C391" s="48">
        <f>TRIM(Raw_Data!C382)</f>
        <v/>
      </c>
      <c r="D391" s="48">
        <f>IF(PROPER(TRIM(Raw_Data!D382))="Bangalore","Bengaluru",IF(PROPER(TRIM(Raw_Data!D382))="Gurgaon","Gurugram",IF(OR(PROPER(TRIM(Raw_Data!D382))="New Delhi",PROPER(TRIM(Raw_Data!D382))="Delhi"),"Delhi",PROPER(TRIM(Raw_Data!D382)))))</f>
        <v/>
      </c>
      <c r="E391" s="48">
        <f>Raw_Data!E382</f>
        <v/>
      </c>
      <c r="F391" s="48">
        <f>IF(TRIM(Raw_Data!F382&amp;"")="","Not Specified",Raw_Data!F382)</f>
        <v/>
      </c>
      <c r="G391" s="48">
        <f>Raw_Data!G382</f>
        <v/>
      </c>
      <c r="H391" s="48">
        <f>Raw_Data!H382</f>
        <v/>
      </c>
      <c r="I391" s="49">
        <f>IF(Raw_Data!I382="","",Raw_Data!I382)</f>
        <v/>
      </c>
      <c r="J391" s="49">
        <f>IF(Raw_Data!J382="","",Raw_Data!J382)</f>
        <v/>
      </c>
      <c r="K391" s="48">
        <f>IF(TRIM(Raw_Data!K382&amp;"")="","Not Specified",Raw_Data!K382)</f>
        <v/>
      </c>
      <c r="L391" s="56">
        <f>Raw_Data!L382</f>
        <v/>
      </c>
      <c r="M391" s="49">
        <f>IF(OR(I391="",J391=""),"",(I391+J391)/2)</f>
        <v/>
      </c>
      <c r="N391" s="49">
        <f>IF(OR(I391="",J391=""),"",J391-I391)</f>
        <v/>
      </c>
      <c r="O391" s="48">
        <f>TEXT(L391,"mmm-yyyy")</f>
        <v/>
      </c>
      <c r="P391" s="48">
        <f>_xlfn.IFS(ISNUMBER(SEARCH("data analy",B391)),"Data Analyst",ISNUMBER(SEARCH("business analy",B391)),"Business Analyst",OR(ISNUMBER(SEARCH("developer",B391)),ISNUMBER(SEARCH("software engineer",B391)),ISNUMBER(SEARCH("programmer",B391))),"Software Developer",ISNUMBER(SEARCH("business development",B391)),"Business Development",ISNUMBER(SEARCH("sales",B391)),"Sales Executive",ISNUMBER(SEARCH("marketing",B391)),"Marketing Executive",OR(ISNUMBER(SEARCH("hr ",B391)),ISNUMBER(SEARCH("recruit",B391)),ISNUMBER(SEARCH("human resource",B391))),"HR / Recruiter",OR(ISNUMBER(SEARCH("account",B391)),ISNUMBER(SEARCH("finance",B391)),ISNUMBER(SEARCH("tax",B391)),ISNUMBER(SEARCH("audit",B391))),"Accountant / Finance",OR(ISNUMBER(SEARCH("customer service",B391)),ISNUMBER(SEARCH("customer support",B391)),ISNUMBER(SEARCH("customer care",B391)),ISNUMBER(SEARCH("voice process",B391)),ISNUMBER(SEARCH("bpo",B391))),"Customer Support",ISNUMBER(SEARCH("engineer",B391)),"Engineer (Technical)",ISNUMBER(SEARCH("manager",B391)),"Manager",OR(ISNUMBER(SEARCH("teacher",B391)),ISNUMBER(SEARCH("trainer",B391)),ISNUMBER(SEARCH("faculty",B391))),"Teacher / Trainer",OR(ISNUMBER(SEARCH("doctor",B391)),ISNUMBER(SEARCH("nurse",B391)),ISNUMBER(SEARCH("medical",B391)),ISNUMBER(SEARCH("pharma",B391)),ISNUMBER(SEARCH("clinical",B391))),"Healthcare",TRUE,"Other")</f>
        <v/>
      </c>
      <c r="Q391" s="48">
        <f>IF(COUNTIFS($B$11:B391,B391,$C$11:C391,C391,$D$11:D391,D391,$L$11:L391,L391)&gt;1,"Duplicate","Unique")</f>
        <v/>
      </c>
    </row>
    <row r="392">
      <c r="A392" s="48">
        <f>Raw_Data!A383</f>
        <v/>
      </c>
      <c r="B392" s="48">
        <f>PROPER(TRIM(Raw_Data!B383))</f>
        <v/>
      </c>
      <c r="C392" s="48">
        <f>TRIM(Raw_Data!C383)</f>
        <v/>
      </c>
      <c r="D392" s="48">
        <f>IF(PROPER(TRIM(Raw_Data!D383))="Bangalore","Bengaluru",IF(PROPER(TRIM(Raw_Data!D383))="Gurgaon","Gurugram",IF(OR(PROPER(TRIM(Raw_Data!D383))="New Delhi",PROPER(TRIM(Raw_Data!D383))="Delhi"),"Delhi",PROPER(TRIM(Raw_Data!D383)))))</f>
        <v/>
      </c>
      <c r="E392" s="48">
        <f>Raw_Data!E383</f>
        <v/>
      </c>
      <c r="F392" s="48">
        <f>IF(TRIM(Raw_Data!F383&amp;"")="","Not Specified",Raw_Data!F383)</f>
        <v/>
      </c>
      <c r="G392" s="48">
        <f>Raw_Data!G383</f>
        <v/>
      </c>
      <c r="H392" s="48">
        <f>Raw_Data!H383</f>
        <v/>
      </c>
      <c r="I392" s="49">
        <f>IF(Raw_Data!I383="","",Raw_Data!I383)</f>
        <v/>
      </c>
      <c r="J392" s="49">
        <f>IF(Raw_Data!J383="","",Raw_Data!J383)</f>
        <v/>
      </c>
      <c r="K392" s="48">
        <f>IF(TRIM(Raw_Data!K383&amp;"")="","Not Specified",Raw_Data!K383)</f>
        <v/>
      </c>
      <c r="L392" s="56">
        <f>Raw_Data!L383</f>
        <v/>
      </c>
      <c r="M392" s="49">
        <f>IF(OR(I392="",J392=""),"",(I392+J392)/2)</f>
        <v/>
      </c>
      <c r="N392" s="49">
        <f>IF(OR(I392="",J392=""),"",J392-I392)</f>
        <v/>
      </c>
      <c r="O392" s="48">
        <f>TEXT(L392,"mmm-yyyy")</f>
        <v/>
      </c>
      <c r="P392" s="48">
        <f>_xlfn.IFS(ISNUMBER(SEARCH("data analy",B392)),"Data Analyst",ISNUMBER(SEARCH("business analy",B392)),"Business Analyst",OR(ISNUMBER(SEARCH("developer",B392)),ISNUMBER(SEARCH("software engineer",B392)),ISNUMBER(SEARCH("programmer",B392))),"Software Developer",ISNUMBER(SEARCH("business development",B392)),"Business Development",ISNUMBER(SEARCH("sales",B392)),"Sales Executive",ISNUMBER(SEARCH("marketing",B392)),"Marketing Executive",OR(ISNUMBER(SEARCH("hr ",B392)),ISNUMBER(SEARCH("recruit",B392)),ISNUMBER(SEARCH("human resource",B392))),"HR / Recruiter",OR(ISNUMBER(SEARCH("account",B392)),ISNUMBER(SEARCH("finance",B392)),ISNUMBER(SEARCH("tax",B392)),ISNUMBER(SEARCH("audit",B392))),"Accountant / Finance",OR(ISNUMBER(SEARCH("customer service",B392)),ISNUMBER(SEARCH("customer support",B392)),ISNUMBER(SEARCH("customer care",B392)),ISNUMBER(SEARCH("voice process",B392)),ISNUMBER(SEARCH("bpo",B392))),"Customer Support",ISNUMBER(SEARCH("engineer",B392)),"Engineer (Technical)",ISNUMBER(SEARCH("manager",B392)),"Manager",OR(ISNUMBER(SEARCH("teacher",B392)),ISNUMBER(SEARCH("trainer",B392)),ISNUMBER(SEARCH("faculty",B392))),"Teacher / Trainer",OR(ISNUMBER(SEARCH("doctor",B392)),ISNUMBER(SEARCH("nurse",B392)),ISNUMBER(SEARCH("medical",B392)),ISNUMBER(SEARCH("pharma",B392)),ISNUMBER(SEARCH("clinical",B392))),"Healthcare",TRUE,"Other")</f>
        <v/>
      </c>
      <c r="Q392" s="48">
        <f>IF(COUNTIFS($B$11:B392,B392,$C$11:C392,C392,$D$11:D392,D392,$L$11:L392,L392)&gt;1,"Duplicate","Unique")</f>
        <v/>
      </c>
    </row>
    <row r="393">
      <c r="A393" s="48">
        <f>Raw_Data!A384</f>
        <v/>
      </c>
      <c r="B393" s="48">
        <f>PROPER(TRIM(Raw_Data!B384))</f>
        <v/>
      </c>
      <c r="C393" s="48">
        <f>TRIM(Raw_Data!C384)</f>
        <v/>
      </c>
      <c r="D393" s="48">
        <f>IF(PROPER(TRIM(Raw_Data!D384))="Bangalore","Bengaluru",IF(PROPER(TRIM(Raw_Data!D384))="Gurgaon","Gurugram",IF(OR(PROPER(TRIM(Raw_Data!D384))="New Delhi",PROPER(TRIM(Raw_Data!D384))="Delhi"),"Delhi",PROPER(TRIM(Raw_Data!D384)))))</f>
        <v/>
      </c>
      <c r="E393" s="48">
        <f>Raw_Data!E384</f>
        <v/>
      </c>
      <c r="F393" s="48">
        <f>IF(TRIM(Raw_Data!F384&amp;"")="","Not Specified",Raw_Data!F384)</f>
        <v/>
      </c>
      <c r="G393" s="48">
        <f>Raw_Data!G384</f>
        <v/>
      </c>
      <c r="H393" s="48">
        <f>Raw_Data!H384</f>
        <v/>
      </c>
      <c r="I393" s="49">
        <f>IF(Raw_Data!I384="","",Raw_Data!I384)</f>
        <v/>
      </c>
      <c r="J393" s="49">
        <f>IF(Raw_Data!J384="","",Raw_Data!J384)</f>
        <v/>
      </c>
      <c r="K393" s="48">
        <f>IF(TRIM(Raw_Data!K384&amp;"")="","Not Specified",Raw_Data!K384)</f>
        <v/>
      </c>
      <c r="L393" s="56">
        <f>Raw_Data!L384</f>
        <v/>
      </c>
      <c r="M393" s="49">
        <f>IF(OR(I393="",J393=""),"",(I393+J393)/2)</f>
        <v/>
      </c>
      <c r="N393" s="49">
        <f>IF(OR(I393="",J393=""),"",J393-I393)</f>
        <v/>
      </c>
      <c r="O393" s="48">
        <f>TEXT(L393,"mmm-yyyy")</f>
        <v/>
      </c>
      <c r="P393" s="48">
        <f>_xlfn.IFS(ISNUMBER(SEARCH("data analy",B393)),"Data Analyst",ISNUMBER(SEARCH("business analy",B393)),"Business Analyst",OR(ISNUMBER(SEARCH("developer",B393)),ISNUMBER(SEARCH("software engineer",B393)),ISNUMBER(SEARCH("programmer",B393))),"Software Developer",ISNUMBER(SEARCH("business development",B393)),"Business Development",ISNUMBER(SEARCH("sales",B393)),"Sales Executive",ISNUMBER(SEARCH("marketing",B393)),"Marketing Executive",OR(ISNUMBER(SEARCH("hr ",B393)),ISNUMBER(SEARCH("recruit",B393)),ISNUMBER(SEARCH("human resource",B393))),"HR / Recruiter",OR(ISNUMBER(SEARCH("account",B393)),ISNUMBER(SEARCH("finance",B393)),ISNUMBER(SEARCH("tax",B393)),ISNUMBER(SEARCH("audit",B393))),"Accountant / Finance",OR(ISNUMBER(SEARCH("customer service",B393)),ISNUMBER(SEARCH("customer support",B393)),ISNUMBER(SEARCH("customer care",B393)),ISNUMBER(SEARCH("voice process",B393)),ISNUMBER(SEARCH("bpo",B393))),"Customer Support",ISNUMBER(SEARCH("engineer",B393)),"Engineer (Technical)",ISNUMBER(SEARCH("manager",B393)),"Manager",OR(ISNUMBER(SEARCH("teacher",B393)),ISNUMBER(SEARCH("trainer",B393)),ISNUMBER(SEARCH("faculty",B393))),"Teacher / Trainer",OR(ISNUMBER(SEARCH("doctor",B393)),ISNUMBER(SEARCH("nurse",B393)),ISNUMBER(SEARCH("medical",B393)),ISNUMBER(SEARCH("pharma",B393)),ISNUMBER(SEARCH("clinical",B393))),"Healthcare",TRUE,"Other")</f>
        <v/>
      </c>
      <c r="Q393" s="48">
        <f>IF(COUNTIFS($B$11:B393,B393,$C$11:C393,C393,$D$11:D393,D393,$L$11:L393,L393)&gt;1,"Duplicate","Unique")</f>
        <v/>
      </c>
    </row>
    <row r="394">
      <c r="A394" s="48">
        <f>Raw_Data!A385</f>
        <v/>
      </c>
      <c r="B394" s="48">
        <f>PROPER(TRIM(Raw_Data!B385))</f>
        <v/>
      </c>
      <c r="C394" s="48">
        <f>TRIM(Raw_Data!C385)</f>
        <v/>
      </c>
      <c r="D394" s="48">
        <f>IF(PROPER(TRIM(Raw_Data!D385))="Bangalore","Bengaluru",IF(PROPER(TRIM(Raw_Data!D385))="Gurgaon","Gurugram",IF(OR(PROPER(TRIM(Raw_Data!D385))="New Delhi",PROPER(TRIM(Raw_Data!D385))="Delhi"),"Delhi",PROPER(TRIM(Raw_Data!D385)))))</f>
        <v/>
      </c>
      <c r="E394" s="48">
        <f>Raw_Data!E385</f>
        <v/>
      </c>
      <c r="F394" s="48">
        <f>IF(TRIM(Raw_Data!F385&amp;"")="","Not Specified",Raw_Data!F385)</f>
        <v/>
      </c>
      <c r="G394" s="48">
        <f>Raw_Data!G385</f>
        <v/>
      </c>
      <c r="H394" s="48">
        <f>Raw_Data!H385</f>
        <v/>
      </c>
      <c r="I394" s="49">
        <f>IF(Raw_Data!I385="","",Raw_Data!I385)</f>
        <v/>
      </c>
      <c r="J394" s="49">
        <f>IF(Raw_Data!J385="","",Raw_Data!J385)</f>
        <v/>
      </c>
      <c r="K394" s="48">
        <f>IF(TRIM(Raw_Data!K385&amp;"")="","Not Specified",Raw_Data!K385)</f>
        <v/>
      </c>
      <c r="L394" s="56">
        <f>Raw_Data!L385</f>
        <v/>
      </c>
      <c r="M394" s="49">
        <f>IF(OR(I394="",J394=""),"",(I394+J394)/2)</f>
        <v/>
      </c>
      <c r="N394" s="49">
        <f>IF(OR(I394="",J394=""),"",J394-I394)</f>
        <v/>
      </c>
      <c r="O394" s="48">
        <f>TEXT(L394,"mmm-yyyy")</f>
        <v/>
      </c>
      <c r="P394" s="48">
        <f>_xlfn.IFS(ISNUMBER(SEARCH("data analy",B394)),"Data Analyst",ISNUMBER(SEARCH("business analy",B394)),"Business Analyst",OR(ISNUMBER(SEARCH("developer",B394)),ISNUMBER(SEARCH("software engineer",B394)),ISNUMBER(SEARCH("programmer",B394))),"Software Developer",ISNUMBER(SEARCH("business development",B394)),"Business Development",ISNUMBER(SEARCH("sales",B394)),"Sales Executive",ISNUMBER(SEARCH("marketing",B394)),"Marketing Executive",OR(ISNUMBER(SEARCH("hr ",B394)),ISNUMBER(SEARCH("recruit",B394)),ISNUMBER(SEARCH("human resource",B394))),"HR / Recruiter",OR(ISNUMBER(SEARCH("account",B394)),ISNUMBER(SEARCH("finance",B394)),ISNUMBER(SEARCH("tax",B394)),ISNUMBER(SEARCH("audit",B394))),"Accountant / Finance",OR(ISNUMBER(SEARCH("customer service",B394)),ISNUMBER(SEARCH("customer support",B394)),ISNUMBER(SEARCH("customer care",B394)),ISNUMBER(SEARCH("voice process",B394)),ISNUMBER(SEARCH("bpo",B394))),"Customer Support",ISNUMBER(SEARCH("engineer",B394)),"Engineer (Technical)",ISNUMBER(SEARCH("manager",B394)),"Manager",OR(ISNUMBER(SEARCH("teacher",B394)),ISNUMBER(SEARCH("trainer",B394)),ISNUMBER(SEARCH("faculty",B394))),"Teacher / Trainer",OR(ISNUMBER(SEARCH("doctor",B394)),ISNUMBER(SEARCH("nurse",B394)),ISNUMBER(SEARCH("medical",B394)),ISNUMBER(SEARCH("pharma",B394)),ISNUMBER(SEARCH("clinical",B394))),"Healthcare",TRUE,"Other")</f>
        <v/>
      </c>
      <c r="Q394" s="48">
        <f>IF(COUNTIFS($B$11:B394,B394,$C$11:C394,C394,$D$11:D394,D394,$L$11:L394,L394)&gt;1,"Duplicate","Unique")</f>
        <v/>
      </c>
    </row>
    <row r="395">
      <c r="A395" s="48">
        <f>Raw_Data!A386</f>
        <v/>
      </c>
      <c r="B395" s="48">
        <f>PROPER(TRIM(Raw_Data!B386))</f>
        <v/>
      </c>
      <c r="C395" s="48">
        <f>TRIM(Raw_Data!C386)</f>
        <v/>
      </c>
      <c r="D395" s="48">
        <f>IF(PROPER(TRIM(Raw_Data!D386))="Bangalore","Bengaluru",IF(PROPER(TRIM(Raw_Data!D386))="Gurgaon","Gurugram",IF(OR(PROPER(TRIM(Raw_Data!D386))="New Delhi",PROPER(TRIM(Raw_Data!D386))="Delhi"),"Delhi",PROPER(TRIM(Raw_Data!D386)))))</f>
        <v/>
      </c>
      <c r="E395" s="48">
        <f>Raw_Data!E386</f>
        <v/>
      </c>
      <c r="F395" s="48">
        <f>IF(TRIM(Raw_Data!F386&amp;"")="","Not Specified",Raw_Data!F386)</f>
        <v/>
      </c>
      <c r="G395" s="48">
        <f>Raw_Data!G386</f>
        <v/>
      </c>
      <c r="H395" s="48">
        <f>Raw_Data!H386</f>
        <v/>
      </c>
      <c r="I395" s="49">
        <f>IF(Raw_Data!I386="","",Raw_Data!I386)</f>
        <v/>
      </c>
      <c r="J395" s="49">
        <f>IF(Raw_Data!J386="","",Raw_Data!J386)</f>
        <v/>
      </c>
      <c r="K395" s="48">
        <f>IF(TRIM(Raw_Data!K386&amp;"")="","Not Specified",Raw_Data!K386)</f>
        <v/>
      </c>
      <c r="L395" s="56">
        <f>Raw_Data!L386</f>
        <v/>
      </c>
      <c r="M395" s="49">
        <f>IF(OR(I395="",J395=""),"",(I395+J395)/2)</f>
        <v/>
      </c>
      <c r="N395" s="49">
        <f>IF(OR(I395="",J395=""),"",J395-I395)</f>
        <v/>
      </c>
      <c r="O395" s="48">
        <f>TEXT(L395,"mmm-yyyy")</f>
        <v/>
      </c>
      <c r="P395" s="48">
        <f>_xlfn.IFS(ISNUMBER(SEARCH("data analy",B395)),"Data Analyst",ISNUMBER(SEARCH("business analy",B395)),"Business Analyst",OR(ISNUMBER(SEARCH("developer",B395)),ISNUMBER(SEARCH("software engineer",B395)),ISNUMBER(SEARCH("programmer",B395))),"Software Developer",ISNUMBER(SEARCH("business development",B395)),"Business Development",ISNUMBER(SEARCH("sales",B395)),"Sales Executive",ISNUMBER(SEARCH("marketing",B395)),"Marketing Executive",OR(ISNUMBER(SEARCH("hr ",B395)),ISNUMBER(SEARCH("recruit",B395)),ISNUMBER(SEARCH("human resource",B395))),"HR / Recruiter",OR(ISNUMBER(SEARCH("account",B395)),ISNUMBER(SEARCH("finance",B395)),ISNUMBER(SEARCH("tax",B395)),ISNUMBER(SEARCH("audit",B395))),"Accountant / Finance",OR(ISNUMBER(SEARCH("customer service",B395)),ISNUMBER(SEARCH("customer support",B395)),ISNUMBER(SEARCH("customer care",B395)),ISNUMBER(SEARCH("voice process",B395)),ISNUMBER(SEARCH("bpo",B395))),"Customer Support",ISNUMBER(SEARCH("engineer",B395)),"Engineer (Technical)",ISNUMBER(SEARCH("manager",B395)),"Manager",OR(ISNUMBER(SEARCH("teacher",B395)),ISNUMBER(SEARCH("trainer",B395)),ISNUMBER(SEARCH("faculty",B395))),"Teacher / Trainer",OR(ISNUMBER(SEARCH("doctor",B395)),ISNUMBER(SEARCH("nurse",B395)),ISNUMBER(SEARCH("medical",B395)),ISNUMBER(SEARCH("pharma",B395)),ISNUMBER(SEARCH("clinical",B395))),"Healthcare",TRUE,"Other")</f>
        <v/>
      </c>
      <c r="Q395" s="48">
        <f>IF(COUNTIFS($B$11:B395,B395,$C$11:C395,C395,$D$11:D395,D395,$L$11:L395,L395)&gt;1,"Duplicate","Unique")</f>
        <v/>
      </c>
    </row>
    <row r="396">
      <c r="A396" s="48">
        <f>Raw_Data!A387</f>
        <v/>
      </c>
      <c r="B396" s="48">
        <f>PROPER(TRIM(Raw_Data!B387))</f>
        <v/>
      </c>
      <c r="C396" s="48">
        <f>TRIM(Raw_Data!C387)</f>
        <v/>
      </c>
      <c r="D396" s="48">
        <f>IF(PROPER(TRIM(Raw_Data!D387))="Bangalore","Bengaluru",IF(PROPER(TRIM(Raw_Data!D387))="Gurgaon","Gurugram",IF(OR(PROPER(TRIM(Raw_Data!D387))="New Delhi",PROPER(TRIM(Raw_Data!D387))="Delhi"),"Delhi",PROPER(TRIM(Raw_Data!D387)))))</f>
        <v/>
      </c>
      <c r="E396" s="48">
        <f>Raw_Data!E387</f>
        <v/>
      </c>
      <c r="F396" s="48">
        <f>IF(TRIM(Raw_Data!F387&amp;"")="","Not Specified",Raw_Data!F387)</f>
        <v/>
      </c>
      <c r="G396" s="48">
        <f>Raw_Data!G387</f>
        <v/>
      </c>
      <c r="H396" s="48">
        <f>Raw_Data!H387</f>
        <v/>
      </c>
      <c r="I396" s="49">
        <f>IF(Raw_Data!I387="","",Raw_Data!I387)</f>
        <v/>
      </c>
      <c r="J396" s="49">
        <f>IF(Raw_Data!J387="","",Raw_Data!J387)</f>
        <v/>
      </c>
      <c r="K396" s="48">
        <f>IF(TRIM(Raw_Data!K387&amp;"")="","Not Specified",Raw_Data!K387)</f>
        <v/>
      </c>
      <c r="L396" s="56">
        <f>Raw_Data!L387</f>
        <v/>
      </c>
      <c r="M396" s="49">
        <f>IF(OR(I396="",J396=""),"",(I396+J396)/2)</f>
        <v/>
      </c>
      <c r="N396" s="49">
        <f>IF(OR(I396="",J396=""),"",J396-I396)</f>
        <v/>
      </c>
      <c r="O396" s="48">
        <f>TEXT(L396,"mmm-yyyy")</f>
        <v/>
      </c>
      <c r="P396" s="48">
        <f>_xlfn.IFS(ISNUMBER(SEARCH("data analy",B396)),"Data Analyst",ISNUMBER(SEARCH("business analy",B396)),"Business Analyst",OR(ISNUMBER(SEARCH("developer",B396)),ISNUMBER(SEARCH("software engineer",B396)),ISNUMBER(SEARCH("programmer",B396))),"Software Developer",ISNUMBER(SEARCH("business development",B396)),"Business Development",ISNUMBER(SEARCH("sales",B396)),"Sales Executive",ISNUMBER(SEARCH("marketing",B396)),"Marketing Executive",OR(ISNUMBER(SEARCH("hr ",B396)),ISNUMBER(SEARCH("recruit",B396)),ISNUMBER(SEARCH("human resource",B396))),"HR / Recruiter",OR(ISNUMBER(SEARCH("account",B396)),ISNUMBER(SEARCH("finance",B396)),ISNUMBER(SEARCH("tax",B396)),ISNUMBER(SEARCH("audit",B396))),"Accountant / Finance",OR(ISNUMBER(SEARCH("customer service",B396)),ISNUMBER(SEARCH("customer support",B396)),ISNUMBER(SEARCH("customer care",B396)),ISNUMBER(SEARCH("voice process",B396)),ISNUMBER(SEARCH("bpo",B396))),"Customer Support",ISNUMBER(SEARCH("engineer",B396)),"Engineer (Technical)",ISNUMBER(SEARCH("manager",B396)),"Manager",OR(ISNUMBER(SEARCH("teacher",B396)),ISNUMBER(SEARCH("trainer",B396)),ISNUMBER(SEARCH("faculty",B396))),"Teacher / Trainer",OR(ISNUMBER(SEARCH("doctor",B396)),ISNUMBER(SEARCH("nurse",B396)),ISNUMBER(SEARCH("medical",B396)),ISNUMBER(SEARCH("pharma",B396)),ISNUMBER(SEARCH("clinical",B396))),"Healthcare",TRUE,"Other")</f>
        <v/>
      </c>
      <c r="Q396" s="48">
        <f>IF(COUNTIFS($B$11:B396,B396,$C$11:C396,C396,$D$11:D396,D396,$L$11:L396,L396)&gt;1,"Duplicate","Unique")</f>
        <v/>
      </c>
    </row>
    <row r="397">
      <c r="A397" s="48">
        <f>Raw_Data!A388</f>
        <v/>
      </c>
      <c r="B397" s="48">
        <f>PROPER(TRIM(Raw_Data!B388))</f>
        <v/>
      </c>
      <c r="C397" s="48">
        <f>TRIM(Raw_Data!C388)</f>
        <v/>
      </c>
      <c r="D397" s="48">
        <f>IF(PROPER(TRIM(Raw_Data!D388))="Bangalore","Bengaluru",IF(PROPER(TRIM(Raw_Data!D388))="Gurgaon","Gurugram",IF(OR(PROPER(TRIM(Raw_Data!D388))="New Delhi",PROPER(TRIM(Raw_Data!D388))="Delhi"),"Delhi",PROPER(TRIM(Raw_Data!D388)))))</f>
        <v/>
      </c>
      <c r="E397" s="48">
        <f>Raw_Data!E388</f>
        <v/>
      </c>
      <c r="F397" s="48">
        <f>IF(TRIM(Raw_Data!F388&amp;"")="","Not Specified",Raw_Data!F388)</f>
        <v/>
      </c>
      <c r="G397" s="48">
        <f>Raw_Data!G388</f>
        <v/>
      </c>
      <c r="H397" s="48">
        <f>Raw_Data!H388</f>
        <v/>
      </c>
      <c r="I397" s="49">
        <f>IF(Raw_Data!I388="","",Raw_Data!I388)</f>
        <v/>
      </c>
      <c r="J397" s="49">
        <f>IF(Raw_Data!J388="","",Raw_Data!J388)</f>
        <v/>
      </c>
      <c r="K397" s="48">
        <f>IF(TRIM(Raw_Data!K388&amp;"")="","Not Specified",Raw_Data!K388)</f>
        <v/>
      </c>
      <c r="L397" s="56">
        <f>Raw_Data!L388</f>
        <v/>
      </c>
      <c r="M397" s="49">
        <f>IF(OR(I397="",J397=""),"",(I397+J397)/2)</f>
        <v/>
      </c>
      <c r="N397" s="49">
        <f>IF(OR(I397="",J397=""),"",J397-I397)</f>
        <v/>
      </c>
      <c r="O397" s="48">
        <f>TEXT(L397,"mmm-yyyy")</f>
        <v/>
      </c>
      <c r="P397" s="48">
        <f>_xlfn.IFS(ISNUMBER(SEARCH("data analy",B397)),"Data Analyst",ISNUMBER(SEARCH("business analy",B397)),"Business Analyst",OR(ISNUMBER(SEARCH("developer",B397)),ISNUMBER(SEARCH("software engineer",B397)),ISNUMBER(SEARCH("programmer",B397))),"Software Developer",ISNUMBER(SEARCH("business development",B397)),"Business Development",ISNUMBER(SEARCH("sales",B397)),"Sales Executive",ISNUMBER(SEARCH("marketing",B397)),"Marketing Executive",OR(ISNUMBER(SEARCH("hr ",B397)),ISNUMBER(SEARCH("recruit",B397)),ISNUMBER(SEARCH("human resource",B397))),"HR / Recruiter",OR(ISNUMBER(SEARCH("account",B397)),ISNUMBER(SEARCH("finance",B397)),ISNUMBER(SEARCH("tax",B397)),ISNUMBER(SEARCH("audit",B397))),"Accountant / Finance",OR(ISNUMBER(SEARCH("customer service",B397)),ISNUMBER(SEARCH("customer support",B397)),ISNUMBER(SEARCH("customer care",B397)),ISNUMBER(SEARCH("voice process",B397)),ISNUMBER(SEARCH("bpo",B397))),"Customer Support",ISNUMBER(SEARCH("engineer",B397)),"Engineer (Technical)",ISNUMBER(SEARCH("manager",B397)),"Manager",OR(ISNUMBER(SEARCH("teacher",B397)),ISNUMBER(SEARCH("trainer",B397)),ISNUMBER(SEARCH("faculty",B397))),"Teacher / Trainer",OR(ISNUMBER(SEARCH("doctor",B397)),ISNUMBER(SEARCH("nurse",B397)),ISNUMBER(SEARCH("medical",B397)),ISNUMBER(SEARCH("pharma",B397)),ISNUMBER(SEARCH("clinical",B397))),"Healthcare",TRUE,"Other")</f>
        <v/>
      </c>
      <c r="Q397" s="48">
        <f>IF(COUNTIFS($B$11:B397,B397,$C$11:C397,C397,$D$11:D397,D397,$L$11:L397,L397)&gt;1,"Duplicate","Unique")</f>
        <v/>
      </c>
    </row>
    <row r="398">
      <c r="A398" s="48">
        <f>Raw_Data!A389</f>
        <v/>
      </c>
      <c r="B398" s="48">
        <f>PROPER(TRIM(Raw_Data!B389))</f>
        <v/>
      </c>
      <c r="C398" s="48">
        <f>TRIM(Raw_Data!C389)</f>
        <v/>
      </c>
      <c r="D398" s="48">
        <f>IF(PROPER(TRIM(Raw_Data!D389))="Bangalore","Bengaluru",IF(PROPER(TRIM(Raw_Data!D389))="Gurgaon","Gurugram",IF(OR(PROPER(TRIM(Raw_Data!D389))="New Delhi",PROPER(TRIM(Raw_Data!D389))="Delhi"),"Delhi",PROPER(TRIM(Raw_Data!D389)))))</f>
        <v/>
      </c>
      <c r="E398" s="48">
        <f>Raw_Data!E389</f>
        <v/>
      </c>
      <c r="F398" s="48">
        <f>IF(TRIM(Raw_Data!F389&amp;"")="","Not Specified",Raw_Data!F389)</f>
        <v/>
      </c>
      <c r="G398" s="48">
        <f>Raw_Data!G389</f>
        <v/>
      </c>
      <c r="H398" s="48">
        <f>Raw_Data!H389</f>
        <v/>
      </c>
      <c r="I398" s="49">
        <f>IF(Raw_Data!I389="","",Raw_Data!I389)</f>
        <v/>
      </c>
      <c r="J398" s="49">
        <f>IF(Raw_Data!J389="","",Raw_Data!J389)</f>
        <v/>
      </c>
      <c r="K398" s="48">
        <f>IF(TRIM(Raw_Data!K389&amp;"")="","Not Specified",Raw_Data!K389)</f>
        <v/>
      </c>
      <c r="L398" s="56">
        <f>Raw_Data!L389</f>
        <v/>
      </c>
      <c r="M398" s="49">
        <f>IF(OR(I398="",J398=""),"",(I398+J398)/2)</f>
        <v/>
      </c>
      <c r="N398" s="49">
        <f>IF(OR(I398="",J398=""),"",J398-I398)</f>
        <v/>
      </c>
      <c r="O398" s="48">
        <f>TEXT(L398,"mmm-yyyy")</f>
        <v/>
      </c>
      <c r="P398" s="48">
        <f>_xlfn.IFS(ISNUMBER(SEARCH("data analy",B398)),"Data Analyst",ISNUMBER(SEARCH("business analy",B398)),"Business Analyst",OR(ISNUMBER(SEARCH("developer",B398)),ISNUMBER(SEARCH("software engineer",B398)),ISNUMBER(SEARCH("programmer",B398))),"Software Developer",ISNUMBER(SEARCH("business development",B398)),"Business Development",ISNUMBER(SEARCH("sales",B398)),"Sales Executive",ISNUMBER(SEARCH("marketing",B398)),"Marketing Executive",OR(ISNUMBER(SEARCH("hr ",B398)),ISNUMBER(SEARCH("recruit",B398)),ISNUMBER(SEARCH("human resource",B398))),"HR / Recruiter",OR(ISNUMBER(SEARCH("account",B398)),ISNUMBER(SEARCH("finance",B398)),ISNUMBER(SEARCH("tax",B398)),ISNUMBER(SEARCH("audit",B398))),"Accountant / Finance",OR(ISNUMBER(SEARCH("customer service",B398)),ISNUMBER(SEARCH("customer support",B398)),ISNUMBER(SEARCH("customer care",B398)),ISNUMBER(SEARCH("voice process",B398)),ISNUMBER(SEARCH("bpo",B398))),"Customer Support",ISNUMBER(SEARCH("engineer",B398)),"Engineer (Technical)",ISNUMBER(SEARCH("manager",B398)),"Manager",OR(ISNUMBER(SEARCH("teacher",B398)),ISNUMBER(SEARCH("trainer",B398)),ISNUMBER(SEARCH("faculty",B398))),"Teacher / Trainer",OR(ISNUMBER(SEARCH("doctor",B398)),ISNUMBER(SEARCH("nurse",B398)),ISNUMBER(SEARCH("medical",B398)),ISNUMBER(SEARCH("pharma",B398)),ISNUMBER(SEARCH("clinical",B398))),"Healthcare",TRUE,"Other")</f>
        <v/>
      </c>
      <c r="Q398" s="48">
        <f>IF(COUNTIFS($B$11:B398,B398,$C$11:C398,C398,$D$11:D398,D398,$L$11:L398,L398)&gt;1,"Duplicate","Unique")</f>
        <v/>
      </c>
    </row>
    <row r="399">
      <c r="A399" s="48">
        <f>Raw_Data!A390</f>
        <v/>
      </c>
      <c r="B399" s="48">
        <f>PROPER(TRIM(Raw_Data!B390))</f>
        <v/>
      </c>
      <c r="C399" s="48">
        <f>TRIM(Raw_Data!C390)</f>
        <v/>
      </c>
      <c r="D399" s="48">
        <f>IF(PROPER(TRIM(Raw_Data!D390))="Bangalore","Bengaluru",IF(PROPER(TRIM(Raw_Data!D390))="Gurgaon","Gurugram",IF(OR(PROPER(TRIM(Raw_Data!D390))="New Delhi",PROPER(TRIM(Raw_Data!D390))="Delhi"),"Delhi",PROPER(TRIM(Raw_Data!D390)))))</f>
        <v/>
      </c>
      <c r="E399" s="48">
        <f>Raw_Data!E390</f>
        <v/>
      </c>
      <c r="F399" s="48">
        <f>IF(TRIM(Raw_Data!F390&amp;"")="","Not Specified",Raw_Data!F390)</f>
        <v/>
      </c>
      <c r="G399" s="48">
        <f>Raw_Data!G390</f>
        <v/>
      </c>
      <c r="H399" s="48">
        <f>Raw_Data!H390</f>
        <v/>
      </c>
      <c r="I399" s="49">
        <f>IF(Raw_Data!I390="","",Raw_Data!I390)</f>
        <v/>
      </c>
      <c r="J399" s="49">
        <f>IF(Raw_Data!J390="","",Raw_Data!J390)</f>
        <v/>
      </c>
      <c r="K399" s="48">
        <f>IF(TRIM(Raw_Data!K390&amp;"")="","Not Specified",Raw_Data!K390)</f>
        <v/>
      </c>
      <c r="L399" s="56">
        <f>Raw_Data!L390</f>
        <v/>
      </c>
      <c r="M399" s="49">
        <f>IF(OR(I399="",J399=""),"",(I399+J399)/2)</f>
        <v/>
      </c>
      <c r="N399" s="49">
        <f>IF(OR(I399="",J399=""),"",J399-I399)</f>
        <v/>
      </c>
      <c r="O399" s="48">
        <f>TEXT(L399,"mmm-yyyy")</f>
        <v/>
      </c>
      <c r="P399" s="48">
        <f>_xlfn.IFS(ISNUMBER(SEARCH("data analy",B399)),"Data Analyst",ISNUMBER(SEARCH("business analy",B399)),"Business Analyst",OR(ISNUMBER(SEARCH("developer",B399)),ISNUMBER(SEARCH("software engineer",B399)),ISNUMBER(SEARCH("programmer",B399))),"Software Developer",ISNUMBER(SEARCH("business development",B399)),"Business Development",ISNUMBER(SEARCH("sales",B399)),"Sales Executive",ISNUMBER(SEARCH("marketing",B399)),"Marketing Executive",OR(ISNUMBER(SEARCH("hr ",B399)),ISNUMBER(SEARCH("recruit",B399)),ISNUMBER(SEARCH("human resource",B399))),"HR / Recruiter",OR(ISNUMBER(SEARCH("account",B399)),ISNUMBER(SEARCH("finance",B399)),ISNUMBER(SEARCH("tax",B399)),ISNUMBER(SEARCH("audit",B399))),"Accountant / Finance",OR(ISNUMBER(SEARCH("customer service",B399)),ISNUMBER(SEARCH("customer support",B399)),ISNUMBER(SEARCH("customer care",B399)),ISNUMBER(SEARCH("voice process",B399)),ISNUMBER(SEARCH("bpo",B399))),"Customer Support",ISNUMBER(SEARCH("engineer",B399)),"Engineer (Technical)",ISNUMBER(SEARCH("manager",B399)),"Manager",OR(ISNUMBER(SEARCH("teacher",B399)),ISNUMBER(SEARCH("trainer",B399)),ISNUMBER(SEARCH("faculty",B399))),"Teacher / Trainer",OR(ISNUMBER(SEARCH("doctor",B399)),ISNUMBER(SEARCH("nurse",B399)),ISNUMBER(SEARCH("medical",B399)),ISNUMBER(SEARCH("pharma",B399)),ISNUMBER(SEARCH("clinical",B399))),"Healthcare",TRUE,"Other")</f>
        <v/>
      </c>
      <c r="Q399" s="48">
        <f>IF(COUNTIFS($B$11:B399,B399,$C$11:C399,C399,$D$11:D399,D399,$L$11:L399,L399)&gt;1,"Duplicate","Unique")</f>
        <v/>
      </c>
    </row>
    <row r="400">
      <c r="A400" s="48">
        <f>Raw_Data!A391</f>
        <v/>
      </c>
      <c r="B400" s="48">
        <f>PROPER(TRIM(Raw_Data!B391))</f>
        <v/>
      </c>
      <c r="C400" s="48">
        <f>TRIM(Raw_Data!C391)</f>
        <v/>
      </c>
      <c r="D400" s="48">
        <f>IF(PROPER(TRIM(Raw_Data!D391))="Bangalore","Bengaluru",IF(PROPER(TRIM(Raw_Data!D391))="Gurgaon","Gurugram",IF(OR(PROPER(TRIM(Raw_Data!D391))="New Delhi",PROPER(TRIM(Raw_Data!D391))="Delhi"),"Delhi",PROPER(TRIM(Raw_Data!D391)))))</f>
        <v/>
      </c>
      <c r="E400" s="48">
        <f>Raw_Data!E391</f>
        <v/>
      </c>
      <c r="F400" s="48">
        <f>IF(TRIM(Raw_Data!F391&amp;"")="","Not Specified",Raw_Data!F391)</f>
        <v/>
      </c>
      <c r="G400" s="48">
        <f>Raw_Data!G391</f>
        <v/>
      </c>
      <c r="H400" s="48">
        <f>Raw_Data!H391</f>
        <v/>
      </c>
      <c r="I400" s="49">
        <f>IF(Raw_Data!I391="","",Raw_Data!I391)</f>
        <v/>
      </c>
      <c r="J400" s="49">
        <f>IF(Raw_Data!J391="","",Raw_Data!J391)</f>
        <v/>
      </c>
      <c r="K400" s="48">
        <f>IF(TRIM(Raw_Data!K391&amp;"")="","Not Specified",Raw_Data!K391)</f>
        <v/>
      </c>
      <c r="L400" s="56">
        <f>Raw_Data!L391</f>
        <v/>
      </c>
      <c r="M400" s="49">
        <f>IF(OR(I400="",J400=""),"",(I400+J400)/2)</f>
        <v/>
      </c>
      <c r="N400" s="49">
        <f>IF(OR(I400="",J400=""),"",J400-I400)</f>
        <v/>
      </c>
      <c r="O400" s="48">
        <f>TEXT(L400,"mmm-yyyy")</f>
        <v/>
      </c>
      <c r="P400" s="48">
        <f>_xlfn.IFS(ISNUMBER(SEARCH("data analy",B400)),"Data Analyst",ISNUMBER(SEARCH("business analy",B400)),"Business Analyst",OR(ISNUMBER(SEARCH("developer",B400)),ISNUMBER(SEARCH("software engineer",B400)),ISNUMBER(SEARCH("programmer",B400))),"Software Developer",ISNUMBER(SEARCH("business development",B400)),"Business Development",ISNUMBER(SEARCH("sales",B400)),"Sales Executive",ISNUMBER(SEARCH("marketing",B400)),"Marketing Executive",OR(ISNUMBER(SEARCH("hr ",B400)),ISNUMBER(SEARCH("recruit",B400)),ISNUMBER(SEARCH("human resource",B400))),"HR / Recruiter",OR(ISNUMBER(SEARCH("account",B400)),ISNUMBER(SEARCH("finance",B400)),ISNUMBER(SEARCH("tax",B400)),ISNUMBER(SEARCH("audit",B400))),"Accountant / Finance",OR(ISNUMBER(SEARCH("customer service",B400)),ISNUMBER(SEARCH("customer support",B400)),ISNUMBER(SEARCH("customer care",B400)),ISNUMBER(SEARCH("voice process",B400)),ISNUMBER(SEARCH("bpo",B400))),"Customer Support",ISNUMBER(SEARCH("engineer",B400)),"Engineer (Technical)",ISNUMBER(SEARCH("manager",B400)),"Manager",OR(ISNUMBER(SEARCH("teacher",B400)),ISNUMBER(SEARCH("trainer",B400)),ISNUMBER(SEARCH("faculty",B400))),"Teacher / Trainer",OR(ISNUMBER(SEARCH("doctor",B400)),ISNUMBER(SEARCH("nurse",B400)),ISNUMBER(SEARCH("medical",B400)),ISNUMBER(SEARCH("pharma",B400)),ISNUMBER(SEARCH("clinical",B400))),"Healthcare",TRUE,"Other")</f>
        <v/>
      </c>
      <c r="Q400" s="48">
        <f>IF(COUNTIFS($B$11:B400,B400,$C$11:C400,C400,$D$11:D400,D400,$L$11:L400,L400)&gt;1,"Duplicate","Unique")</f>
        <v/>
      </c>
    </row>
    <row r="401">
      <c r="A401" s="48">
        <f>Raw_Data!A392</f>
        <v/>
      </c>
      <c r="B401" s="48">
        <f>PROPER(TRIM(Raw_Data!B392))</f>
        <v/>
      </c>
      <c r="C401" s="48">
        <f>TRIM(Raw_Data!C392)</f>
        <v/>
      </c>
      <c r="D401" s="48">
        <f>IF(PROPER(TRIM(Raw_Data!D392))="Bangalore","Bengaluru",IF(PROPER(TRIM(Raw_Data!D392))="Gurgaon","Gurugram",IF(OR(PROPER(TRIM(Raw_Data!D392))="New Delhi",PROPER(TRIM(Raw_Data!D392))="Delhi"),"Delhi",PROPER(TRIM(Raw_Data!D392)))))</f>
        <v/>
      </c>
      <c r="E401" s="48">
        <f>Raw_Data!E392</f>
        <v/>
      </c>
      <c r="F401" s="48">
        <f>IF(TRIM(Raw_Data!F392&amp;"")="","Not Specified",Raw_Data!F392)</f>
        <v/>
      </c>
      <c r="G401" s="48">
        <f>Raw_Data!G392</f>
        <v/>
      </c>
      <c r="H401" s="48">
        <f>Raw_Data!H392</f>
        <v/>
      </c>
      <c r="I401" s="49">
        <f>IF(Raw_Data!I392="","",Raw_Data!I392)</f>
        <v/>
      </c>
      <c r="J401" s="49">
        <f>IF(Raw_Data!J392="","",Raw_Data!J392)</f>
        <v/>
      </c>
      <c r="K401" s="48">
        <f>IF(TRIM(Raw_Data!K392&amp;"")="","Not Specified",Raw_Data!K392)</f>
        <v/>
      </c>
      <c r="L401" s="56">
        <f>Raw_Data!L392</f>
        <v/>
      </c>
      <c r="M401" s="49">
        <f>IF(OR(I401="",J401=""),"",(I401+J401)/2)</f>
        <v/>
      </c>
      <c r="N401" s="49">
        <f>IF(OR(I401="",J401=""),"",J401-I401)</f>
        <v/>
      </c>
      <c r="O401" s="48">
        <f>TEXT(L401,"mmm-yyyy")</f>
        <v/>
      </c>
      <c r="P401" s="48">
        <f>_xlfn.IFS(ISNUMBER(SEARCH("data analy",B401)),"Data Analyst",ISNUMBER(SEARCH("business analy",B401)),"Business Analyst",OR(ISNUMBER(SEARCH("developer",B401)),ISNUMBER(SEARCH("software engineer",B401)),ISNUMBER(SEARCH("programmer",B401))),"Software Developer",ISNUMBER(SEARCH("business development",B401)),"Business Development",ISNUMBER(SEARCH("sales",B401)),"Sales Executive",ISNUMBER(SEARCH("marketing",B401)),"Marketing Executive",OR(ISNUMBER(SEARCH("hr ",B401)),ISNUMBER(SEARCH("recruit",B401)),ISNUMBER(SEARCH("human resource",B401))),"HR / Recruiter",OR(ISNUMBER(SEARCH("account",B401)),ISNUMBER(SEARCH("finance",B401)),ISNUMBER(SEARCH("tax",B401)),ISNUMBER(SEARCH("audit",B401))),"Accountant / Finance",OR(ISNUMBER(SEARCH("customer service",B401)),ISNUMBER(SEARCH("customer support",B401)),ISNUMBER(SEARCH("customer care",B401)),ISNUMBER(SEARCH("voice process",B401)),ISNUMBER(SEARCH("bpo",B401))),"Customer Support",ISNUMBER(SEARCH("engineer",B401)),"Engineer (Technical)",ISNUMBER(SEARCH("manager",B401)),"Manager",OR(ISNUMBER(SEARCH("teacher",B401)),ISNUMBER(SEARCH("trainer",B401)),ISNUMBER(SEARCH("faculty",B401))),"Teacher / Trainer",OR(ISNUMBER(SEARCH("doctor",B401)),ISNUMBER(SEARCH("nurse",B401)),ISNUMBER(SEARCH("medical",B401)),ISNUMBER(SEARCH("pharma",B401)),ISNUMBER(SEARCH("clinical",B401))),"Healthcare",TRUE,"Other")</f>
        <v/>
      </c>
      <c r="Q401" s="48">
        <f>IF(COUNTIFS($B$11:B401,B401,$C$11:C401,C401,$D$11:D401,D401,$L$11:L401,L401)&gt;1,"Duplicate","Unique")</f>
        <v/>
      </c>
    </row>
    <row r="402">
      <c r="A402" s="48">
        <f>Raw_Data!A393</f>
        <v/>
      </c>
      <c r="B402" s="48">
        <f>PROPER(TRIM(Raw_Data!B393))</f>
        <v/>
      </c>
      <c r="C402" s="48">
        <f>TRIM(Raw_Data!C393)</f>
        <v/>
      </c>
      <c r="D402" s="48">
        <f>IF(PROPER(TRIM(Raw_Data!D393))="Bangalore","Bengaluru",IF(PROPER(TRIM(Raw_Data!D393))="Gurgaon","Gurugram",IF(OR(PROPER(TRIM(Raw_Data!D393))="New Delhi",PROPER(TRIM(Raw_Data!D393))="Delhi"),"Delhi",PROPER(TRIM(Raw_Data!D393)))))</f>
        <v/>
      </c>
      <c r="E402" s="48">
        <f>Raw_Data!E393</f>
        <v/>
      </c>
      <c r="F402" s="48">
        <f>IF(TRIM(Raw_Data!F393&amp;"")="","Not Specified",Raw_Data!F393)</f>
        <v/>
      </c>
      <c r="G402" s="48">
        <f>Raw_Data!G393</f>
        <v/>
      </c>
      <c r="H402" s="48">
        <f>Raw_Data!H393</f>
        <v/>
      </c>
      <c r="I402" s="49">
        <f>IF(Raw_Data!I393="","",Raw_Data!I393)</f>
        <v/>
      </c>
      <c r="J402" s="49">
        <f>IF(Raw_Data!J393="","",Raw_Data!J393)</f>
        <v/>
      </c>
      <c r="K402" s="48">
        <f>IF(TRIM(Raw_Data!K393&amp;"")="","Not Specified",Raw_Data!K393)</f>
        <v/>
      </c>
      <c r="L402" s="56">
        <f>Raw_Data!L393</f>
        <v/>
      </c>
      <c r="M402" s="49">
        <f>IF(OR(I402="",J402=""),"",(I402+J402)/2)</f>
        <v/>
      </c>
      <c r="N402" s="49">
        <f>IF(OR(I402="",J402=""),"",J402-I402)</f>
        <v/>
      </c>
      <c r="O402" s="48">
        <f>TEXT(L402,"mmm-yyyy")</f>
        <v/>
      </c>
      <c r="P402" s="48">
        <f>_xlfn.IFS(ISNUMBER(SEARCH("data analy",B402)),"Data Analyst",ISNUMBER(SEARCH("business analy",B402)),"Business Analyst",OR(ISNUMBER(SEARCH("developer",B402)),ISNUMBER(SEARCH("software engineer",B402)),ISNUMBER(SEARCH("programmer",B402))),"Software Developer",ISNUMBER(SEARCH("business development",B402)),"Business Development",ISNUMBER(SEARCH("sales",B402)),"Sales Executive",ISNUMBER(SEARCH("marketing",B402)),"Marketing Executive",OR(ISNUMBER(SEARCH("hr ",B402)),ISNUMBER(SEARCH("recruit",B402)),ISNUMBER(SEARCH("human resource",B402))),"HR / Recruiter",OR(ISNUMBER(SEARCH("account",B402)),ISNUMBER(SEARCH("finance",B402)),ISNUMBER(SEARCH("tax",B402)),ISNUMBER(SEARCH("audit",B402))),"Accountant / Finance",OR(ISNUMBER(SEARCH("customer service",B402)),ISNUMBER(SEARCH("customer support",B402)),ISNUMBER(SEARCH("customer care",B402)),ISNUMBER(SEARCH("voice process",B402)),ISNUMBER(SEARCH("bpo",B402))),"Customer Support",ISNUMBER(SEARCH("engineer",B402)),"Engineer (Technical)",ISNUMBER(SEARCH("manager",B402)),"Manager",OR(ISNUMBER(SEARCH("teacher",B402)),ISNUMBER(SEARCH("trainer",B402)),ISNUMBER(SEARCH("faculty",B402))),"Teacher / Trainer",OR(ISNUMBER(SEARCH("doctor",B402)),ISNUMBER(SEARCH("nurse",B402)),ISNUMBER(SEARCH("medical",B402)),ISNUMBER(SEARCH("pharma",B402)),ISNUMBER(SEARCH("clinical",B402))),"Healthcare",TRUE,"Other")</f>
        <v/>
      </c>
      <c r="Q402" s="48">
        <f>IF(COUNTIFS($B$11:B402,B402,$C$11:C402,C402,$D$11:D402,D402,$L$11:L402,L402)&gt;1,"Duplicate","Unique")</f>
        <v/>
      </c>
    </row>
    <row r="403">
      <c r="A403" s="48">
        <f>Raw_Data!A394</f>
        <v/>
      </c>
      <c r="B403" s="48">
        <f>PROPER(TRIM(Raw_Data!B394))</f>
        <v/>
      </c>
      <c r="C403" s="48">
        <f>TRIM(Raw_Data!C394)</f>
        <v/>
      </c>
      <c r="D403" s="48">
        <f>IF(PROPER(TRIM(Raw_Data!D394))="Bangalore","Bengaluru",IF(PROPER(TRIM(Raw_Data!D394))="Gurgaon","Gurugram",IF(OR(PROPER(TRIM(Raw_Data!D394))="New Delhi",PROPER(TRIM(Raw_Data!D394))="Delhi"),"Delhi",PROPER(TRIM(Raw_Data!D394)))))</f>
        <v/>
      </c>
      <c r="E403" s="48">
        <f>Raw_Data!E394</f>
        <v/>
      </c>
      <c r="F403" s="48">
        <f>IF(TRIM(Raw_Data!F394&amp;"")="","Not Specified",Raw_Data!F394)</f>
        <v/>
      </c>
      <c r="G403" s="48">
        <f>Raw_Data!G394</f>
        <v/>
      </c>
      <c r="H403" s="48">
        <f>Raw_Data!H394</f>
        <v/>
      </c>
      <c r="I403" s="49">
        <f>IF(Raw_Data!I394="","",Raw_Data!I394)</f>
        <v/>
      </c>
      <c r="J403" s="49">
        <f>IF(Raw_Data!J394="","",Raw_Data!J394)</f>
        <v/>
      </c>
      <c r="K403" s="48">
        <f>IF(TRIM(Raw_Data!K394&amp;"")="","Not Specified",Raw_Data!K394)</f>
        <v/>
      </c>
      <c r="L403" s="56">
        <f>Raw_Data!L394</f>
        <v/>
      </c>
      <c r="M403" s="49">
        <f>IF(OR(I403="",J403=""),"",(I403+J403)/2)</f>
        <v/>
      </c>
      <c r="N403" s="49">
        <f>IF(OR(I403="",J403=""),"",J403-I403)</f>
        <v/>
      </c>
      <c r="O403" s="48">
        <f>TEXT(L403,"mmm-yyyy")</f>
        <v/>
      </c>
      <c r="P403" s="48">
        <f>_xlfn.IFS(ISNUMBER(SEARCH("data analy",B403)),"Data Analyst",ISNUMBER(SEARCH("business analy",B403)),"Business Analyst",OR(ISNUMBER(SEARCH("developer",B403)),ISNUMBER(SEARCH("software engineer",B403)),ISNUMBER(SEARCH("programmer",B403))),"Software Developer",ISNUMBER(SEARCH("business development",B403)),"Business Development",ISNUMBER(SEARCH("sales",B403)),"Sales Executive",ISNUMBER(SEARCH("marketing",B403)),"Marketing Executive",OR(ISNUMBER(SEARCH("hr ",B403)),ISNUMBER(SEARCH("recruit",B403)),ISNUMBER(SEARCH("human resource",B403))),"HR / Recruiter",OR(ISNUMBER(SEARCH("account",B403)),ISNUMBER(SEARCH("finance",B403)),ISNUMBER(SEARCH("tax",B403)),ISNUMBER(SEARCH("audit",B403))),"Accountant / Finance",OR(ISNUMBER(SEARCH("customer service",B403)),ISNUMBER(SEARCH("customer support",B403)),ISNUMBER(SEARCH("customer care",B403)),ISNUMBER(SEARCH("voice process",B403)),ISNUMBER(SEARCH("bpo",B403))),"Customer Support",ISNUMBER(SEARCH("engineer",B403)),"Engineer (Technical)",ISNUMBER(SEARCH("manager",B403)),"Manager",OR(ISNUMBER(SEARCH("teacher",B403)),ISNUMBER(SEARCH("trainer",B403)),ISNUMBER(SEARCH("faculty",B403))),"Teacher / Trainer",OR(ISNUMBER(SEARCH("doctor",B403)),ISNUMBER(SEARCH("nurse",B403)),ISNUMBER(SEARCH("medical",B403)),ISNUMBER(SEARCH("pharma",B403)),ISNUMBER(SEARCH("clinical",B403))),"Healthcare",TRUE,"Other")</f>
        <v/>
      </c>
      <c r="Q403" s="48">
        <f>IF(COUNTIFS($B$11:B403,B403,$C$11:C403,C403,$D$11:D403,D403,$L$11:L403,L403)&gt;1,"Duplicate","Unique")</f>
        <v/>
      </c>
    </row>
    <row r="404">
      <c r="A404" s="48">
        <f>Raw_Data!A395</f>
        <v/>
      </c>
      <c r="B404" s="48">
        <f>PROPER(TRIM(Raw_Data!B395))</f>
        <v/>
      </c>
      <c r="C404" s="48">
        <f>TRIM(Raw_Data!C395)</f>
        <v/>
      </c>
      <c r="D404" s="48">
        <f>IF(PROPER(TRIM(Raw_Data!D395))="Bangalore","Bengaluru",IF(PROPER(TRIM(Raw_Data!D395))="Gurgaon","Gurugram",IF(OR(PROPER(TRIM(Raw_Data!D395))="New Delhi",PROPER(TRIM(Raw_Data!D395))="Delhi"),"Delhi",PROPER(TRIM(Raw_Data!D395)))))</f>
        <v/>
      </c>
      <c r="E404" s="48">
        <f>Raw_Data!E395</f>
        <v/>
      </c>
      <c r="F404" s="48">
        <f>IF(TRIM(Raw_Data!F395&amp;"")="","Not Specified",Raw_Data!F395)</f>
        <v/>
      </c>
      <c r="G404" s="48">
        <f>Raw_Data!G395</f>
        <v/>
      </c>
      <c r="H404" s="48">
        <f>Raw_Data!H395</f>
        <v/>
      </c>
      <c r="I404" s="49">
        <f>IF(Raw_Data!I395="","",Raw_Data!I395)</f>
        <v/>
      </c>
      <c r="J404" s="49">
        <f>IF(Raw_Data!J395="","",Raw_Data!J395)</f>
        <v/>
      </c>
      <c r="K404" s="48">
        <f>IF(TRIM(Raw_Data!K395&amp;"")="","Not Specified",Raw_Data!K395)</f>
        <v/>
      </c>
      <c r="L404" s="56">
        <f>Raw_Data!L395</f>
        <v/>
      </c>
      <c r="M404" s="49">
        <f>IF(OR(I404="",J404=""),"",(I404+J404)/2)</f>
        <v/>
      </c>
      <c r="N404" s="49">
        <f>IF(OR(I404="",J404=""),"",J404-I404)</f>
        <v/>
      </c>
      <c r="O404" s="48">
        <f>TEXT(L404,"mmm-yyyy")</f>
        <v/>
      </c>
      <c r="P404" s="48">
        <f>_xlfn.IFS(ISNUMBER(SEARCH("data analy",B404)),"Data Analyst",ISNUMBER(SEARCH("business analy",B404)),"Business Analyst",OR(ISNUMBER(SEARCH("developer",B404)),ISNUMBER(SEARCH("software engineer",B404)),ISNUMBER(SEARCH("programmer",B404))),"Software Developer",ISNUMBER(SEARCH("business development",B404)),"Business Development",ISNUMBER(SEARCH("sales",B404)),"Sales Executive",ISNUMBER(SEARCH("marketing",B404)),"Marketing Executive",OR(ISNUMBER(SEARCH("hr ",B404)),ISNUMBER(SEARCH("recruit",B404)),ISNUMBER(SEARCH("human resource",B404))),"HR / Recruiter",OR(ISNUMBER(SEARCH("account",B404)),ISNUMBER(SEARCH("finance",B404)),ISNUMBER(SEARCH("tax",B404)),ISNUMBER(SEARCH("audit",B404))),"Accountant / Finance",OR(ISNUMBER(SEARCH("customer service",B404)),ISNUMBER(SEARCH("customer support",B404)),ISNUMBER(SEARCH("customer care",B404)),ISNUMBER(SEARCH("voice process",B404)),ISNUMBER(SEARCH("bpo",B404))),"Customer Support",ISNUMBER(SEARCH("engineer",B404)),"Engineer (Technical)",ISNUMBER(SEARCH("manager",B404)),"Manager",OR(ISNUMBER(SEARCH("teacher",B404)),ISNUMBER(SEARCH("trainer",B404)),ISNUMBER(SEARCH("faculty",B404))),"Teacher / Trainer",OR(ISNUMBER(SEARCH("doctor",B404)),ISNUMBER(SEARCH("nurse",B404)),ISNUMBER(SEARCH("medical",B404)),ISNUMBER(SEARCH("pharma",B404)),ISNUMBER(SEARCH("clinical",B404))),"Healthcare",TRUE,"Other")</f>
        <v/>
      </c>
      <c r="Q404" s="48">
        <f>IF(COUNTIFS($B$11:B404,B404,$C$11:C404,C404,$D$11:D404,D404,$L$11:L404,L404)&gt;1,"Duplicate","Unique")</f>
        <v/>
      </c>
    </row>
    <row r="405">
      <c r="A405" s="48">
        <f>Raw_Data!A396</f>
        <v/>
      </c>
      <c r="B405" s="48">
        <f>PROPER(TRIM(Raw_Data!B396))</f>
        <v/>
      </c>
      <c r="C405" s="48">
        <f>TRIM(Raw_Data!C396)</f>
        <v/>
      </c>
      <c r="D405" s="48">
        <f>IF(PROPER(TRIM(Raw_Data!D396))="Bangalore","Bengaluru",IF(PROPER(TRIM(Raw_Data!D396))="Gurgaon","Gurugram",IF(OR(PROPER(TRIM(Raw_Data!D396))="New Delhi",PROPER(TRIM(Raw_Data!D396))="Delhi"),"Delhi",PROPER(TRIM(Raw_Data!D396)))))</f>
        <v/>
      </c>
      <c r="E405" s="48">
        <f>Raw_Data!E396</f>
        <v/>
      </c>
      <c r="F405" s="48">
        <f>IF(TRIM(Raw_Data!F396&amp;"")="","Not Specified",Raw_Data!F396)</f>
        <v/>
      </c>
      <c r="G405" s="48">
        <f>Raw_Data!G396</f>
        <v/>
      </c>
      <c r="H405" s="48">
        <f>Raw_Data!H396</f>
        <v/>
      </c>
      <c r="I405" s="49">
        <f>IF(Raw_Data!I396="","",Raw_Data!I396)</f>
        <v/>
      </c>
      <c r="J405" s="49">
        <f>IF(Raw_Data!J396="","",Raw_Data!J396)</f>
        <v/>
      </c>
      <c r="K405" s="48">
        <f>IF(TRIM(Raw_Data!K396&amp;"")="","Not Specified",Raw_Data!K396)</f>
        <v/>
      </c>
      <c r="L405" s="56">
        <f>Raw_Data!L396</f>
        <v/>
      </c>
      <c r="M405" s="49">
        <f>IF(OR(I405="",J405=""),"",(I405+J405)/2)</f>
        <v/>
      </c>
      <c r="N405" s="49">
        <f>IF(OR(I405="",J405=""),"",J405-I405)</f>
        <v/>
      </c>
      <c r="O405" s="48">
        <f>TEXT(L405,"mmm-yyyy")</f>
        <v/>
      </c>
      <c r="P405" s="48">
        <f>_xlfn.IFS(ISNUMBER(SEARCH("data analy",B405)),"Data Analyst",ISNUMBER(SEARCH("business analy",B405)),"Business Analyst",OR(ISNUMBER(SEARCH("developer",B405)),ISNUMBER(SEARCH("software engineer",B405)),ISNUMBER(SEARCH("programmer",B405))),"Software Developer",ISNUMBER(SEARCH("business development",B405)),"Business Development",ISNUMBER(SEARCH("sales",B405)),"Sales Executive",ISNUMBER(SEARCH("marketing",B405)),"Marketing Executive",OR(ISNUMBER(SEARCH("hr ",B405)),ISNUMBER(SEARCH("recruit",B405)),ISNUMBER(SEARCH("human resource",B405))),"HR / Recruiter",OR(ISNUMBER(SEARCH("account",B405)),ISNUMBER(SEARCH("finance",B405)),ISNUMBER(SEARCH("tax",B405)),ISNUMBER(SEARCH("audit",B405))),"Accountant / Finance",OR(ISNUMBER(SEARCH("customer service",B405)),ISNUMBER(SEARCH("customer support",B405)),ISNUMBER(SEARCH("customer care",B405)),ISNUMBER(SEARCH("voice process",B405)),ISNUMBER(SEARCH("bpo",B405))),"Customer Support",ISNUMBER(SEARCH("engineer",B405)),"Engineer (Technical)",ISNUMBER(SEARCH("manager",B405)),"Manager",OR(ISNUMBER(SEARCH("teacher",B405)),ISNUMBER(SEARCH("trainer",B405)),ISNUMBER(SEARCH("faculty",B405))),"Teacher / Trainer",OR(ISNUMBER(SEARCH("doctor",B405)),ISNUMBER(SEARCH("nurse",B405)),ISNUMBER(SEARCH("medical",B405)),ISNUMBER(SEARCH("pharma",B405)),ISNUMBER(SEARCH("clinical",B405))),"Healthcare",TRUE,"Other")</f>
        <v/>
      </c>
      <c r="Q405" s="48">
        <f>IF(COUNTIFS($B$11:B405,B405,$C$11:C405,C405,$D$11:D405,D405,$L$11:L405,L405)&gt;1,"Duplicate","Unique")</f>
        <v/>
      </c>
    </row>
    <row r="406">
      <c r="A406" s="48">
        <f>Raw_Data!A397</f>
        <v/>
      </c>
      <c r="B406" s="48">
        <f>PROPER(TRIM(Raw_Data!B397))</f>
        <v/>
      </c>
      <c r="C406" s="48">
        <f>TRIM(Raw_Data!C397)</f>
        <v/>
      </c>
      <c r="D406" s="48">
        <f>IF(PROPER(TRIM(Raw_Data!D397))="Bangalore","Bengaluru",IF(PROPER(TRIM(Raw_Data!D397))="Gurgaon","Gurugram",IF(OR(PROPER(TRIM(Raw_Data!D397))="New Delhi",PROPER(TRIM(Raw_Data!D397))="Delhi"),"Delhi",PROPER(TRIM(Raw_Data!D397)))))</f>
        <v/>
      </c>
      <c r="E406" s="48">
        <f>Raw_Data!E397</f>
        <v/>
      </c>
      <c r="F406" s="48">
        <f>IF(TRIM(Raw_Data!F397&amp;"")="","Not Specified",Raw_Data!F397)</f>
        <v/>
      </c>
      <c r="G406" s="48">
        <f>Raw_Data!G397</f>
        <v/>
      </c>
      <c r="H406" s="48">
        <f>Raw_Data!H397</f>
        <v/>
      </c>
      <c r="I406" s="49">
        <f>IF(Raw_Data!I397="","",Raw_Data!I397)</f>
        <v/>
      </c>
      <c r="J406" s="49">
        <f>IF(Raw_Data!J397="","",Raw_Data!J397)</f>
        <v/>
      </c>
      <c r="K406" s="48">
        <f>IF(TRIM(Raw_Data!K397&amp;"")="","Not Specified",Raw_Data!K397)</f>
        <v/>
      </c>
      <c r="L406" s="56">
        <f>Raw_Data!L397</f>
        <v/>
      </c>
      <c r="M406" s="49">
        <f>IF(OR(I406="",J406=""),"",(I406+J406)/2)</f>
        <v/>
      </c>
      <c r="N406" s="49">
        <f>IF(OR(I406="",J406=""),"",J406-I406)</f>
        <v/>
      </c>
      <c r="O406" s="48">
        <f>TEXT(L406,"mmm-yyyy")</f>
        <v/>
      </c>
      <c r="P406" s="48">
        <f>_xlfn.IFS(ISNUMBER(SEARCH("data analy",B406)),"Data Analyst",ISNUMBER(SEARCH("business analy",B406)),"Business Analyst",OR(ISNUMBER(SEARCH("developer",B406)),ISNUMBER(SEARCH("software engineer",B406)),ISNUMBER(SEARCH("programmer",B406))),"Software Developer",ISNUMBER(SEARCH("business development",B406)),"Business Development",ISNUMBER(SEARCH("sales",B406)),"Sales Executive",ISNUMBER(SEARCH("marketing",B406)),"Marketing Executive",OR(ISNUMBER(SEARCH("hr ",B406)),ISNUMBER(SEARCH("recruit",B406)),ISNUMBER(SEARCH("human resource",B406))),"HR / Recruiter",OR(ISNUMBER(SEARCH("account",B406)),ISNUMBER(SEARCH("finance",B406)),ISNUMBER(SEARCH("tax",B406)),ISNUMBER(SEARCH("audit",B406))),"Accountant / Finance",OR(ISNUMBER(SEARCH("customer service",B406)),ISNUMBER(SEARCH("customer support",B406)),ISNUMBER(SEARCH("customer care",B406)),ISNUMBER(SEARCH("voice process",B406)),ISNUMBER(SEARCH("bpo",B406))),"Customer Support",ISNUMBER(SEARCH("engineer",B406)),"Engineer (Technical)",ISNUMBER(SEARCH("manager",B406)),"Manager",OR(ISNUMBER(SEARCH("teacher",B406)),ISNUMBER(SEARCH("trainer",B406)),ISNUMBER(SEARCH("faculty",B406))),"Teacher / Trainer",OR(ISNUMBER(SEARCH("doctor",B406)),ISNUMBER(SEARCH("nurse",B406)),ISNUMBER(SEARCH("medical",B406)),ISNUMBER(SEARCH("pharma",B406)),ISNUMBER(SEARCH("clinical",B406))),"Healthcare",TRUE,"Other")</f>
        <v/>
      </c>
      <c r="Q406" s="48">
        <f>IF(COUNTIFS($B$11:B406,B406,$C$11:C406,C406,$D$11:D406,D406,$L$11:L406,L406)&gt;1,"Duplicate","Unique")</f>
        <v/>
      </c>
    </row>
    <row r="407">
      <c r="A407" s="48">
        <f>Raw_Data!A398</f>
        <v/>
      </c>
      <c r="B407" s="48">
        <f>PROPER(TRIM(Raw_Data!B398))</f>
        <v/>
      </c>
      <c r="C407" s="48">
        <f>TRIM(Raw_Data!C398)</f>
        <v/>
      </c>
      <c r="D407" s="48">
        <f>IF(PROPER(TRIM(Raw_Data!D398))="Bangalore","Bengaluru",IF(PROPER(TRIM(Raw_Data!D398))="Gurgaon","Gurugram",IF(OR(PROPER(TRIM(Raw_Data!D398))="New Delhi",PROPER(TRIM(Raw_Data!D398))="Delhi"),"Delhi",PROPER(TRIM(Raw_Data!D398)))))</f>
        <v/>
      </c>
      <c r="E407" s="48">
        <f>Raw_Data!E398</f>
        <v/>
      </c>
      <c r="F407" s="48">
        <f>IF(TRIM(Raw_Data!F398&amp;"")="","Not Specified",Raw_Data!F398)</f>
        <v/>
      </c>
      <c r="G407" s="48">
        <f>Raw_Data!G398</f>
        <v/>
      </c>
      <c r="H407" s="48">
        <f>Raw_Data!H398</f>
        <v/>
      </c>
      <c r="I407" s="49">
        <f>IF(Raw_Data!I398="","",Raw_Data!I398)</f>
        <v/>
      </c>
      <c r="J407" s="49">
        <f>IF(Raw_Data!J398="","",Raw_Data!J398)</f>
        <v/>
      </c>
      <c r="K407" s="48">
        <f>IF(TRIM(Raw_Data!K398&amp;"")="","Not Specified",Raw_Data!K398)</f>
        <v/>
      </c>
      <c r="L407" s="56">
        <f>Raw_Data!L398</f>
        <v/>
      </c>
      <c r="M407" s="49">
        <f>IF(OR(I407="",J407=""),"",(I407+J407)/2)</f>
        <v/>
      </c>
      <c r="N407" s="49">
        <f>IF(OR(I407="",J407=""),"",J407-I407)</f>
        <v/>
      </c>
      <c r="O407" s="48">
        <f>TEXT(L407,"mmm-yyyy")</f>
        <v/>
      </c>
      <c r="P407" s="48">
        <f>_xlfn.IFS(ISNUMBER(SEARCH("data analy",B407)),"Data Analyst",ISNUMBER(SEARCH("business analy",B407)),"Business Analyst",OR(ISNUMBER(SEARCH("developer",B407)),ISNUMBER(SEARCH("software engineer",B407)),ISNUMBER(SEARCH("programmer",B407))),"Software Developer",ISNUMBER(SEARCH("business development",B407)),"Business Development",ISNUMBER(SEARCH("sales",B407)),"Sales Executive",ISNUMBER(SEARCH("marketing",B407)),"Marketing Executive",OR(ISNUMBER(SEARCH("hr ",B407)),ISNUMBER(SEARCH("recruit",B407)),ISNUMBER(SEARCH("human resource",B407))),"HR / Recruiter",OR(ISNUMBER(SEARCH("account",B407)),ISNUMBER(SEARCH("finance",B407)),ISNUMBER(SEARCH("tax",B407)),ISNUMBER(SEARCH("audit",B407))),"Accountant / Finance",OR(ISNUMBER(SEARCH("customer service",B407)),ISNUMBER(SEARCH("customer support",B407)),ISNUMBER(SEARCH("customer care",B407)),ISNUMBER(SEARCH("voice process",B407)),ISNUMBER(SEARCH("bpo",B407))),"Customer Support",ISNUMBER(SEARCH("engineer",B407)),"Engineer (Technical)",ISNUMBER(SEARCH("manager",B407)),"Manager",OR(ISNUMBER(SEARCH("teacher",B407)),ISNUMBER(SEARCH("trainer",B407)),ISNUMBER(SEARCH("faculty",B407))),"Teacher / Trainer",OR(ISNUMBER(SEARCH("doctor",B407)),ISNUMBER(SEARCH("nurse",B407)),ISNUMBER(SEARCH("medical",B407)),ISNUMBER(SEARCH("pharma",B407)),ISNUMBER(SEARCH("clinical",B407))),"Healthcare",TRUE,"Other")</f>
        <v/>
      </c>
      <c r="Q407" s="48">
        <f>IF(COUNTIFS($B$11:B407,B407,$C$11:C407,C407,$D$11:D407,D407,$L$11:L407,L407)&gt;1,"Duplicate","Unique")</f>
        <v/>
      </c>
    </row>
    <row r="408">
      <c r="A408" s="48">
        <f>Raw_Data!A399</f>
        <v/>
      </c>
      <c r="B408" s="48">
        <f>PROPER(TRIM(Raw_Data!B399))</f>
        <v/>
      </c>
      <c r="C408" s="48">
        <f>TRIM(Raw_Data!C399)</f>
        <v/>
      </c>
      <c r="D408" s="48">
        <f>IF(PROPER(TRIM(Raw_Data!D399))="Bangalore","Bengaluru",IF(PROPER(TRIM(Raw_Data!D399))="Gurgaon","Gurugram",IF(OR(PROPER(TRIM(Raw_Data!D399))="New Delhi",PROPER(TRIM(Raw_Data!D399))="Delhi"),"Delhi",PROPER(TRIM(Raw_Data!D399)))))</f>
        <v/>
      </c>
      <c r="E408" s="48">
        <f>Raw_Data!E399</f>
        <v/>
      </c>
      <c r="F408" s="48">
        <f>IF(TRIM(Raw_Data!F399&amp;"")="","Not Specified",Raw_Data!F399)</f>
        <v/>
      </c>
      <c r="G408" s="48">
        <f>Raw_Data!G399</f>
        <v/>
      </c>
      <c r="H408" s="48">
        <f>Raw_Data!H399</f>
        <v/>
      </c>
      <c r="I408" s="49">
        <f>IF(Raw_Data!I399="","",Raw_Data!I399)</f>
        <v/>
      </c>
      <c r="J408" s="49">
        <f>IF(Raw_Data!J399="","",Raw_Data!J399)</f>
        <v/>
      </c>
      <c r="K408" s="48">
        <f>IF(TRIM(Raw_Data!K399&amp;"")="","Not Specified",Raw_Data!K399)</f>
        <v/>
      </c>
      <c r="L408" s="56">
        <f>Raw_Data!L399</f>
        <v/>
      </c>
      <c r="M408" s="49">
        <f>IF(OR(I408="",J408=""),"",(I408+J408)/2)</f>
        <v/>
      </c>
      <c r="N408" s="49">
        <f>IF(OR(I408="",J408=""),"",J408-I408)</f>
        <v/>
      </c>
      <c r="O408" s="48">
        <f>TEXT(L408,"mmm-yyyy")</f>
        <v/>
      </c>
      <c r="P408" s="48">
        <f>_xlfn.IFS(ISNUMBER(SEARCH("data analy",B408)),"Data Analyst",ISNUMBER(SEARCH("business analy",B408)),"Business Analyst",OR(ISNUMBER(SEARCH("developer",B408)),ISNUMBER(SEARCH("software engineer",B408)),ISNUMBER(SEARCH("programmer",B408))),"Software Developer",ISNUMBER(SEARCH("business development",B408)),"Business Development",ISNUMBER(SEARCH("sales",B408)),"Sales Executive",ISNUMBER(SEARCH("marketing",B408)),"Marketing Executive",OR(ISNUMBER(SEARCH("hr ",B408)),ISNUMBER(SEARCH("recruit",B408)),ISNUMBER(SEARCH("human resource",B408))),"HR / Recruiter",OR(ISNUMBER(SEARCH("account",B408)),ISNUMBER(SEARCH("finance",B408)),ISNUMBER(SEARCH("tax",B408)),ISNUMBER(SEARCH("audit",B408))),"Accountant / Finance",OR(ISNUMBER(SEARCH("customer service",B408)),ISNUMBER(SEARCH("customer support",B408)),ISNUMBER(SEARCH("customer care",B408)),ISNUMBER(SEARCH("voice process",B408)),ISNUMBER(SEARCH("bpo",B408))),"Customer Support",ISNUMBER(SEARCH("engineer",B408)),"Engineer (Technical)",ISNUMBER(SEARCH("manager",B408)),"Manager",OR(ISNUMBER(SEARCH("teacher",B408)),ISNUMBER(SEARCH("trainer",B408)),ISNUMBER(SEARCH("faculty",B408))),"Teacher / Trainer",OR(ISNUMBER(SEARCH("doctor",B408)),ISNUMBER(SEARCH("nurse",B408)),ISNUMBER(SEARCH("medical",B408)),ISNUMBER(SEARCH("pharma",B408)),ISNUMBER(SEARCH("clinical",B408))),"Healthcare",TRUE,"Other")</f>
        <v/>
      </c>
      <c r="Q408" s="48">
        <f>IF(COUNTIFS($B$11:B408,B408,$C$11:C408,C408,$D$11:D408,D408,$L$11:L408,L408)&gt;1,"Duplicate","Unique")</f>
        <v/>
      </c>
    </row>
    <row r="409">
      <c r="A409" s="48">
        <f>Raw_Data!A400</f>
        <v/>
      </c>
      <c r="B409" s="48">
        <f>PROPER(TRIM(Raw_Data!B400))</f>
        <v/>
      </c>
      <c r="C409" s="48">
        <f>TRIM(Raw_Data!C400)</f>
        <v/>
      </c>
      <c r="D409" s="48">
        <f>IF(PROPER(TRIM(Raw_Data!D400))="Bangalore","Bengaluru",IF(PROPER(TRIM(Raw_Data!D400))="Gurgaon","Gurugram",IF(OR(PROPER(TRIM(Raw_Data!D400))="New Delhi",PROPER(TRIM(Raw_Data!D400))="Delhi"),"Delhi",PROPER(TRIM(Raw_Data!D400)))))</f>
        <v/>
      </c>
      <c r="E409" s="48">
        <f>Raw_Data!E400</f>
        <v/>
      </c>
      <c r="F409" s="48">
        <f>IF(TRIM(Raw_Data!F400&amp;"")="","Not Specified",Raw_Data!F400)</f>
        <v/>
      </c>
      <c r="G409" s="48">
        <f>Raw_Data!G400</f>
        <v/>
      </c>
      <c r="H409" s="48">
        <f>Raw_Data!H400</f>
        <v/>
      </c>
      <c r="I409" s="49">
        <f>IF(Raw_Data!I400="","",Raw_Data!I400)</f>
        <v/>
      </c>
      <c r="J409" s="49">
        <f>IF(Raw_Data!J400="","",Raw_Data!J400)</f>
        <v/>
      </c>
      <c r="K409" s="48">
        <f>IF(TRIM(Raw_Data!K400&amp;"")="","Not Specified",Raw_Data!K400)</f>
        <v/>
      </c>
      <c r="L409" s="56">
        <f>Raw_Data!L400</f>
        <v/>
      </c>
      <c r="M409" s="49">
        <f>IF(OR(I409="",J409=""),"",(I409+J409)/2)</f>
        <v/>
      </c>
      <c r="N409" s="49">
        <f>IF(OR(I409="",J409=""),"",J409-I409)</f>
        <v/>
      </c>
      <c r="O409" s="48">
        <f>TEXT(L409,"mmm-yyyy")</f>
        <v/>
      </c>
      <c r="P409" s="48">
        <f>_xlfn.IFS(ISNUMBER(SEARCH("data analy",B409)),"Data Analyst",ISNUMBER(SEARCH("business analy",B409)),"Business Analyst",OR(ISNUMBER(SEARCH("developer",B409)),ISNUMBER(SEARCH("software engineer",B409)),ISNUMBER(SEARCH("programmer",B409))),"Software Developer",ISNUMBER(SEARCH("business development",B409)),"Business Development",ISNUMBER(SEARCH("sales",B409)),"Sales Executive",ISNUMBER(SEARCH("marketing",B409)),"Marketing Executive",OR(ISNUMBER(SEARCH("hr ",B409)),ISNUMBER(SEARCH("recruit",B409)),ISNUMBER(SEARCH("human resource",B409))),"HR / Recruiter",OR(ISNUMBER(SEARCH("account",B409)),ISNUMBER(SEARCH("finance",B409)),ISNUMBER(SEARCH("tax",B409)),ISNUMBER(SEARCH("audit",B409))),"Accountant / Finance",OR(ISNUMBER(SEARCH("customer service",B409)),ISNUMBER(SEARCH("customer support",B409)),ISNUMBER(SEARCH("customer care",B409)),ISNUMBER(SEARCH("voice process",B409)),ISNUMBER(SEARCH("bpo",B409))),"Customer Support",ISNUMBER(SEARCH("engineer",B409)),"Engineer (Technical)",ISNUMBER(SEARCH("manager",B409)),"Manager",OR(ISNUMBER(SEARCH("teacher",B409)),ISNUMBER(SEARCH("trainer",B409)),ISNUMBER(SEARCH("faculty",B409))),"Teacher / Trainer",OR(ISNUMBER(SEARCH("doctor",B409)),ISNUMBER(SEARCH("nurse",B409)),ISNUMBER(SEARCH("medical",B409)),ISNUMBER(SEARCH("pharma",B409)),ISNUMBER(SEARCH("clinical",B409))),"Healthcare",TRUE,"Other")</f>
        <v/>
      </c>
      <c r="Q409" s="48">
        <f>IF(COUNTIFS($B$11:B409,B409,$C$11:C409,C409,$D$11:D409,D409,$L$11:L409,L409)&gt;1,"Duplicate","Unique")</f>
        <v/>
      </c>
    </row>
    <row r="410">
      <c r="A410" s="48">
        <f>Raw_Data!A401</f>
        <v/>
      </c>
      <c r="B410" s="48">
        <f>PROPER(TRIM(Raw_Data!B401))</f>
        <v/>
      </c>
      <c r="C410" s="48">
        <f>TRIM(Raw_Data!C401)</f>
        <v/>
      </c>
      <c r="D410" s="48">
        <f>IF(PROPER(TRIM(Raw_Data!D401))="Bangalore","Bengaluru",IF(PROPER(TRIM(Raw_Data!D401))="Gurgaon","Gurugram",IF(OR(PROPER(TRIM(Raw_Data!D401))="New Delhi",PROPER(TRIM(Raw_Data!D401))="Delhi"),"Delhi",PROPER(TRIM(Raw_Data!D401)))))</f>
        <v/>
      </c>
      <c r="E410" s="48">
        <f>Raw_Data!E401</f>
        <v/>
      </c>
      <c r="F410" s="48">
        <f>IF(TRIM(Raw_Data!F401&amp;"")="","Not Specified",Raw_Data!F401)</f>
        <v/>
      </c>
      <c r="G410" s="48">
        <f>Raw_Data!G401</f>
        <v/>
      </c>
      <c r="H410" s="48">
        <f>Raw_Data!H401</f>
        <v/>
      </c>
      <c r="I410" s="49">
        <f>IF(Raw_Data!I401="","",Raw_Data!I401)</f>
        <v/>
      </c>
      <c r="J410" s="49">
        <f>IF(Raw_Data!J401="","",Raw_Data!J401)</f>
        <v/>
      </c>
      <c r="K410" s="48">
        <f>IF(TRIM(Raw_Data!K401&amp;"")="","Not Specified",Raw_Data!K401)</f>
        <v/>
      </c>
      <c r="L410" s="56">
        <f>Raw_Data!L401</f>
        <v/>
      </c>
      <c r="M410" s="49">
        <f>IF(OR(I410="",J410=""),"",(I410+J410)/2)</f>
        <v/>
      </c>
      <c r="N410" s="49">
        <f>IF(OR(I410="",J410=""),"",J410-I410)</f>
        <v/>
      </c>
      <c r="O410" s="48">
        <f>TEXT(L410,"mmm-yyyy")</f>
        <v/>
      </c>
      <c r="P410" s="48">
        <f>_xlfn.IFS(ISNUMBER(SEARCH("data analy",B410)),"Data Analyst",ISNUMBER(SEARCH("business analy",B410)),"Business Analyst",OR(ISNUMBER(SEARCH("developer",B410)),ISNUMBER(SEARCH("software engineer",B410)),ISNUMBER(SEARCH("programmer",B410))),"Software Developer",ISNUMBER(SEARCH("business development",B410)),"Business Development",ISNUMBER(SEARCH("sales",B410)),"Sales Executive",ISNUMBER(SEARCH("marketing",B410)),"Marketing Executive",OR(ISNUMBER(SEARCH("hr ",B410)),ISNUMBER(SEARCH("recruit",B410)),ISNUMBER(SEARCH("human resource",B410))),"HR / Recruiter",OR(ISNUMBER(SEARCH("account",B410)),ISNUMBER(SEARCH("finance",B410)),ISNUMBER(SEARCH("tax",B410)),ISNUMBER(SEARCH("audit",B410))),"Accountant / Finance",OR(ISNUMBER(SEARCH("customer service",B410)),ISNUMBER(SEARCH("customer support",B410)),ISNUMBER(SEARCH("customer care",B410)),ISNUMBER(SEARCH("voice process",B410)),ISNUMBER(SEARCH("bpo",B410))),"Customer Support",ISNUMBER(SEARCH("engineer",B410)),"Engineer (Technical)",ISNUMBER(SEARCH("manager",B410)),"Manager",OR(ISNUMBER(SEARCH("teacher",B410)),ISNUMBER(SEARCH("trainer",B410)),ISNUMBER(SEARCH("faculty",B410))),"Teacher / Trainer",OR(ISNUMBER(SEARCH("doctor",B410)),ISNUMBER(SEARCH("nurse",B410)),ISNUMBER(SEARCH("medical",B410)),ISNUMBER(SEARCH("pharma",B410)),ISNUMBER(SEARCH("clinical",B410))),"Healthcare",TRUE,"Other")</f>
        <v/>
      </c>
      <c r="Q410" s="48">
        <f>IF(COUNTIFS($B$11:B410,B410,$C$11:C410,C410,$D$11:D410,D410,$L$11:L410,L410)&gt;1,"Duplicate","Unique")</f>
        <v/>
      </c>
    </row>
    <row r="411">
      <c r="A411" s="48">
        <f>Raw_Data!A402</f>
        <v/>
      </c>
      <c r="B411" s="48">
        <f>PROPER(TRIM(Raw_Data!B402))</f>
        <v/>
      </c>
      <c r="C411" s="48">
        <f>TRIM(Raw_Data!C402)</f>
        <v/>
      </c>
      <c r="D411" s="48">
        <f>IF(PROPER(TRIM(Raw_Data!D402))="Bangalore","Bengaluru",IF(PROPER(TRIM(Raw_Data!D402))="Gurgaon","Gurugram",IF(OR(PROPER(TRIM(Raw_Data!D402))="New Delhi",PROPER(TRIM(Raw_Data!D402))="Delhi"),"Delhi",PROPER(TRIM(Raw_Data!D402)))))</f>
        <v/>
      </c>
      <c r="E411" s="48">
        <f>Raw_Data!E402</f>
        <v/>
      </c>
      <c r="F411" s="48">
        <f>IF(TRIM(Raw_Data!F402&amp;"")="","Not Specified",Raw_Data!F402)</f>
        <v/>
      </c>
      <c r="G411" s="48">
        <f>Raw_Data!G402</f>
        <v/>
      </c>
      <c r="H411" s="48">
        <f>Raw_Data!H402</f>
        <v/>
      </c>
      <c r="I411" s="49">
        <f>IF(Raw_Data!I402="","",Raw_Data!I402)</f>
        <v/>
      </c>
      <c r="J411" s="49">
        <f>IF(Raw_Data!J402="","",Raw_Data!J402)</f>
        <v/>
      </c>
      <c r="K411" s="48">
        <f>IF(TRIM(Raw_Data!K402&amp;"")="","Not Specified",Raw_Data!K402)</f>
        <v/>
      </c>
      <c r="L411" s="56">
        <f>Raw_Data!L402</f>
        <v/>
      </c>
      <c r="M411" s="49">
        <f>IF(OR(I411="",J411=""),"",(I411+J411)/2)</f>
        <v/>
      </c>
      <c r="N411" s="49">
        <f>IF(OR(I411="",J411=""),"",J411-I411)</f>
        <v/>
      </c>
      <c r="O411" s="48">
        <f>TEXT(L411,"mmm-yyyy")</f>
        <v/>
      </c>
      <c r="P411" s="48">
        <f>_xlfn.IFS(ISNUMBER(SEARCH("data analy",B411)),"Data Analyst",ISNUMBER(SEARCH("business analy",B411)),"Business Analyst",OR(ISNUMBER(SEARCH("developer",B411)),ISNUMBER(SEARCH("software engineer",B411)),ISNUMBER(SEARCH("programmer",B411))),"Software Developer",ISNUMBER(SEARCH("business development",B411)),"Business Development",ISNUMBER(SEARCH("sales",B411)),"Sales Executive",ISNUMBER(SEARCH("marketing",B411)),"Marketing Executive",OR(ISNUMBER(SEARCH("hr ",B411)),ISNUMBER(SEARCH("recruit",B411)),ISNUMBER(SEARCH("human resource",B411))),"HR / Recruiter",OR(ISNUMBER(SEARCH("account",B411)),ISNUMBER(SEARCH("finance",B411)),ISNUMBER(SEARCH("tax",B411)),ISNUMBER(SEARCH("audit",B411))),"Accountant / Finance",OR(ISNUMBER(SEARCH("customer service",B411)),ISNUMBER(SEARCH("customer support",B411)),ISNUMBER(SEARCH("customer care",B411)),ISNUMBER(SEARCH("voice process",B411)),ISNUMBER(SEARCH("bpo",B411))),"Customer Support",ISNUMBER(SEARCH("engineer",B411)),"Engineer (Technical)",ISNUMBER(SEARCH("manager",B411)),"Manager",OR(ISNUMBER(SEARCH("teacher",B411)),ISNUMBER(SEARCH("trainer",B411)),ISNUMBER(SEARCH("faculty",B411))),"Teacher / Trainer",OR(ISNUMBER(SEARCH("doctor",B411)),ISNUMBER(SEARCH("nurse",B411)),ISNUMBER(SEARCH("medical",B411)),ISNUMBER(SEARCH("pharma",B411)),ISNUMBER(SEARCH("clinical",B411))),"Healthcare",TRUE,"Other")</f>
        <v/>
      </c>
      <c r="Q411" s="48">
        <f>IF(COUNTIFS($B$11:B411,B411,$C$11:C411,C411,$D$11:D411,D411,$L$11:L411,L411)&gt;1,"Duplicate","Unique")</f>
        <v/>
      </c>
    </row>
    <row r="412">
      <c r="A412" s="48">
        <f>Raw_Data!A403</f>
        <v/>
      </c>
      <c r="B412" s="48">
        <f>PROPER(TRIM(Raw_Data!B403))</f>
        <v/>
      </c>
      <c r="C412" s="48">
        <f>TRIM(Raw_Data!C403)</f>
        <v/>
      </c>
      <c r="D412" s="48">
        <f>IF(PROPER(TRIM(Raw_Data!D403))="Bangalore","Bengaluru",IF(PROPER(TRIM(Raw_Data!D403))="Gurgaon","Gurugram",IF(OR(PROPER(TRIM(Raw_Data!D403))="New Delhi",PROPER(TRIM(Raw_Data!D403))="Delhi"),"Delhi",PROPER(TRIM(Raw_Data!D403)))))</f>
        <v/>
      </c>
      <c r="E412" s="48">
        <f>Raw_Data!E403</f>
        <v/>
      </c>
      <c r="F412" s="48">
        <f>IF(TRIM(Raw_Data!F403&amp;"")="","Not Specified",Raw_Data!F403)</f>
        <v/>
      </c>
      <c r="G412" s="48">
        <f>Raw_Data!G403</f>
        <v/>
      </c>
      <c r="H412" s="48">
        <f>Raw_Data!H403</f>
        <v/>
      </c>
      <c r="I412" s="49">
        <f>IF(Raw_Data!I403="","",Raw_Data!I403)</f>
        <v/>
      </c>
      <c r="J412" s="49">
        <f>IF(Raw_Data!J403="","",Raw_Data!J403)</f>
        <v/>
      </c>
      <c r="K412" s="48">
        <f>IF(TRIM(Raw_Data!K403&amp;"")="","Not Specified",Raw_Data!K403)</f>
        <v/>
      </c>
      <c r="L412" s="56">
        <f>Raw_Data!L403</f>
        <v/>
      </c>
      <c r="M412" s="49">
        <f>IF(OR(I412="",J412=""),"",(I412+J412)/2)</f>
        <v/>
      </c>
      <c r="N412" s="49">
        <f>IF(OR(I412="",J412=""),"",J412-I412)</f>
        <v/>
      </c>
      <c r="O412" s="48">
        <f>TEXT(L412,"mmm-yyyy")</f>
        <v/>
      </c>
      <c r="P412" s="48">
        <f>_xlfn.IFS(ISNUMBER(SEARCH("data analy",B412)),"Data Analyst",ISNUMBER(SEARCH("business analy",B412)),"Business Analyst",OR(ISNUMBER(SEARCH("developer",B412)),ISNUMBER(SEARCH("software engineer",B412)),ISNUMBER(SEARCH("programmer",B412))),"Software Developer",ISNUMBER(SEARCH("business development",B412)),"Business Development",ISNUMBER(SEARCH("sales",B412)),"Sales Executive",ISNUMBER(SEARCH("marketing",B412)),"Marketing Executive",OR(ISNUMBER(SEARCH("hr ",B412)),ISNUMBER(SEARCH("recruit",B412)),ISNUMBER(SEARCH("human resource",B412))),"HR / Recruiter",OR(ISNUMBER(SEARCH("account",B412)),ISNUMBER(SEARCH("finance",B412)),ISNUMBER(SEARCH("tax",B412)),ISNUMBER(SEARCH("audit",B412))),"Accountant / Finance",OR(ISNUMBER(SEARCH("customer service",B412)),ISNUMBER(SEARCH("customer support",B412)),ISNUMBER(SEARCH("customer care",B412)),ISNUMBER(SEARCH("voice process",B412)),ISNUMBER(SEARCH("bpo",B412))),"Customer Support",ISNUMBER(SEARCH("engineer",B412)),"Engineer (Technical)",ISNUMBER(SEARCH("manager",B412)),"Manager",OR(ISNUMBER(SEARCH("teacher",B412)),ISNUMBER(SEARCH("trainer",B412)),ISNUMBER(SEARCH("faculty",B412))),"Teacher / Trainer",OR(ISNUMBER(SEARCH("doctor",B412)),ISNUMBER(SEARCH("nurse",B412)),ISNUMBER(SEARCH("medical",B412)),ISNUMBER(SEARCH("pharma",B412)),ISNUMBER(SEARCH("clinical",B412))),"Healthcare",TRUE,"Other")</f>
        <v/>
      </c>
      <c r="Q412" s="48">
        <f>IF(COUNTIFS($B$11:B412,B412,$C$11:C412,C412,$D$11:D412,D412,$L$11:L412,L412)&gt;1,"Duplicate","Unique")</f>
        <v/>
      </c>
    </row>
    <row r="413">
      <c r="A413" s="48">
        <f>Raw_Data!A404</f>
        <v/>
      </c>
      <c r="B413" s="48">
        <f>PROPER(TRIM(Raw_Data!B404))</f>
        <v/>
      </c>
      <c r="C413" s="48">
        <f>TRIM(Raw_Data!C404)</f>
        <v/>
      </c>
      <c r="D413" s="48">
        <f>IF(PROPER(TRIM(Raw_Data!D404))="Bangalore","Bengaluru",IF(PROPER(TRIM(Raw_Data!D404))="Gurgaon","Gurugram",IF(OR(PROPER(TRIM(Raw_Data!D404))="New Delhi",PROPER(TRIM(Raw_Data!D404))="Delhi"),"Delhi",PROPER(TRIM(Raw_Data!D404)))))</f>
        <v/>
      </c>
      <c r="E413" s="48">
        <f>Raw_Data!E404</f>
        <v/>
      </c>
      <c r="F413" s="48">
        <f>IF(TRIM(Raw_Data!F404&amp;"")="","Not Specified",Raw_Data!F404)</f>
        <v/>
      </c>
      <c r="G413" s="48">
        <f>Raw_Data!G404</f>
        <v/>
      </c>
      <c r="H413" s="48">
        <f>Raw_Data!H404</f>
        <v/>
      </c>
      <c r="I413" s="49">
        <f>IF(Raw_Data!I404="","",Raw_Data!I404)</f>
        <v/>
      </c>
      <c r="J413" s="49">
        <f>IF(Raw_Data!J404="","",Raw_Data!J404)</f>
        <v/>
      </c>
      <c r="K413" s="48">
        <f>IF(TRIM(Raw_Data!K404&amp;"")="","Not Specified",Raw_Data!K404)</f>
        <v/>
      </c>
      <c r="L413" s="56">
        <f>Raw_Data!L404</f>
        <v/>
      </c>
      <c r="M413" s="49">
        <f>IF(OR(I413="",J413=""),"",(I413+J413)/2)</f>
        <v/>
      </c>
      <c r="N413" s="49">
        <f>IF(OR(I413="",J413=""),"",J413-I413)</f>
        <v/>
      </c>
      <c r="O413" s="48">
        <f>TEXT(L413,"mmm-yyyy")</f>
        <v/>
      </c>
      <c r="P413" s="48">
        <f>_xlfn.IFS(ISNUMBER(SEARCH("data analy",B413)),"Data Analyst",ISNUMBER(SEARCH("business analy",B413)),"Business Analyst",OR(ISNUMBER(SEARCH("developer",B413)),ISNUMBER(SEARCH("software engineer",B413)),ISNUMBER(SEARCH("programmer",B413))),"Software Developer",ISNUMBER(SEARCH("business development",B413)),"Business Development",ISNUMBER(SEARCH("sales",B413)),"Sales Executive",ISNUMBER(SEARCH("marketing",B413)),"Marketing Executive",OR(ISNUMBER(SEARCH("hr ",B413)),ISNUMBER(SEARCH("recruit",B413)),ISNUMBER(SEARCH("human resource",B413))),"HR / Recruiter",OR(ISNUMBER(SEARCH("account",B413)),ISNUMBER(SEARCH("finance",B413)),ISNUMBER(SEARCH("tax",B413)),ISNUMBER(SEARCH("audit",B413))),"Accountant / Finance",OR(ISNUMBER(SEARCH("customer service",B413)),ISNUMBER(SEARCH("customer support",B413)),ISNUMBER(SEARCH("customer care",B413)),ISNUMBER(SEARCH("voice process",B413)),ISNUMBER(SEARCH("bpo",B413))),"Customer Support",ISNUMBER(SEARCH("engineer",B413)),"Engineer (Technical)",ISNUMBER(SEARCH("manager",B413)),"Manager",OR(ISNUMBER(SEARCH("teacher",B413)),ISNUMBER(SEARCH("trainer",B413)),ISNUMBER(SEARCH("faculty",B413))),"Teacher / Trainer",OR(ISNUMBER(SEARCH("doctor",B413)),ISNUMBER(SEARCH("nurse",B413)),ISNUMBER(SEARCH("medical",B413)),ISNUMBER(SEARCH("pharma",B413)),ISNUMBER(SEARCH("clinical",B413))),"Healthcare",TRUE,"Other")</f>
        <v/>
      </c>
      <c r="Q413" s="48">
        <f>IF(COUNTIFS($B$11:B413,B413,$C$11:C413,C413,$D$11:D413,D413,$L$11:L413,L413)&gt;1,"Duplicate","Unique")</f>
        <v/>
      </c>
    </row>
    <row r="414">
      <c r="A414" s="48">
        <f>Raw_Data!A405</f>
        <v/>
      </c>
      <c r="B414" s="48">
        <f>PROPER(TRIM(Raw_Data!B405))</f>
        <v/>
      </c>
      <c r="C414" s="48">
        <f>TRIM(Raw_Data!C405)</f>
        <v/>
      </c>
      <c r="D414" s="48">
        <f>IF(PROPER(TRIM(Raw_Data!D405))="Bangalore","Bengaluru",IF(PROPER(TRIM(Raw_Data!D405))="Gurgaon","Gurugram",IF(OR(PROPER(TRIM(Raw_Data!D405))="New Delhi",PROPER(TRIM(Raw_Data!D405))="Delhi"),"Delhi",PROPER(TRIM(Raw_Data!D405)))))</f>
        <v/>
      </c>
      <c r="E414" s="48">
        <f>Raw_Data!E405</f>
        <v/>
      </c>
      <c r="F414" s="48">
        <f>IF(TRIM(Raw_Data!F405&amp;"")="","Not Specified",Raw_Data!F405)</f>
        <v/>
      </c>
      <c r="G414" s="48">
        <f>Raw_Data!G405</f>
        <v/>
      </c>
      <c r="H414" s="48">
        <f>Raw_Data!H405</f>
        <v/>
      </c>
      <c r="I414" s="49">
        <f>IF(Raw_Data!I405="","",Raw_Data!I405)</f>
        <v/>
      </c>
      <c r="J414" s="49">
        <f>IF(Raw_Data!J405="","",Raw_Data!J405)</f>
        <v/>
      </c>
      <c r="K414" s="48">
        <f>IF(TRIM(Raw_Data!K405&amp;"")="","Not Specified",Raw_Data!K405)</f>
        <v/>
      </c>
      <c r="L414" s="56">
        <f>Raw_Data!L405</f>
        <v/>
      </c>
      <c r="M414" s="49">
        <f>IF(OR(I414="",J414=""),"",(I414+J414)/2)</f>
        <v/>
      </c>
      <c r="N414" s="49">
        <f>IF(OR(I414="",J414=""),"",J414-I414)</f>
        <v/>
      </c>
      <c r="O414" s="48">
        <f>TEXT(L414,"mmm-yyyy")</f>
        <v/>
      </c>
      <c r="P414" s="48">
        <f>_xlfn.IFS(ISNUMBER(SEARCH("data analy",B414)),"Data Analyst",ISNUMBER(SEARCH("business analy",B414)),"Business Analyst",OR(ISNUMBER(SEARCH("developer",B414)),ISNUMBER(SEARCH("software engineer",B414)),ISNUMBER(SEARCH("programmer",B414))),"Software Developer",ISNUMBER(SEARCH("business development",B414)),"Business Development",ISNUMBER(SEARCH("sales",B414)),"Sales Executive",ISNUMBER(SEARCH("marketing",B414)),"Marketing Executive",OR(ISNUMBER(SEARCH("hr ",B414)),ISNUMBER(SEARCH("recruit",B414)),ISNUMBER(SEARCH("human resource",B414))),"HR / Recruiter",OR(ISNUMBER(SEARCH("account",B414)),ISNUMBER(SEARCH("finance",B414)),ISNUMBER(SEARCH("tax",B414)),ISNUMBER(SEARCH("audit",B414))),"Accountant / Finance",OR(ISNUMBER(SEARCH("customer service",B414)),ISNUMBER(SEARCH("customer support",B414)),ISNUMBER(SEARCH("customer care",B414)),ISNUMBER(SEARCH("voice process",B414)),ISNUMBER(SEARCH("bpo",B414))),"Customer Support",ISNUMBER(SEARCH("engineer",B414)),"Engineer (Technical)",ISNUMBER(SEARCH("manager",B414)),"Manager",OR(ISNUMBER(SEARCH("teacher",B414)),ISNUMBER(SEARCH("trainer",B414)),ISNUMBER(SEARCH("faculty",B414))),"Teacher / Trainer",OR(ISNUMBER(SEARCH("doctor",B414)),ISNUMBER(SEARCH("nurse",B414)),ISNUMBER(SEARCH("medical",B414)),ISNUMBER(SEARCH("pharma",B414)),ISNUMBER(SEARCH("clinical",B414))),"Healthcare",TRUE,"Other")</f>
        <v/>
      </c>
      <c r="Q414" s="48">
        <f>IF(COUNTIFS($B$11:B414,B414,$C$11:C414,C414,$D$11:D414,D414,$L$11:L414,L414)&gt;1,"Duplicate","Unique")</f>
        <v/>
      </c>
    </row>
    <row r="415">
      <c r="A415" s="48">
        <f>Raw_Data!A406</f>
        <v/>
      </c>
      <c r="B415" s="48">
        <f>PROPER(TRIM(Raw_Data!B406))</f>
        <v/>
      </c>
      <c r="C415" s="48">
        <f>TRIM(Raw_Data!C406)</f>
        <v/>
      </c>
      <c r="D415" s="48">
        <f>IF(PROPER(TRIM(Raw_Data!D406))="Bangalore","Bengaluru",IF(PROPER(TRIM(Raw_Data!D406))="Gurgaon","Gurugram",IF(OR(PROPER(TRIM(Raw_Data!D406))="New Delhi",PROPER(TRIM(Raw_Data!D406))="Delhi"),"Delhi",PROPER(TRIM(Raw_Data!D406)))))</f>
        <v/>
      </c>
      <c r="E415" s="48">
        <f>Raw_Data!E406</f>
        <v/>
      </c>
      <c r="F415" s="48">
        <f>IF(TRIM(Raw_Data!F406&amp;"")="","Not Specified",Raw_Data!F406)</f>
        <v/>
      </c>
      <c r="G415" s="48">
        <f>Raw_Data!G406</f>
        <v/>
      </c>
      <c r="H415" s="48">
        <f>Raw_Data!H406</f>
        <v/>
      </c>
      <c r="I415" s="49">
        <f>IF(Raw_Data!I406="","",Raw_Data!I406)</f>
        <v/>
      </c>
      <c r="J415" s="49">
        <f>IF(Raw_Data!J406="","",Raw_Data!J406)</f>
        <v/>
      </c>
      <c r="K415" s="48">
        <f>IF(TRIM(Raw_Data!K406&amp;"")="","Not Specified",Raw_Data!K406)</f>
        <v/>
      </c>
      <c r="L415" s="56">
        <f>Raw_Data!L406</f>
        <v/>
      </c>
      <c r="M415" s="49">
        <f>IF(OR(I415="",J415=""),"",(I415+J415)/2)</f>
        <v/>
      </c>
      <c r="N415" s="49">
        <f>IF(OR(I415="",J415=""),"",J415-I415)</f>
        <v/>
      </c>
      <c r="O415" s="48">
        <f>TEXT(L415,"mmm-yyyy")</f>
        <v/>
      </c>
      <c r="P415" s="48">
        <f>_xlfn.IFS(ISNUMBER(SEARCH("data analy",B415)),"Data Analyst",ISNUMBER(SEARCH("business analy",B415)),"Business Analyst",OR(ISNUMBER(SEARCH("developer",B415)),ISNUMBER(SEARCH("software engineer",B415)),ISNUMBER(SEARCH("programmer",B415))),"Software Developer",ISNUMBER(SEARCH("business development",B415)),"Business Development",ISNUMBER(SEARCH("sales",B415)),"Sales Executive",ISNUMBER(SEARCH("marketing",B415)),"Marketing Executive",OR(ISNUMBER(SEARCH("hr ",B415)),ISNUMBER(SEARCH("recruit",B415)),ISNUMBER(SEARCH("human resource",B415))),"HR / Recruiter",OR(ISNUMBER(SEARCH("account",B415)),ISNUMBER(SEARCH("finance",B415)),ISNUMBER(SEARCH("tax",B415)),ISNUMBER(SEARCH("audit",B415))),"Accountant / Finance",OR(ISNUMBER(SEARCH("customer service",B415)),ISNUMBER(SEARCH("customer support",B415)),ISNUMBER(SEARCH("customer care",B415)),ISNUMBER(SEARCH("voice process",B415)),ISNUMBER(SEARCH("bpo",B415))),"Customer Support",ISNUMBER(SEARCH("engineer",B415)),"Engineer (Technical)",ISNUMBER(SEARCH("manager",B415)),"Manager",OR(ISNUMBER(SEARCH("teacher",B415)),ISNUMBER(SEARCH("trainer",B415)),ISNUMBER(SEARCH("faculty",B415))),"Teacher / Trainer",OR(ISNUMBER(SEARCH("doctor",B415)),ISNUMBER(SEARCH("nurse",B415)),ISNUMBER(SEARCH("medical",B415)),ISNUMBER(SEARCH("pharma",B415)),ISNUMBER(SEARCH("clinical",B415))),"Healthcare",TRUE,"Other")</f>
        <v/>
      </c>
      <c r="Q415" s="48">
        <f>IF(COUNTIFS($B$11:B415,B415,$C$11:C415,C415,$D$11:D415,D415,$L$11:L415,L415)&gt;1,"Duplicate","Unique")</f>
        <v/>
      </c>
    </row>
    <row r="416">
      <c r="A416" s="48">
        <f>Raw_Data!A407</f>
        <v/>
      </c>
      <c r="B416" s="48">
        <f>PROPER(TRIM(Raw_Data!B407))</f>
        <v/>
      </c>
      <c r="C416" s="48">
        <f>TRIM(Raw_Data!C407)</f>
        <v/>
      </c>
      <c r="D416" s="48">
        <f>IF(PROPER(TRIM(Raw_Data!D407))="Bangalore","Bengaluru",IF(PROPER(TRIM(Raw_Data!D407))="Gurgaon","Gurugram",IF(OR(PROPER(TRIM(Raw_Data!D407))="New Delhi",PROPER(TRIM(Raw_Data!D407))="Delhi"),"Delhi",PROPER(TRIM(Raw_Data!D407)))))</f>
        <v/>
      </c>
      <c r="E416" s="48">
        <f>Raw_Data!E407</f>
        <v/>
      </c>
      <c r="F416" s="48">
        <f>IF(TRIM(Raw_Data!F407&amp;"")="","Not Specified",Raw_Data!F407)</f>
        <v/>
      </c>
      <c r="G416" s="48">
        <f>Raw_Data!G407</f>
        <v/>
      </c>
      <c r="H416" s="48">
        <f>Raw_Data!H407</f>
        <v/>
      </c>
      <c r="I416" s="49">
        <f>IF(Raw_Data!I407="","",Raw_Data!I407)</f>
        <v/>
      </c>
      <c r="J416" s="49">
        <f>IF(Raw_Data!J407="","",Raw_Data!J407)</f>
        <v/>
      </c>
      <c r="K416" s="48">
        <f>IF(TRIM(Raw_Data!K407&amp;"")="","Not Specified",Raw_Data!K407)</f>
        <v/>
      </c>
      <c r="L416" s="56">
        <f>Raw_Data!L407</f>
        <v/>
      </c>
      <c r="M416" s="49">
        <f>IF(OR(I416="",J416=""),"",(I416+J416)/2)</f>
        <v/>
      </c>
      <c r="N416" s="49">
        <f>IF(OR(I416="",J416=""),"",J416-I416)</f>
        <v/>
      </c>
      <c r="O416" s="48">
        <f>TEXT(L416,"mmm-yyyy")</f>
        <v/>
      </c>
      <c r="P416" s="48">
        <f>_xlfn.IFS(ISNUMBER(SEARCH("data analy",B416)),"Data Analyst",ISNUMBER(SEARCH("business analy",B416)),"Business Analyst",OR(ISNUMBER(SEARCH("developer",B416)),ISNUMBER(SEARCH("software engineer",B416)),ISNUMBER(SEARCH("programmer",B416))),"Software Developer",ISNUMBER(SEARCH("business development",B416)),"Business Development",ISNUMBER(SEARCH("sales",B416)),"Sales Executive",ISNUMBER(SEARCH("marketing",B416)),"Marketing Executive",OR(ISNUMBER(SEARCH("hr ",B416)),ISNUMBER(SEARCH("recruit",B416)),ISNUMBER(SEARCH("human resource",B416))),"HR / Recruiter",OR(ISNUMBER(SEARCH("account",B416)),ISNUMBER(SEARCH("finance",B416)),ISNUMBER(SEARCH("tax",B416)),ISNUMBER(SEARCH("audit",B416))),"Accountant / Finance",OR(ISNUMBER(SEARCH("customer service",B416)),ISNUMBER(SEARCH("customer support",B416)),ISNUMBER(SEARCH("customer care",B416)),ISNUMBER(SEARCH("voice process",B416)),ISNUMBER(SEARCH("bpo",B416))),"Customer Support",ISNUMBER(SEARCH("engineer",B416)),"Engineer (Technical)",ISNUMBER(SEARCH("manager",B416)),"Manager",OR(ISNUMBER(SEARCH("teacher",B416)),ISNUMBER(SEARCH("trainer",B416)),ISNUMBER(SEARCH("faculty",B416))),"Teacher / Trainer",OR(ISNUMBER(SEARCH("doctor",B416)),ISNUMBER(SEARCH("nurse",B416)),ISNUMBER(SEARCH("medical",B416)),ISNUMBER(SEARCH("pharma",B416)),ISNUMBER(SEARCH("clinical",B416))),"Healthcare",TRUE,"Other")</f>
        <v/>
      </c>
      <c r="Q416" s="48">
        <f>IF(COUNTIFS($B$11:B416,B416,$C$11:C416,C416,$D$11:D416,D416,$L$11:L416,L416)&gt;1,"Duplicate","Unique")</f>
        <v/>
      </c>
    </row>
    <row r="417">
      <c r="A417" s="48">
        <f>Raw_Data!A408</f>
        <v/>
      </c>
      <c r="B417" s="48">
        <f>PROPER(TRIM(Raw_Data!B408))</f>
        <v/>
      </c>
      <c r="C417" s="48">
        <f>TRIM(Raw_Data!C408)</f>
        <v/>
      </c>
      <c r="D417" s="48">
        <f>IF(PROPER(TRIM(Raw_Data!D408))="Bangalore","Bengaluru",IF(PROPER(TRIM(Raw_Data!D408))="Gurgaon","Gurugram",IF(OR(PROPER(TRIM(Raw_Data!D408))="New Delhi",PROPER(TRIM(Raw_Data!D408))="Delhi"),"Delhi",PROPER(TRIM(Raw_Data!D408)))))</f>
        <v/>
      </c>
      <c r="E417" s="48">
        <f>Raw_Data!E408</f>
        <v/>
      </c>
      <c r="F417" s="48">
        <f>IF(TRIM(Raw_Data!F408&amp;"")="","Not Specified",Raw_Data!F408)</f>
        <v/>
      </c>
      <c r="G417" s="48">
        <f>Raw_Data!G408</f>
        <v/>
      </c>
      <c r="H417" s="48">
        <f>Raw_Data!H408</f>
        <v/>
      </c>
      <c r="I417" s="49">
        <f>IF(Raw_Data!I408="","",Raw_Data!I408)</f>
        <v/>
      </c>
      <c r="J417" s="49">
        <f>IF(Raw_Data!J408="","",Raw_Data!J408)</f>
        <v/>
      </c>
      <c r="K417" s="48">
        <f>IF(TRIM(Raw_Data!K408&amp;"")="","Not Specified",Raw_Data!K408)</f>
        <v/>
      </c>
      <c r="L417" s="56">
        <f>Raw_Data!L408</f>
        <v/>
      </c>
      <c r="M417" s="49">
        <f>IF(OR(I417="",J417=""),"",(I417+J417)/2)</f>
        <v/>
      </c>
      <c r="N417" s="49">
        <f>IF(OR(I417="",J417=""),"",J417-I417)</f>
        <v/>
      </c>
      <c r="O417" s="48">
        <f>TEXT(L417,"mmm-yyyy")</f>
        <v/>
      </c>
      <c r="P417" s="48">
        <f>_xlfn.IFS(ISNUMBER(SEARCH("data analy",B417)),"Data Analyst",ISNUMBER(SEARCH("business analy",B417)),"Business Analyst",OR(ISNUMBER(SEARCH("developer",B417)),ISNUMBER(SEARCH("software engineer",B417)),ISNUMBER(SEARCH("programmer",B417))),"Software Developer",ISNUMBER(SEARCH("business development",B417)),"Business Development",ISNUMBER(SEARCH("sales",B417)),"Sales Executive",ISNUMBER(SEARCH("marketing",B417)),"Marketing Executive",OR(ISNUMBER(SEARCH("hr ",B417)),ISNUMBER(SEARCH("recruit",B417)),ISNUMBER(SEARCH("human resource",B417))),"HR / Recruiter",OR(ISNUMBER(SEARCH("account",B417)),ISNUMBER(SEARCH("finance",B417)),ISNUMBER(SEARCH("tax",B417)),ISNUMBER(SEARCH("audit",B417))),"Accountant / Finance",OR(ISNUMBER(SEARCH("customer service",B417)),ISNUMBER(SEARCH("customer support",B417)),ISNUMBER(SEARCH("customer care",B417)),ISNUMBER(SEARCH("voice process",B417)),ISNUMBER(SEARCH("bpo",B417))),"Customer Support",ISNUMBER(SEARCH("engineer",B417)),"Engineer (Technical)",ISNUMBER(SEARCH("manager",B417)),"Manager",OR(ISNUMBER(SEARCH("teacher",B417)),ISNUMBER(SEARCH("trainer",B417)),ISNUMBER(SEARCH("faculty",B417))),"Teacher / Trainer",OR(ISNUMBER(SEARCH("doctor",B417)),ISNUMBER(SEARCH("nurse",B417)),ISNUMBER(SEARCH("medical",B417)),ISNUMBER(SEARCH("pharma",B417)),ISNUMBER(SEARCH("clinical",B417))),"Healthcare",TRUE,"Other")</f>
        <v/>
      </c>
      <c r="Q417" s="48">
        <f>IF(COUNTIFS($B$11:B417,B417,$C$11:C417,C417,$D$11:D417,D417,$L$11:L417,L417)&gt;1,"Duplicate","Unique")</f>
        <v/>
      </c>
    </row>
    <row r="418">
      <c r="A418" s="48">
        <f>Raw_Data!A409</f>
        <v/>
      </c>
      <c r="B418" s="48">
        <f>PROPER(TRIM(Raw_Data!B409))</f>
        <v/>
      </c>
      <c r="C418" s="48">
        <f>TRIM(Raw_Data!C409)</f>
        <v/>
      </c>
      <c r="D418" s="48">
        <f>IF(PROPER(TRIM(Raw_Data!D409))="Bangalore","Bengaluru",IF(PROPER(TRIM(Raw_Data!D409))="Gurgaon","Gurugram",IF(OR(PROPER(TRIM(Raw_Data!D409))="New Delhi",PROPER(TRIM(Raw_Data!D409))="Delhi"),"Delhi",PROPER(TRIM(Raw_Data!D409)))))</f>
        <v/>
      </c>
      <c r="E418" s="48">
        <f>Raw_Data!E409</f>
        <v/>
      </c>
      <c r="F418" s="48">
        <f>IF(TRIM(Raw_Data!F409&amp;"")="","Not Specified",Raw_Data!F409)</f>
        <v/>
      </c>
      <c r="G418" s="48">
        <f>Raw_Data!G409</f>
        <v/>
      </c>
      <c r="H418" s="48">
        <f>Raw_Data!H409</f>
        <v/>
      </c>
      <c r="I418" s="49">
        <f>IF(Raw_Data!I409="","",Raw_Data!I409)</f>
        <v/>
      </c>
      <c r="J418" s="49">
        <f>IF(Raw_Data!J409="","",Raw_Data!J409)</f>
        <v/>
      </c>
      <c r="K418" s="48">
        <f>IF(TRIM(Raw_Data!K409&amp;"")="","Not Specified",Raw_Data!K409)</f>
        <v/>
      </c>
      <c r="L418" s="56">
        <f>Raw_Data!L409</f>
        <v/>
      </c>
      <c r="M418" s="49">
        <f>IF(OR(I418="",J418=""),"",(I418+J418)/2)</f>
        <v/>
      </c>
      <c r="N418" s="49">
        <f>IF(OR(I418="",J418=""),"",J418-I418)</f>
        <v/>
      </c>
      <c r="O418" s="48">
        <f>TEXT(L418,"mmm-yyyy")</f>
        <v/>
      </c>
      <c r="P418" s="48">
        <f>_xlfn.IFS(ISNUMBER(SEARCH("data analy",B418)),"Data Analyst",ISNUMBER(SEARCH("business analy",B418)),"Business Analyst",OR(ISNUMBER(SEARCH("developer",B418)),ISNUMBER(SEARCH("software engineer",B418)),ISNUMBER(SEARCH("programmer",B418))),"Software Developer",ISNUMBER(SEARCH("business development",B418)),"Business Development",ISNUMBER(SEARCH("sales",B418)),"Sales Executive",ISNUMBER(SEARCH("marketing",B418)),"Marketing Executive",OR(ISNUMBER(SEARCH("hr ",B418)),ISNUMBER(SEARCH("recruit",B418)),ISNUMBER(SEARCH("human resource",B418))),"HR / Recruiter",OR(ISNUMBER(SEARCH("account",B418)),ISNUMBER(SEARCH("finance",B418)),ISNUMBER(SEARCH("tax",B418)),ISNUMBER(SEARCH("audit",B418))),"Accountant / Finance",OR(ISNUMBER(SEARCH("customer service",B418)),ISNUMBER(SEARCH("customer support",B418)),ISNUMBER(SEARCH("customer care",B418)),ISNUMBER(SEARCH("voice process",B418)),ISNUMBER(SEARCH("bpo",B418))),"Customer Support",ISNUMBER(SEARCH("engineer",B418)),"Engineer (Technical)",ISNUMBER(SEARCH("manager",B418)),"Manager",OR(ISNUMBER(SEARCH("teacher",B418)),ISNUMBER(SEARCH("trainer",B418)),ISNUMBER(SEARCH("faculty",B418))),"Teacher / Trainer",OR(ISNUMBER(SEARCH("doctor",B418)),ISNUMBER(SEARCH("nurse",B418)),ISNUMBER(SEARCH("medical",B418)),ISNUMBER(SEARCH("pharma",B418)),ISNUMBER(SEARCH("clinical",B418))),"Healthcare",TRUE,"Other")</f>
        <v/>
      </c>
      <c r="Q418" s="48">
        <f>IF(COUNTIFS($B$11:B418,B418,$C$11:C418,C418,$D$11:D418,D418,$L$11:L418,L418)&gt;1,"Duplicate","Unique")</f>
        <v/>
      </c>
    </row>
    <row r="419">
      <c r="A419" s="48">
        <f>Raw_Data!A410</f>
        <v/>
      </c>
      <c r="B419" s="48">
        <f>PROPER(TRIM(Raw_Data!B410))</f>
        <v/>
      </c>
      <c r="C419" s="48">
        <f>TRIM(Raw_Data!C410)</f>
        <v/>
      </c>
      <c r="D419" s="48">
        <f>IF(PROPER(TRIM(Raw_Data!D410))="Bangalore","Bengaluru",IF(PROPER(TRIM(Raw_Data!D410))="Gurgaon","Gurugram",IF(OR(PROPER(TRIM(Raw_Data!D410))="New Delhi",PROPER(TRIM(Raw_Data!D410))="Delhi"),"Delhi",PROPER(TRIM(Raw_Data!D410)))))</f>
        <v/>
      </c>
      <c r="E419" s="48">
        <f>Raw_Data!E410</f>
        <v/>
      </c>
      <c r="F419" s="48">
        <f>IF(TRIM(Raw_Data!F410&amp;"")="","Not Specified",Raw_Data!F410)</f>
        <v/>
      </c>
      <c r="G419" s="48">
        <f>Raw_Data!G410</f>
        <v/>
      </c>
      <c r="H419" s="48">
        <f>Raw_Data!H410</f>
        <v/>
      </c>
      <c r="I419" s="49">
        <f>IF(Raw_Data!I410="","",Raw_Data!I410)</f>
        <v/>
      </c>
      <c r="J419" s="49">
        <f>IF(Raw_Data!J410="","",Raw_Data!J410)</f>
        <v/>
      </c>
      <c r="K419" s="48">
        <f>IF(TRIM(Raw_Data!K410&amp;"")="","Not Specified",Raw_Data!K410)</f>
        <v/>
      </c>
      <c r="L419" s="56">
        <f>Raw_Data!L410</f>
        <v/>
      </c>
      <c r="M419" s="49">
        <f>IF(OR(I419="",J419=""),"",(I419+J419)/2)</f>
        <v/>
      </c>
      <c r="N419" s="49">
        <f>IF(OR(I419="",J419=""),"",J419-I419)</f>
        <v/>
      </c>
      <c r="O419" s="48">
        <f>TEXT(L419,"mmm-yyyy")</f>
        <v/>
      </c>
      <c r="P419" s="48">
        <f>_xlfn.IFS(ISNUMBER(SEARCH("data analy",B419)),"Data Analyst",ISNUMBER(SEARCH("business analy",B419)),"Business Analyst",OR(ISNUMBER(SEARCH("developer",B419)),ISNUMBER(SEARCH("software engineer",B419)),ISNUMBER(SEARCH("programmer",B419))),"Software Developer",ISNUMBER(SEARCH("business development",B419)),"Business Development",ISNUMBER(SEARCH("sales",B419)),"Sales Executive",ISNUMBER(SEARCH("marketing",B419)),"Marketing Executive",OR(ISNUMBER(SEARCH("hr ",B419)),ISNUMBER(SEARCH("recruit",B419)),ISNUMBER(SEARCH("human resource",B419))),"HR / Recruiter",OR(ISNUMBER(SEARCH("account",B419)),ISNUMBER(SEARCH("finance",B419)),ISNUMBER(SEARCH("tax",B419)),ISNUMBER(SEARCH("audit",B419))),"Accountant / Finance",OR(ISNUMBER(SEARCH("customer service",B419)),ISNUMBER(SEARCH("customer support",B419)),ISNUMBER(SEARCH("customer care",B419)),ISNUMBER(SEARCH("voice process",B419)),ISNUMBER(SEARCH("bpo",B419))),"Customer Support",ISNUMBER(SEARCH("engineer",B419)),"Engineer (Technical)",ISNUMBER(SEARCH("manager",B419)),"Manager",OR(ISNUMBER(SEARCH("teacher",B419)),ISNUMBER(SEARCH("trainer",B419)),ISNUMBER(SEARCH("faculty",B419))),"Teacher / Trainer",OR(ISNUMBER(SEARCH("doctor",B419)),ISNUMBER(SEARCH("nurse",B419)),ISNUMBER(SEARCH("medical",B419)),ISNUMBER(SEARCH("pharma",B419)),ISNUMBER(SEARCH("clinical",B419))),"Healthcare",TRUE,"Other")</f>
        <v/>
      </c>
      <c r="Q419" s="48">
        <f>IF(COUNTIFS($B$11:B419,B419,$C$11:C419,C419,$D$11:D419,D419,$L$11:L419,L419)&gt;1,"Duplicate","Unique")</f>
        <v/>
      </c>
    </row>
    <row r="420">
      <c r="A420" s="48">
        <f>Raw_Data!A411</f>
        <v/>
      </c>
      <c r="B420" s="48">
        <f>PROPER(TRIM(Raw_Data!B411))</f>
        <v/>
      </c>
      <c r="C420" s="48">
        <f>TRIM(Raw_Data!C411)</f>
        <v/>
      </c>
      <c r="D420" s="48">
        <f>IF(PROPER(TRIM(Raw_Data!D411))="Bangalore","Bengaluru",IF(PROPER(TRIM(Raw_Data!D411))="Gurgaon","Gurugram",IF(OR(PROPER(TRIM(Raw_Data!D411))="New Delhi",PROPER(TRIM(Raw_Data!D411))="Delhi"),"Delhi",PROPER(TRIM(Raw_Data!D411)))))</f>
        <v/>
      </c>
      <c r="E420" s="48">
        <f>Raw_Data!E411</f>
        <v/>
      </c>
      <c r="F420" s="48">
        <f>IF(TRIM(Raw_Data!F411&amp;"")="","Not Specified",Raw_Data!F411)</f>
        <v/>
      </c>
      <c r="G420" s="48">
        <f>Raw_Data!G411</f>
        <v/>
      </c>
      <c r="H420" s="48">
        <f>Raw_Data!H411</f>
        <v/>
      </c>
      <c r="I420" s="49">
        <f>IF(Raw_Data!I411="","",Raw_Data!I411)</f>
        <v/>
      </c>
      <c r="J420" s="49">
        <f>IF(Raw_Data!J411="","",Raw_Data!J411)</f>
        <v/>
      </c>
      <c r="K420" s="48">
        <f>IF(TRIM(Raw_Data!K411&amp;"")="","Not Specified",Raw_Data!K411)</f>
        <v/>
      </c>
      <c r="L420" s="56">
        <f>Raw_Data!L411</f>
        <v/>
      </c>
      <c r="M420" s="49">
        <f>IF(OR(I420="",J420=""),"",(I420+J420)/2)</f>
        <v/>
      </c>
      <c r="N420" s="49">
        <f>IF(OR(I420="",J420=""),"",J420-I420)</f>
        <v/>
      </c>
      <c r="O420" s="48">
        <f>TEXT(L420,"mmm-yyyy")</f>
        <v/>
      </c>
      <c r="P420" s="48">
        <f>_xlfn.IFS(ISNUMBER(SEARCH("data analy",B420)),"Data Analyst",ISNUMBER(SEARCH("business analy",B420)),"Business Analyst",OR(ISNUMBER(SEARCH("developer",B420)),ISNUMBER(SEARCH("software engineer",B420)),ISNUMBER(SEARCH("programmer",B420))),"Software Developer",ISNUMBER(SEARCH("business development",B420)),"Business Development",ISNUMBER(SEARCH("sales",B420)),"Sales Executive",ISNUMBER(SEARCH("marketing",B420)),"Marketing Executive",OR(ISNUMBER(SEARCH("hr ",B420)),ISNUMBER(SEARCH("recruit",B420)),ISNUMBER(SEARCH("human resource",B420))),"HR / Recruiter",OR(ISNUMBER(SEARCH("account",B420)),ISNUMBER(SEARCH("finance",B420)),ISNUMBER(SEARCH("tax",B420)),ISNUMBER(SEARCH("audit",B420))),"Accountant / Finance",OR(ISNUMBER(SEARCH("customer service",B420)),ISNUMBER(SEARCH("customer support",B420)),ISNUMBER(SEARCH("customer care",B420)),ISNUMBER(SEARCH("voice process",B420)),ISNUMBER(SEARCH("bpo",B420))),"Customer Support",ISNUMBER(SEARCH("engineer",B420)),"Engineer (Technical)",ISNUMBER(SEARCH("manager",B420)),"Manager",OR(ISNUMBER(SEARCH("teacher",B420)),ISNUMBER(SEARCH("trainer",B420)),ISNUMBER(SEARCH("faculty",B420))),"Teacher / Trainer",OR(ISNUMBER(SEARCH("doctor",B420)),ISNUMBER(SEARCH("nurse",B420)),ISNUMBER(SEARCH("medical",B420)),ISNUMBER(SEARCH("pharma",B420)),ISNUMBER(SEARCH("clinical",B420))),"Healthcare",TRUE,"Other")</f>
        <v/>
      </c>
      <c r="Q420" s="48">
        <f>IF(COUNTIFS($B$11:B420,B420,$C$11:C420,C420,$D$11:D420,D420,$L$11:L420,L420)&gt;1,"Duplicate","Unique")</f>
        <v/>
      </c>
    </row>
    <row r="421">
      <c r="A421" s="48">
        <f>Raw_Data!A412</f>
        <v/>
      </c>
      <c r="B421" s="48">
        <f>PROPER(TRIM(Raw_Data!B412))</f>
        <v/>
      </c>
      <c r="C421" s="48">
        <f>TRIM(Raw_Data!C412)</f>
        <v/>
      </c>
      <c r="D421" s="48">
        <f>IF(PROPER(TRIM(Raw_Data!D412))="Bangalore","Bengaluru",IF(PROPER(TRIM(Raw_Data!D412))="Gurgaon","Gurugram",IF(OR(PROPER(TRIM(Raw_Data!D412))="New Delhi",PROPER(TRIM(Raw_Data!D412))="Delhi"),"Delhi",PROPER(TRIM(Raw_Data!D412)))))</f>
        <v/>
      </c>
      <c r="E421" s="48">
        <f>Raw_Data!E412</f>
        <v/>
      </c>
      <c r="F421" s="48">
        <f>IF(TRIM(Raw_Data!F412&amp;"")="","Not Specified",Raw_Data!F412)</f>
        <v/>
      </c>
      <c r="G421" s="48">
        <f>Raw_Data!G412</f>
        <v/>
      </c>
      <c r="H421" s="48">
        <f>Raw_Data!H412</f>
        <v/>
      </c>
      <c r="I421" s="49">
        <f>IF(Raw_Data!I412="","",Raw_Data!I412)</f>
        <v/>
      </c>
      <c r="J421" s="49">
        <f>IF(Raw_Data!J412="","",Raw_Data!J412)</f>
        <v/>
      </c>
      <c r="K421" s="48">
        <f>IF(TRIM(Raw_Data!K412&amp;"")="","Not Specified",Raw_Data!K412)</f>
        <v/>
      </c>
      <c r="L421" s="56">
        <f>Raw_Data!L412</f>
        <v/>
      </c>
      <c r="M421" s="49">
        <f>IF(OR(I421="",J421=""),"",(I421+J421)/2)</f>
        <v/>
      </c>
      <c r="N421" s="49">
        <f>IF(OR(I421="",J421=""),"",J421-I421)</f>
        <v/>
      </c>
      <c r="O421" s="48">
        <f>TEXT(L421,"mmm-yyyy")</f>
        <v/>
      </c>
      <c r="P421" s="48">
        <f>_xlfn.IFS(ISNUMBER(SEARCH("data analy",B421)),"Data Analyst",ISNUMBER(SEARCH("business analy",B421)),"Business Analyst",OR(ISNUMBER(SEARCH("developer",B421)),ISNUMBER(SEARCH("software engineer",B421)),ISNUMBER(SEARCH("programmer",B421))),"Software Developer",ISNUMBER(SEARCH("business development",B421)),"Business Development",ISNUMBER(SEARCH("sales",B421)),"Sales Executive",ISNUMBER(SEARCH("marketing",B421)),"Marketing Executive",OR(ISNUMBER(SEARCH("hr ",B421)),ISNUMBER(SEARCH("recruit",B421)),ISNUMBER(SEARCH("human resource",B421))),"HR / Recruiter",OR(ISNUMBER(SEARCH("account",B421)),ISNUMBER(SEARCH("finance",B421)),ISNUMBER(SEARCH("tax",B421)),ISNUMBER(SEARCH("audit",B421))),"Accountant / Finance",OR(ISNUMBER(SEARCH("customer service",B421)),ISNUMBER(SEARCH("customer support",B421)),ISNUMBER(SEARCH("customer care",B421)),ISNUMBER(SEARCH("voice process",B421)),ISNUMBER(SEARCH("bpo",B421))),"Customer Support",ISNUMBER(SEARCH("engineer",B421)),"Engineer (Technical)",ISNUMBER(SEARCH("manager",B421)),"Manager",OR(ISNUMBER(SEARCH("teacher",B421)),ISNUMBER(SEARCH("trainer",B421)),ISNUMBER(SEARCH("faculty",B421))),"Teacher / Trainer",OR(ISNUMBER(SEARCH("doctor",B421)),ISNUMBER(SEARCH("nurse",B421)),ISNUMBER(SEARCH("medical",B421)),ISNUMBER(SEARCH("pharma",B421)),ISNUMBER(SEARCH("clinical",B421))),"Healthcare",TRUE,"Other")</f>
        <v/>
      </c>
      <c r="Q421" s="48">
        <f>IF(COUNTIFS($B$11:B421,B421,$C$11:C421,C421,$D$11:D421,D421,$L$11:L421,L421)&gt;1,"Duplicate","Unique")</f>
        <v/>
      </c>
    </row>
    <row r="422">
      <c r="A422" s="48">
        <f>Raw_Data!A413</f>
        <v/>
      </c>
      <c r="B422" s="48">
        <f>PROPER(TRIM(Raw_Data!B413))</f>
        <v/>
      </c>
      <c r="C422" s="48">
        <f>TRIM(Raw_Data!C413)</f>
        <v/>
      </c>
      <c r="D422" s="48">
        <f>IF(PROPER(TRIM(Raw_Data!D413))="Bangalore","Bengaluru",IF(PROPER(TRIM(Raw_Data!D413))="Gurgaon","Gurugram",IF(OR(PROPER(TRIM(Raw_Data!D413))="New Delhi",PROPER(TRIM(Raw_Data!D413))="Delhi"),"Delhi",PROPER(TRIM(Raw_Data!D413)))))</f>
        <v/>
      </c>
      <c r="E422" s="48">
        <f>Raw_Data!E413</f>
        <v/>
      </c>
      <c r="F422" s="48">
        <f>IF(TRIM(Raw_Data!F413&amp;"")="","Not Specified",Raw_Data!F413)</f>
        <v/>
      </c>
      <c r="G422" s="48">
        <f>Raw_Data!G413</f>
        <v/>
      </c>
      <c r="H422" s="48">
        <f>Raw_Data!H413</f>
        <v/>
      </c>
      <c r="I422" s="49">
        <f>IF(Raw_Data!I413="","",Raw_Data!I413)</f>
        <v/>
      </c>
      <c r="J422" s="49">
        <f>IF(Raw_Data!J413="","",Raw_Data!J413)</f>
        <v/>
      </c>
      <c r="K422" s="48">
        <f>IF(TRIM(Raw_Data!K413&amp;"")="","Not Specified",Raw_Data!K413)</f>
        <v/>
      </c>
      <c r="L422" s="56">
        <f>Raw_Data!L413</f>
        <v/>
      </c>
      <c r="M422" s="49">
        <f>IF(OR(I422="",J422=""),"",(I422+J422)/2)</f>
        <v/>
      </c>
      <c r="N422" s="49">
        <f>IF(OR(I422="",J422=""),"",J422-I422)</f>
        <v/>
      </c>
      <c r="O422" s="48">
        <f>TEXT(L422,"mmm-yyyy")</f>
        <v/>
      </c>
      <c r="P422" s="48">
        <f>_xlfn.IFS(ISNUMBER(SEARCH("data analy",B422)),"Data Analyst",ISNUMBER(SEARCH("business analy",B422)),"Business Analyst",OR(ISNUMBER(SEARCH("developer",B422)),ISNUMBER(SEARCH("software engineer",B422)),ISNUMBER(SEARCH("programmer",B422))),"Software Developer",ISNUMBER(SEARCH("business development",B422)),"Business Development",ISNUMBER(SEARCH("sales",B422)),"Sales Executive",ISNUMBER(SEARCH("marketing",B422)),"Marketing Executive",OR(ISNUMBER(SEARCH("hr ",B422)),ISNUMBER(SEARCH("recruit",B422)),ISNUMBER(SEARCH("human resource",B422))),"HR / Recruiter",OR(ISNUMBER(SEARCH("account",B422)),ISNUMBER(SEARCH("finance",B422)),ISNUMBER(SEARCH("tax",B422)),ISNUMBER(SEARCH("audit",B422))),"Accountant / Finance",OR(ISNUMBER(SEARCH("customer service",B422)),ISNUMBER(SEARCH("customer support",B422)),ISNUMBER(SEARCH("customer care",B422)),ISNUMBER(SEARCH("voice process",B422)),ISNUMBER(SEARCH("bpo",B422))),"Customer Support",ISNUMBER(SEARCH("engineer",B422)),"Engineer (Technical)",ISNUMBER(SEARCH("manager",B422)),"Manager",OR(ISNUMBER(SEARCH("teacher",B422)),ISNUMBER(SEARCH("trainer",B422)),ISNUMBER(SEARCH("faculty",B422))),"Teacher / Trainer",OR(ISNUMBER(SEARCH("doctor",B422)),ISNUMBER(SEARCH("nurse",B422)),ISNUMBER(SEARCH("medical",B422)),ISNUMBER(SEARCH("pharma",B422)),ISNUMBER(SEARCH("clinical",B422))),"Healthcare",TRUE,"Other")</f>
        <v/>
      </c>
      <c r="Q422" s="48">
        <f>IF(COUNTIFS($B$11:B422,B422,$C$11:C422,C422,$D$11:D422,D422,$L$11:L422,L422)&gt;1,"Duplicate","Unique")</f>
        <v/>
      </c>
    </row>
    <row r="423">
      <c r="A423" s="48">
        <f>Raw_Data!A414</f>
        <v/>
      </c>
      <c r="B423" s="48">
        <f>PROPER(TRIM(Raw_Data!B414))</f>
        <v/>
      </c>
      <c r="C423" s="48">
        <f>TRIM(Raw_Data!C414)</f>
        <v/>
      </c>
      <c r="D423" s="48">
        <f>IF(PROPER(TRIM(Raw_Data!D414))="Bangalore","Bengaluru",IF(PROPER(TRIM(Raw_Data!D414))="Gurgaon","Gurugram",IF(OR(PROPER(TRIM(Raw_Data!D414))="New Delhi",PROPER(TRIM(Raw_Data!D414))="Delhi"),"Delhi",PROPER(TRIM(Raw_Data!D414)))))</f>
        <v/>
      </c>
      <c r="E423" s="48">
        <f>Raw_Data!E414</f>
        <v/>
      </c>
      <c r="F423" s="48">
        <f>IF(TRIM(Raw_Data!F414&amp;"")="","Not Specified",Raw_Data!F414)</f>
        <v/>
      </c>
      <c r="G423" s="48">
        <f>Raw_Data!G414</f>
        <v/>
      </c>
      <c r="H423" s="48">
        <f>Raw_Data!H414</f>
        <v/>
      </c>
      <c r="I423" s="49">
        <f>IF(Raw_Data!I414="","",Raw_Data!I414)</f>
        <v/>
      </c>
      <c r="J423" s="49">
        <f>IF(Raw_Data!J414="","",Raw_Data!J414)</f>
        <v/>
      </c>
      <c r="K423" s="48">
        <f>IF(TRIM(Raw_Data!K414&amp;"")="","Not Specified",Raw_Data!K414)</f>
        <v/>
      </c>
      <c r="L423" s="56">
        <f>Raw_Data!L414</f>
        <v/>
      </c>
      <c r="M423" s="49">
        <f>IF(OR(I423="",J423=""),"",(I423+J423)/2)</f>
        <v/>
      </c>
      <c r="N423" s="49">
        <f>IF(OR(I423="",J423=""),"",J423-I423)</f>
        <v/>
      </c>
      <c r="O423" s="48">
        <f>TEXT(L423,"mmm-yyyy")</f>
        <v/>
      </c>
      <c r="P423" s="48">
        <f>_xlfn.IFS(ISNUMBER(SEARCH("data analy",B423)),"Data Analyst",ISNUMBER(SEARCH("business analy",B423)),"Business Analyst",OR(ISNUMBER(SEARCH("developer",B423)),ISNUMBER(SEARCH("software engineer",B423)),ISNUMBER(SEARCH("programmer",B423))),"Software Developer",ISNUMBER(SEARCH("business development",B423)),"Business Development",ISNUMBER(SEARCH("sales",B423)),"Sales Executive",ISNUMBER(SEARCH("marketing",B423)),"Marketing Executive",OR(ISNUMBER(SEARCH("hr ",B423)),ISNUMBER(SEARCH("recruit",B423)),ISNUMBER(SEARCH("human resource",B423))),"HR / Recruiter",OR(ISNUMBER(SEARCH("account",B423)),ISNUMBER(SEARCH("finance",B423)),ISNUMBER(SEARCH("tax",B423)),ISNUMBER(SEARCH("audit",B423))),"Accountant / Finance",OR(ISNUMBER(SEARCH("customer service",B423)),ISNUMBER(SEARCH("customer support",B423)),ISNUMBER(SEARCH("customer care",B423)),ISNUMBER(SEARCH("voice process",B423)),ISNUMBER(SEARCH("bpo",B423))),"Customer Support",ISNUMBER(SEARCH("engineer",B423)),"Engineer (Technical)",ISNUMBER(SEARCH("manager",B423)),"Manager",OR(ISNUMBER(SEARCH("teacher",B423)),ISNUMBER(SEARCH("trainer",B423)),ISNUMBER(SEARCH("faculty",B423))),"Teacher / Trainer",OR(ISNUMBER(SEARCH("doctor",B423)),ISNUMBER(SEARCH("nurse",B423)),ISNUMBER(SEARCH("medical",B423)),ISNUMBER(SEARCH("pharma",B423)),ISNUMBER(SEARCH("clinical",B423))),"Healthcare",TRUE,"Other")</f>
        <v/>
      </c>
      <c r="Q423" s="48">
        <f>IF(COUNTIFS($B$11:B423,B423,$C$11:C423,C423,$D$11:D423,D423,$L$11:L423,L423)&gt;1,"Duplicate","Unique")</f>
        <v/>
      </c>
    </row>
    <row r="424">
      <c r="A424" s="48">
        <f>Raw_Data!A415</f>
        <v/>
      </c>
      <c r="B424" s="48">
        <f>PROPER(TRIM(Raw_Data!B415))</f>
        <v/>
      </c>
      <c r="C424" s="48">
        <f>TRIM(Raw_Data!C415)</f>
        <v/>
      </c>
      <c r="D424" s="48">
        <f>IF(PROPER(TRIM(Raw_Data!D415))="Bangalore","Bengaluru",IF(PROPER(TRIM(Raw_Data!D415))="Gurgaon","Gurugram",IF(OR(PROPER(TRIM(Raw_Data!D415))="New Delhi",PROPER(TRIM(Raw_Data!D415))="Delhi"),"Delhi",PROPER(TRIM(Raw_Data!D415)))))</f>
        <v/>
      </c>
      <c r="E424" s="48">
        <f>Raw_Data!E415</f>
        <v/>
      </c>
      <c r="F424" s="48">
        <f>IF(TRIM(Raw_Data!F415&amp;"")="","Not Specified",Raw_Data!F415)</f>
        <v/>
      </c>
      <c r="G424" s="48">
        <f>Raw_Data!G415</f>
        <v/>
      </c>
      <c r="H424" s="48">
        <f>Raw_Data!H415</f>
        <v/>
      </c>
      <c r="I424" s="49">
        <f>IF(Raw_Data!I415="","",Raw_Data!I415)</f>
        <v/>
      </c>
      <c r="J424" s="49">
        <f>IF(Raw_Data!J415="","",Raw_Data!J415)</f>
        <v/>
      </c>
      <c r="K424" s="48">
        <f>IF(TRIM(Raw_Data!K415&amp;"")="","Not Specified",Raw_Data!K415)</f>
        <v/>
      </c>
      <c r="L424" s="56">
        <f>Raw_Data!L415</f>
        <v/>
      </c>
      <c r="M424" s="49">
        <f>IF(OR(I424="",J424=""),"",(I424+J424)/2)</f>
        <v/>
      </c>
      <c r="N424" s="49">
        <f>IF(OR(I424="",J424=""),"",J424-I424)</f>
        <v/>
      </c>
      <c r="O424" s="48">
        <f>TEXT(L424,"mmm-yyyy")</f>
        <v/>
      </c>
      <c r="P424" s="48">
        <f>_xlfn.IFS(ISNUMBER(SEARCH("data analy",B424)),"Data Analyst",ISNUMBER(SEARCH("business analy",B424)),"Business Analyst",OR(ISNUMBER(SEARCH("developer",B424)),ISNUMBER(SEARCH("software engineer",B424)),ISNUMBER(SEARCH("programmer",B424))),"Software Developer",ISNUMBER(SEARCH("business development",B424)),"Business Development",ISNUMBER(SEARCH("sales",B424)),"Sales Executive",ISNUMBER(SEARCH("marketing",B424)),"Marketing Executive",OR(ISNUMBER(SEARCH("hr ",B424)),ISNUMBER(SEARCH("recruit",B424)),ISNUMBER(SEARCH("human resource",B424))),"HR / Recruiter",OR(ISNUMBER(SEARCH("account",B424)),ISNUMBER(SEARCH("finance",B424)),ISNUMBER(SEARCH("tax",B424)),ISNUMBER(SEARCH("audit",B424))),"Accountant / Finance",OR(ISNUMBER(SEARCH("customer service",B424)),ISNUMBER(SEARCH("customer support",B424)),ISNUMBER(SEARCH("customer care",B424)),ISNUMBER(SEARCH("voice process",B424)),ISNUMBER(SEARCH("bpo",B424))),"Customer Support",ISNUMBER(SEARCH("engineer",B424)),"Engineer (Technical)",ISNUMBER(SEARCH("manager",B424)),"Manager",OR(ISNUMBER(SEARCH("teacher",B424)),ISNUMBER(SEARCH("trainer",B424)),ISNUMBER(SEARCH("faculty",B424))),"Teacher / Trainer",OR(ISNUMBER(SEARCH("doctor",B424)),ISNUMBER(SEARCH("nurse",B424)),ISNUMBER(SEARCH("medical",B424)),ISNUMBER(SEARCH("pharma",B424)),ISNUMBER(SEARCH("clinical",B424))),"Healthcare",TRUE,"Other")</f>
        <v/>
      </c>
      <c r="Q424" s="48">
        <f>IF(COUNTIFS($B$11:B424,B424,$C$11:C424,C424,$D$11:D424,D424,$L$11:L424,L424)&gt;1,"Duplicate","Unique")</f>
        <v/>
      </c>
    </row>
    <row r="425">
      <c r="A425" s="48">
        <f>Raw_Data!A416</f>
        <v/>
      </c>
      <c r="B425" s="48">
        <f>PROPER(TRIM(Raw_Data!B416))</f>
        <v/>
      </c>
      <c r="C425" s="48">
        <f>TRIM(Raw_Data!C416)</f>
        <v/>
      </c>
      <c r="D425" s="48">
        <f>IF(PROPER(TRIM(Raw_Data!D416))="Bangalore","Bengaluru",IF(PROPER(TRIM(Raw_Data!D416))="Gurgaon","Gurugram",IF(OR(PROPER(TRIM(Raw_Data!D416))="New Delhi",PROPER(TRIM(Raw_Data!D416))="Delhi"),"Delhi",PROPER(TRIM(Raw_Data!D416)))))</f>
        <v/>
      </c>
      <c r="E425" s="48">
        <f>Raw_Data!E416</f>
        <v/>
      </c>
      <c r="F425" s="48">
        <f>IF(TRIM(Raw_Data!F416&amp;"")="","Not Specified",Raw_Data!F416)</f>
        <v/>
      </c>
      <c r="G425" s="48">
        <f>Raw_Data!G416</f>
        <v/>
      </c>
      <c r="H425" s="48">
        <f>Raw_Data!H416</f>
        <v/>
      </c>
      <c r="I425" s="49">
        <f>IF(Raw_Data!I416="","",Raw_Data!I416)</f>
        <v/>
      </c>
      <c r="J425" s="49">
        <f>IF(Raw_Data!J416="","",Raw_Data!J416)</f>
        <v/>
      </c>
      <c r="K425" s="48">
        <f>IF(TRIM(Raw_Data!K416&amp;"")="","Not Specified",Raw_Data!K416)</f>
        <v/>
      </c>
      <c r="L425" s="56">
        <f>Raw_Data!L416</f>
        <v/>
      </c>
      <c r="M425" s="49">
        <f>IF(OR(I425="",J425=""),"",(I425+J425)/2)</f>
        <v/>
      </c>
      <c r="N425" s="49">
        <f>IF(OR(I425="",J425=""),"",J425-I425)</f>
        <v/>
      </c>
      <c r="O425" s="48">
        <f>TEXT(L425,"mmm-yyyy")</f>
        <v/>
      </c>
      <c r="P425" s="48">
        <f>_xlfn.IFS(ISNUMBER(SEARCH("data analy",B425)),"Data Analyst",ISNUMBER(SEARCH("business analy",B425)),"Business Analyst",OR(ISNUMBER(SEARCH("developer",B425)),ISNUMBER(SEARCH("software engineer",B425)),ISNUMBER(SEARCH("programmer",B425))),"Software Developer",ISNUMBER(SEARCH("business development",B425)),"Business Development",ISNUMBER(SEARCH("sales",B425)),"Sales Executive",ISNUMBER(SEARCH("marketing",B425)),"Marketing Executive",OR(ISNUMBER(SEARCH("hr ",B425)),ISNUMBER(SEARCH("recruit",B425)),ISNUMBER(SEARCH("human resource",B425))),"HR / Recruiter",OR(ISNUMBER(SEARCH("account",B425)),ISNUMBER(SEARCH("finance",B425)),ISNUMBER(SEARCH("tax",B425)),ISNUMBER(SEARCH("audit",B425))),"Accountant / Finance",OR(ISNUMBER(SEARCH("customer service",B425)),ISNUMBER(SEARCH("customer support",B425)),ISNUMBER(SEARCH("customer care",B425)),ISNUMBER(SEARCH("voice process",B425)),ISNUMBER(SEARCH("bpo",B425))),"Customer Support",ISNUMBER(SEARCH("engineer",B425)),"Engineer (Technical)",ISNUMBER(SEARCH("manager",B425)),"Manager",OR(ISNUMBER(SEARCH("teacher",B425)),ISNUMBER(SEARCH("trainer",B425)),ISNUMBER(SEARCH("faculty",B425))),"Teacher / Trainer",OR(ISNUMBER(SEARCH("doctor",B425)),ISNUMBER(SEARCH("nurse",B425)),ISNUMBER(SEARCH("medical",B425)),ISNUMBER(SEARCH("pharma",B425)),ISNUMBER(SEARCH("clinical",B425))),"Healthcare",TRUE,"Other")</f>
        <v/>
      </c>
      <c r="Q425" s="48">
        <f>IF(COUNTIFS($B$11:B425,B425,$C$11:C425,C425,$D$11:D425,D425,$L$11:L425,L425)&gt;1,"Duplicate","Unique")</f>
        <v/>
      </c>
    </row>
    <row r="426">
      <c r="A426" s="48">
        <f>Raw_Data!A417</f>
        <v/>
      </c>
      <c r="B426" s="48">
        <f>PROPER(TRIM(Raw_Data!B417))</f>
        <v/>
      </c>
      <c r="C426" s="48">
        <f>TRIM(Raw_Data!C417)</f>
        <v/>
      </c>
      <c r="D426" s="48">
        <f>IF(PROPER(TRIM(Raw_Data!D417))="Bangalore","Bengaluru",IF(PROPER(TRIM(Raw_Data!D417))="Gurgaon","Gurugram",IF(OR(PROPER(TRIM(Raw_Data!D417))="New Delhi",PROPER(TRIM(Raw_Data!D417))="Delhi"),"Delhi",PROPER(TRIM(Raw_Data!D417)))))</f>
        <v/>
      </c>
      <c r="E426" s="48">
        <f>Raw_Data!E417</f>
        <v/>
      </c>
      <c r="F426" s="48">
        <f>IF(TRIM(Raw_Data!F417&amp;"")="","Not Specified",Raw_Data!F417)</f>
        <v/>
      </c>
      <c r="G426" s="48">
        <f>Raw_Data!G417</f>
        <v/>
      </c>
      <c r="H426" s="48">
        <f>Raw_Data!H417</f>
        <v/>
      </c>
      <c r="I426" s="49">
        <f>IF(Raw_Data!I417="","",Raw_Data!I417)</f>
        <v/>
      </c>
      <c r="J426" s="49">
        <f>IF(Raw_Data!J417="","",Raw_Data!J417)</f>
        <v/>
      </c>
      <c r="K426" s="48">
        <f>IF(TRIM(Raw_Data!K417&amp;"")="","Not Specified",Raw_Data!K417)</f>
        <v/>
      </c>
      <c r="L426" s="56">
        <f>Raw_Data!L417</f>
        <v/>
      </c>
      <c r="M426" s="49">
        <f>IF(OR(I426="",J426=""),"",(I426+J426)/2)</f>
        <v/>
      </c>
      <c r="N426" s="49">
        <f>IF(OR(I426="",J426=""),"",J426-I426)</f>
        <v/>
      </c>
      <c r="O426" s="48">
        <f>TEXT(L426,"mmm-yyyy")</f>
        <v/>
      </c>
      <c r="P426" s="48">
        <f>_xlfn.IFS(ISNUMBER(SEARCH("data analy",B426)),"Data Analyst",ISNUMBER(SEARCH("business analy",B426)),"Business Analyst",OR(ISNUMBER(SEARCH("developer",B426)),ISNUMBER(SEARCH("software engineer",B426)),ISNUMBER(SEARCH("programmer",B426))),"Software Developer",ISNUMBER(SEARCH("business development",B426)),"Business Development",ISNUMBER(SEARCH("sales",B426)),"Sales Executive",ISNUMBER(SEARCH("marketing",B426)),"Marketing Executive",OR(ISNUMBER(SEARCH("hr ",B426)),ISNUMBER(SEARCH("recruit",B426)),ISNUMBER(SEARCH("human resource",B426))),"HR / Recruiter",OR(ISNUMBER(SEARCH("account",B426)),ISNUMBER(SEARCH("finance",B426)),ISNUMBER(SEARCH("tax",B426)),ISNUMBER(SEARCH("audit",B426))),"Accountant / Finance",OR(ISNUMBER(SEARCH("customer service",B426)),ISNUMBER(SEARCH("customer support",B426)),ISNUMBER(SEARCH("customer care",B426)),ISNUMBER(SEARCH("voice process",B426)),ISNUMBER(SEARCH("bpo",B426))),"Customer Support",ISNUMBER(SEARCH("engineer",B426)),"Engineer (Technical)",ISNUMBER(SEARCH("manager",B426)),"Manager",OR(ISNUMBER(SEARCH("teacher",B426)),ISNUMBER(SEARCH("trainer",B426)),ISNUMBER(SEARCH("faculty",B426))),"Teacher / Trainer",OR(ISNUMBER(SEARCH("doctor",B426)),ISNUMBER(SEARCH("nurse",B426)),ISNUMBER(SEARCH("medical",B426)),ISNUMBER(SEARCH("pharma",B426)),ISNUMBER(SEARCH("clinical",B426))),"Healthcare",TRUE,"Other")</f>
        <v/>
      </c>
      <c r="Q426" s="48">
        <f>IF(COUNTIFS($B$11:B426,B426,$C$11:C426,C426,$D$11:D426,D426,$L$11:L426,L426)&gt;1,"Duplicate","Unique")</f>
        <v/>
      </c>
    </row>
    <row r="427">
      <c r="A427" s="48">
        <f>Raw_Data!A418</f>
        <v/>
      </c>
      <c r="B427" s="48">
        <f>PROPER(TRIM(Raw_Data!B418))</f>
        <v/>
      </c>
      <c r="C427" s="48">
        <f>TRIM(Raw_Data!C418)</f>
        <v/>
      </c>
      <c r="D427" s="48">
        <f>IF(PROPER(TRIM(Raw_Data!D418))="Bangalore","Bengaluru",IF(PROPER(TRIM(Raw_Data!D418))="Gurgaon","Gurugram",IF(OR(PROPER(TRIM(Raw_Data!D418))="New Delhi",PROPER(TRIM(Raw_Data!D418))="Delhi"),"Delhi",PROPER(TRIM(Raw_Data!D418)))))</f>
        <v/>
      </c>
      <c r="E427" s="48">
        <f>Raw_Data!E418</f>
        <v/>
      </c>
      <c r="F427" s="48">
        <f>IF(TRIM(Raw_Data!F418&amp;"")="","Not Specified",Raw_Data!F418)</f>
        <v/>
      </c>
      <c r="G427" s="48">
        <f>Raw_Data!G418</f>
        <v/>
      </c>
      <c r="H427" s="48">
        <f>Raw_Data!H418</f>
        <v/>
      </c>
      <c r="I427" s="49">
        <f>IF(Raw_Data!I418="","",Raw_Data!I418)</f>
        <v/>
      </c>
      <c r="J427" s="49">
        <f>IF(Raw_Data!J418="","",Raw_Data!J418)</f>
        <v/>
      </c>
      <c r="K427" s="48">
        <f>IF(TRIM(Raw_Data!K418&amp;"")="","Not Specified",Raw_Data!K418)</f>
        <v/>
      </c>
      <c r="L427" s="56">
        <f>Raw_Data!L418</f>
        <v/>
      </c>
      <c r="M427" s="49">
        <f>IF(OR(I427="",J427=""),"",(I427+J427)/2)</f>
        <v/>
      </c>
      <c r="N427" s="49">
        <f>IF(OR(I427="",J427=""),"",J427-I427)</f>
        <v/>
      </c>
      <c r="O427" s="48">
        <f>TEXT(L427,"mmm-yyyy")</f>
        <v/>
      </c>
      <c r="P427" s="48">
        <f>_xlfn.IFS(ISNUMBER(SEARCH("data analy",B427)),"Data Analyst",ISNUMBER(SEARCH("business analy",B427)),"Business Analyst",OR(ISNUMBER(SEARCH("developer",B427)),ISNUMBER(SEARCH("software engineer",B427)),ISNUMBER(SEARCH("programmer",B427))),"Software Developer",ISNUMBER(SEARCH("business development",B427)),"Business Development",ISNUMBER(SEARCH("sales",B427)),"Sales Executive",ISNUMBER(SEARCH("marketing",B427)),"Marketing Executive",OR(ISNUMBER(SEARCH("hr ",B427)),ISNUMBER(SEARCH("recruit",B427)),ISNUMBER(SEARCH("human resource",B427))),"HR / Recruiter",OR(ISNUMBER(SEARCH("account",B427)),ISNUMBER(SEARCH("finance",B427)),ISNUMBER(SEARCH("tax",B427)),ISNUMBER(SEARCH("audit",B427))),"Accountant / Finance",OR(ISNUMBER(SEARCH("customer service",B427)),ISNUMBER(SEARCH("customer support",B427)),ISNUMBER(SEARCH("customer care",B427)),ISNUMBER(SEARCH("voice process",B427)),ISNUMBER(SEARCH("bpo",B427))),"Customer Support",ISNUMBER(SEARCH("engineer",B427)),"Engineer (Technical)",ISNUMBER(SEARCH("manager",B427)),"Manager",OR(ISNUMBER(SEARCH("teacher",B427)),ISNUMBER(SEARCH("trainer",B427)),ISNUMBER(SEARCH("faculty",B427))),"Teacher / Trainer",OR(ISNUMBER(SEARCH("doctor",B427)),ISNUMBER(SEARCH("nurse",B427)),ISNUMBER(SEARCH("medical",B427)),ISNUMBER(SEARCH("pharma",B427)),ISNUMBER(SEARCH("clinical",B427))),"Healthcare",TRUE,"Other")</f>
        <v/>
      </c>
      <c r="Q427" s="48">
        <f>IF(COUNTIFS($B$11:B427,B427,$C$11:C427,C427,$D$11:D427,D427,$L$11:L427,L427)&gt;1,"Duplicate","Unique")</f>
        <v/>
      </c>
    </row>
    <row r="428">
      <c r="A428" s="48">
        <f>Raw_Data!A419</f>
        <v/>
      </c>
      <c r="B428" s="48">
        <f>PROPER(TRIM(Raw_Data!B419))</f>
        <v/>
      </c>
      <c r="C428" s="48">
        <f>TRIM(Raw_Data!C419)</f>
        <v/>
      </c>
      <c r="D428" s="48">
        <f>IF(PROPER(TRIM(Raw_Data!D419))="Bangalore","Bengaluru",IF(PROPER(TRIM(Raw_Data!D419))="Gurgaon","Gurugram",IF(OR(PROPER(TRIM(Raw_Data!D419))="New Delhi",PROPER(TRIM(Raw_Data!D419))="Delhi"),"Delhi",PROPER(TRIM(Raw_Data!D419)))))</f>
        <v/>
      </c>
      <c r="E428" s="48">
        <f>Raw_Data!E419</f>
        <v/>
      </c>
      <c r="F428" s="48">
        <f>IF(TRIM(Raw_Data!F419&amp;"")="","Not Specified",Raw_Data!F419)</f>
        <v/>
      </c>
      <c r="G428" s="48">
        <f>Raw_Data!G419</f>
        <v/>
      </c>
      <c r="H428" s="48">
        <f>Raw_Data!H419</f>
        <v/>
      </c>
      <c r="I428" s="49">
        <f>IF(Raw_Data!I419="","",Raw_Data!I419)</f>
        <v/>
      </c>
      <c r="J428" s="49">
        <f>IF(Raw_Data!J419="","",Raw_Data!J419)</f>
        <v/>
      </c>
      <c r="K428" s="48">
        <f>IF(TRIM(Raw_Data!K419&amp;"")="","Not Specified",Raw_Data!K419)</f>
        <v/>
      </c>
      <c r="L428" s="56">
        <f>Raw_Data!L419</f>
        <v/>
      </c>
      <c r="M428" s="49">
        <f>IF(OR(I428="",J428=""),"",(I428+J428)/2)</f>
        <v/>
      </c>
      <c r="N428" s="49">
        <f>IF(OR(I428="",J428=""),"",J428-I428)</f>
        <v/>
      </c>
      <c r="O428" s="48">
        <f>TEXT(L428,"mmm-yyyy")</f>
        <v/>
      </c>
      <c r="P428" s="48">
        <f>_xlfn.IFS(ISNUMBER(SEARCH("data analy",B428)),"Data Analyst",ISNUMBER(SEARCH("business analy",B428)),"Business Analyst",OR(ISNUMBER(SEARCH("developer",B428)),ISNUMBER(SEARCH("software engineer",B428)),ISNUMBER(SEARCH("programmer",B428))),"Software Developer",ISNUMBER(SEARCH("business development",B428)),"Business Development",ISNUMBER(SEARCH("sales",B428)),"Sales Executive",ISNUMBER(SEARCH("marketing",B428)),"Marketing Executive",OR(ISNUMBER(SEARCH("hr ",B428)),ISNUMBER(SEARCH("recruit",B428)),ISNUMBER(SEARCH("human resource",B428))),"HR / Recruiter",OR(ISNUMBER(SEARCH("account",B428)),ISNUMBER(SEARCH("finance",B428)),ISNUMBER(SEARCH("tax",B428)),ISNUMBER(SEARCH("audit",B428))),"Accountant / Finance",OR(ISNUMBER(SEARCH("customer service",B428)),ISNUMBER(SEARCH("customer support",B428)),ISNUMBER(SEARCH("customer care",B428)),ISNUMBER(SEARCH("voice process",B428)),ISNUMBER(SEARCH("bpo",B428))),"Customer Support",ISNUMBER(SEARCH("engineer",B428)),"Engineer (Technical)",ISNUMBER(SEARCH("manager",B428)),"Manager",OR(ISNUMBER(SEARCH("teacher",B428)),ISNUMBER(SEARCH("trainer",B428)),ISNUMBER(SEARCH("faculty",B428))),"Teacher / Trainer",OR(ISNUMBER(SEARCH("doctor",B428)),ISNUMBER(SEARCH("nurse",B428)),ISNUMBER(SEARCH("medical",B428)),ISNUMBER(SEARCH("pharma",B428)),ISNUMBER(SEARCH("clinical",B428))),"Healthcare",TRUE,"Other")</f>
        <v/>
      </c>
      <c r="Q428" s="48">
        <f>IF(COUNTIFS($B$11:B428,B428,$C$11:C428,C428,$D$11:D428,D428,$L$11:L428,L428)&gt;1,"Duplicate","Unique")</f>
        <v/>
      </c>
    </row>
    <row r="429">
      <c r="A429" s="48">
        <f>Raw_Data!A420</f>
        <v/>
      </c>
      <c r="B429" s="48">
        <f>PROPER(TRIM(Raw_Data!B420))</f>
        <v/>
      </c>
      <c r="C429" s="48">
        <f>TRIM(Raw_Data!C420)</f>
        <v/>
      </c>
      <c r="D429" s="48">
        <f>IF(PROPER(TRIM(Raw_Data!D420))="Bangalore","Bengaluru",IF(PROPER(TRIM(Raw_Data!D420))="Gurgaon","Gurugram",IF(OR(PROPER(TRIM(Raw_Data!D420))="New Delhi",PROPER(TRIM(Raw_Data!D420))="Delhi"),"Delhi",PROPER(TRIM(Raw_Data!D420)))))</f>
        <v/>
      </c>
      <c r="E429" s="48">
        <f>Raw_Data!E420</f>
        <v/>
      </c>
      <c r="F429" s="48">
        <f>IF(TRIM(Raw_Data!F420&amp;"")="","Not Specified",Raw_Data!F420)</f>
        <v/>
      </c>
      <c r="G429" s="48">
        <f>Raw_Data!G420</f>
        <v/>
      </c>
      <c r="H429" s="48">
        <f>Raw_Data!H420</f>
        <v/>
      </c>
      <c r="I429" s="49">
        <f>IF(Raw_Data!I420="","",Raw_Data!I420)</f>
        <v/>
      </c>
      <c r="J429" s="49">
        <f>IF(Raw_Data!J420="","",Raw_Data!J420)</f>
        <v/>
      </c>
      <c r="K429" s="48">
        <f>IF(TRIM(Raw_Data!K420&amp;"")="","Not Specified",Raw_Data!K420)</f>
        <v/>
      </c>
      <c r="L429" s="56">
        <f>Raw_Data!L420</f>
        <v/>
      </c>
      <c r="M429" s="49">
        <f>IF(OR(I429="",J429=""),"",(I429+J429)/2)</f>
        <v/>
      </c>
      <c r="N429" s="49">
        <f>IF(OR(I429="",J429=""),"",J429-I429)</f>
        <v/>
      </c>
      <c r="O429" s="48">
        <f>TEXT(L429,"mmm-yyyy")</f>
        <v/>
      </c>
      <c r="P429" s="48">
        <f>_xlfn.IFS(ISNUMBER(SEARCH("data analy",B429)),"Data Analyst",ISNUMBER(SEARCH("business analy",B429)),"Business Analyst",OR(ISNUMBER(SEARCH("developer",B429)),ISNUMBER(SEARCH("software engineer",B429)),ISNUMBER(SEARCH("programmer",B429))),"Software Developer",ISNUMBER(SEARCH("business development",B429)),"Business Development",ISNUMBER(SEARCH("sales",B429)),"Sales Executive",ISNUMBER(SEARCH("marketing",B429)),"Marketing Executive",OR(ISNUMBER(SEARCH("hr ",B429)),ISNUMBER(SEARCH("recruit",B429)),ISNUMBER(SEARCH("human resource",B429))),"HR / Recruiter",OR(ISNUMBER(SEARCH("account",B429)),ISNUMBER(SEARCH("finance",B429)),ISNUMBER(SEARCH("tax",B429)),ISNUMBER(SEARCH("audit",B429))),"Accountant / Finance",OR(ISNUMBER(SEARCH("customer service",B429)),ISNUMBER(SEARCH("customer support",B429)),ISNUMBER(SEARCH("customer care",B429)),ISNUMBER(SEARCH("voice process",B429)),ISNUMBER(SEARCH("bpo",B429))),"Customer Support",ISNUMBER(SEARCH("engineer",B429)),"Engineer (Technical)",ISNUMBER(SEARCH("manager",B429)),"Manager",OR(ISNUMBER(SEARCH("teacher",B429)),ISNUMBER(SEARCH("trainer",B429)),ISNUMBER(SEARCH("faculty",B429))),"Teacher / Trainer",OR(ISNUMBER(SEARCH("doctor",B429)),ISNUMBER(SEARCH("nurse",B429)),ISNUMBER(SEARCH("medical",B429)),ISNUMBER(SEARCH("pharma",B429)),ISNUMBER(SEARCH("clinical",B429))),"Healthcare",TRUE,"Other")</f>
        <v/>
      </c>
      <c r="Q429" s="48">
        <f>IF(COUNTIFS($B$11:B429,B429,$C$11:C429,C429,$D$11:D429,D429,$L$11:L429,L429)&gt;1,"Duplicate","Unique")</f>
        <v/>
      </c>
    </row>
    <row r="430">
      <c r="A430" s="48">
        <f>Raw_Data!A421</f>
        <v/>
      </c>
      <c r="B430" s="48">
        <f>PROPER(TRIM(Raw_Data!B421))</f>
        <v/>
      </c>
      <c r="C430" s="48">
        <f>TRIM(Raw_Data!C421)</f>
        <v/>
      </c>
      <c r="D430" s="48">
        <f>IF(PROPER(TRIM(Raw_Data!D421))="Bangalore","Bengaluru",IF(PROPER(TRIM(Raw_Data!D421))="Gurgaon","Gurugram",IF(OR(PROPER(TRIM(Raw_Data!D421))="New Delhi",PROPER(TRIM(Raw_Data!D421))="Delhi"),"Delhi",PROPER(TRIM(Raw_Data!D421)))))</f>
        <v/>
      </c>
      <c r="E430" s="48">
        <f>Raw_Data!E421</f>
        <v/>
      </c>
      <c r="F430" s="48">
        <f>IF(TRIM(Raw_Data!F421&amp;"")="","Not Specified",Raw_Data!F421)</f>
        <v/>
      </c>
      <c r="G430" s="48">
        <f>Raw_Data!G421</f>
        <v/>
      </c>
      <c r="H430" s="48">
        <f>Raw_Data!H421</f>
        <v/>
      </c>
      <c r="I430" s="49">
        <f>IF(Raw_Data!I421="","",Raw_Data!I421)</f>
        <v/>
      </c>
      <c r="J430" s="49">
        <f>IF(Raw_Data!J421="","",Raw_Data!J421)</f>
        <v/>
      </c>
      <c r="K430" s="48">
        <f>IF(TRIM(Raw_Data!K421&amp;"")="","Not Specified",Raw_Data!K421)</f>
        <v/>
      </c>
      <c r="L430" s="56">
        <f>Raw_Data!L421</f>
        <v/>
      </c>
      <c r="M430" s="49">
        <f>IF(OR(I430="",J430=""),"",(I430+J430)/2)</f>
        <v/>
      </c>
      <c r="N430" s="49">
        <f>IF(OR(I430="",J430=""),"",J430-I430)</f>
        <v/>
      </c>
      <c r="O430" s="48">
        <f>TEXT(L430,"mmm-yyyy")</f>
        <v/>
      </c>
      <c r="P430" s="48">
        <f>_xlfn.IFS(ISNUMBER(SEARCH("data analy",B430)),"Data Analyst",ISNUMBER(SEARCH("business analy",B430)),"Business Analyst",OR(ISNUMBER(SEARCH("developer",B430)),ISNUMBER(SEARCH("software engineer",B430)),ISNUMBER(SEARCH("programmer",B430))),"Software Developer",ISNUMBER(SEARCH("business development",B430)),"Business Development",ISNUMBER(SEARCH("sales",B430)),"Sales Executive",ISNUMBER(SEARCH("marketing",B430)),"Marketing Executive",OR(ISNUMBER(SEARCH("hr ",B430)),ISNUMBER(SEARCH("recruit",B430)),ISNUMBER(SEARCH("human resource",B430))),"HR / Recruiter",OR(ISNUMBER(SEARCH("account",B430)),ISNUMBER(SEARCH("finance",B430)),ISNUMBER(SEARCH("tax",B430)),ISNUMBER(SEARCH("audit",B430))),"Accountant / Finance",OR(ISNUMBER(SEARCH("customer service",B430)),ISNUMBER(SEARCH("customer support",B430)),ISNUMBER(SEARCH("customer care",B430)),ISNUMBER(SEARCH("voice process",B430)),ISNUMBER(SEARCH("bpo",B430))),"Customer Support",ISNUMBER(SEARCH("engineer",B430)),"Engineer (Technical)",ISNUMBER(SEARCH("manager",B430)),"Manager",OR(ISNUMBER(SEARCH("teacher",B430)),ISNUMBER(SEARCH("trainer",B430)),ISNUMBER(SEARCH("faculty",B430))),"Teacher / Trainer",OR(ISNUMBER(SEARCH("doctor",B430)),ISNUMBER(SEARCH("nurse",B430)),ISNUMBER(SEARCH("medical",B430)),ISNUMBER(SEARCH("pharma",B430)),ISNUMBER(SEARCH("clinical",B430))),"Healthcare",TRUE,"Other")</f>
        <v/>
      </c>
      <c r="Q430" s="48">
        <f>IF(COUNTIFS($B$11:B430,B430,$C$11:C430,C430,$D$11:D430,D430,$L$11:L430,L430)&gt;1,"Duplicate","Unique")</f>
        <v/>
      </c>
    </row>
    <row r="431">
      <c r="A431" s="48">
        <f>Raw_Data!A422</f>
        <v/>
      </c>
      <c r="B431" s="48">
        <f>PROPER(TRIM(Raw_Data!B422))</f>
        <v/>
      </c>
      <c r="C431" s="48">
        <f>TRIM(Raw_Data!C422)</f>
        <v/>
      </c>
      <c r="D431" s="48">
        <f>IF(PROPER(TRIM(Raw_Data!D422))="Bangalore","Bengaluru",IF(PROPER(TRIM(Raw_Data!D422))="Gurgaon","Gurugram",IF(OR(PROPER(TRIM(Raw_Data!D422))="New Delhi",PROPER(TRIM(Raw_Data!D422))="Delhi"),"Delhi",PROPER(TRIM(Raw_Data!D422)))))</f>
        <v/>
      </c>
      <c r="E431" s="48">
        <f>Raw_Data!E422</f>
        <v/>
      </c>
      <c r="F431" s="48">
        <f>IF(TRIM(Raw_Data!F422&amp;"")="","Not Specified",Raw_Data!F422)</f>
        <v/>
      </c>
      <c r="G431" s="48">
        <f>Raw_Data!G422</f>
        <v/>
      </c>
      <c r="H431" s="48">
        <f>Raw_Data!H422</f>
        <v/>
      </c>
      <c r="I431" s="49">
        <f>IF(Raw_Data!I422="","",Raw_Data!I422)</f>
        <v/>
      </c>
      <c r="J431" s="49">
        <f>IF(Raw_Data!J422="","",Raw_Data!J422)</f>
        <v/>
      </c>
      <c r="K431" s="48">
        <f>IF(TRIM(Raw_Data!K422&amp;"")="","Not Specified",Raw_Data!K422)</f>
        <v/>
      </c>
      <c r="L431" s="56">
        <f>Raw_Data!L422</f>
        <v/>
      </c>
      <c r="M431" s="49">
        <f>IF(OR(I431="",J431=""),"",(I431+J431)/2)</f>
        <v/>
      </c>
      <c r="N431" s="49">
        <f>IF(OR(I431="",J431=""),"",J431-I431)</f>
        <v/>
      </c>
      <c r="O431" s="48">
        <f>TEXT(L431,"mmm-yyyy")</f>
        <v/>
      </c>
      <c r="P431" s="48">
        <f>_xlfn.IFS(ISNUMBER(SEARCH("data analy",B431)),"Data Analyst",ISNUMBER(SEARCH("business analy",B431)),"Business Analyst",OR(ISNUMBER(SEARCH("developer",B431)),ISNUMBER(SEARCH("software engineer",B431)),ISNUMBER(SEARCH("programmer",B431))),"Software Developer",ISNUMBER(SEARCH("business development",B431)),"Business Development",ISNUMBER(SEARCH("sales",B431)),"Sales Executive",ISNUMBER(SEARCH("marketing",B431)),"Marketing Executive",OR(ISNUMBER(SEARCH("hr ",B431)),ISNUMBER(SEARCH("recruit",B431)),ISNUMBER(SEARCH("human resource",B431))),"HR / Recruiter",OR(ISNUMBER(SEARCH("account",B431)),ISNUMBER(SEARCH("finance",B431)),ISNUMBER(SEARCH("tax",B431)),ISNUMBER(SEARCH("audit",B431))),"Accountant / Finance",OR(ISNUMBER(SEARCH("customer service",B431)),ISNUMBER(SEARCH("customer support",B431)),ISNUMBER(SEARCH("customer care",B431)),ISNUMBER(SEARCH("voice process",B431)),ISNUMBER(SEARCH("bpo",B431))),"Customer Support",ISNUMBER(SEARCH("engineer",B431)),"Engineer (Technical)",ISNUMBER(SEARCH("manager",B431)),"Manager",OR(ISNUMBER(SEARCH("teacher",B431)),ISNUMBER(SEARCH("trainer",B431)),ISNUMBER(SEARCH("faculty",B431))),"Teacher / Trainer",OR(ISNUMBER(SEARCH("doctor",B431)),ISNUMBER(SEARCH("nurse",B431)),ISNUMBER(SEARCH("medical",B431)),ISNUMBER(SEARCH("pharma",B431)),ISNUMBER(SEARCH("clinical",B431))),"Healthcare",TRUE,"Other")</f>
        <v/>
      </c>
      <c r="Q431" s="48">
        <f>IF(COUNTIFS($B$11:B431,B431,$C$11:C431,C431,$D$11:D431,D431,$L$11:L431,L431)&gt;1,"Duplicate","Unique")</f>
        <v/>
      </c>
    </row>
    <row r="432">
      <c r="A432" s="48">
        <f>Raw_Data!A423</f>
        <v/>
      </c>
      <c r="B432" s="48">
        <f>PROPER(TRIM(Raw_Data!B423))</f>
        <v/>
      </c>
      <c r="C432" s="48">
        <f>TRIM(Raw_Data!C423)</f>
        <v/>
      </c>
      <c r="D432" s="48">
        <f>IF(PROPER(TRIM(Raw_Data!D423))="Bangalore","Bengaluru",IF(PROPER(TRIM(Raw_Data!D423))="Gurgaon","Gurugram",IF(OR(PROPER(TRIM(Raw_Data!D423))="New Delhi",PROPER(TRIM(Raw_Data!D423))="Delhi"),"Delhi",PROPER(TRIM(Raw_Data!D423)))))</f>
        <v/>
      </c>
      <c r="E432" s="48">
        <f>Raw_Data!E423</f>
        <v/>
      </c>
      <c r="F432" s="48">
        <f>IF(TRIM(Raw_Data!F423&amp;"")="","Not Specified",Raw_Data!F423)</f>
        <v/>
      </c>
      <c r="G432" s="48">
        <f>Raw_Data!G423</f>
        <v/>
      </c>
      <c r="H432" s="48">
        <f>Raw_Data!H423</f>
        <v/>
      </c>
      <c r="I432" s="49">
        <f>IF(Raw_Data!I423="","",Raw_Data!I423)</f>
        <v/>
      </c>
      <c r="J432" s="49">
        <f>IF(Raw_Data!J423="","",Raw_Data!J423)</f>
        <v/>
      </c>
      <c r="K432" s="48">
        <f>IF(TRIM(Raw_Data!K423&amp;"")="","Not Specified",Raw_Data!K423)</f>
        <v/>
      </c>
      <c r="L432" s="56">
        <f>Raw_Data!L423</f>
        <v/>
      </c>
      <c r="M432" s="49">
        <f>IF(OR(I432="",J432=""),"",(I432+J432)/2)</f>
        <v/>
      </c>
      <c r="N432" s="49">
        <f>IF(OR(I432="",J432=""),"",J432-I432)</f>
        <v/>
      </c>
      <c r="O432" s="48">
        <f>TEXT(L432,"mmm-yyyy")</f>
        <v/>
      </c>
      <c r="P432" s="48">
        <f>_xlfn.IFS(ISNUMBER(SEARCH("data analy",B432)),"Data Analyst",ISNUMBER(SEARCH("business analy",B432)),"Business Analyst",OR(ISNUMBER(SEARCH("developer",B432)),ISNUMBER(SEARCH("software engineer",B432)),ISNUMBER(SEARCH("programmer",B432))),"Software Developer",ISNUMBER(SEARCH("business development",B432)),"Business Development",ISNUMBER(SEARCH("sales",B432)),"Sales Executive",ISNUMBER(SEARCH("marketing",B432)),"Marketing Executive",OR(ISNUMBER(SEARCH("hr ",B432)),ISNUMBER(SEARCH("recruit",B432)),ISNUMBER(SEARCH("human resource",B432))),"HR / Recruiter",OR(ISNUMBER(SEARCH("account",B432)),ISNUMBER(SEARCH("finance",B432)),ISNUMBER(SEARCH("tax",B432)),ISNUMBER(SEARCH("audit",B432))),"Accountant / Finance",OR(ISNUMBER(SEARCH("customer service",B432)),ISNUMBER(SEARCH("customer support",B432)),ISNUMBER(SEARCH("customer care",B432)),ISNUMBER(SEARCH("voice process",B432)),ISNUMBER(SEARCH("bpo",B432))),"Customer Support",ISNUMBER(SEARCH("engineer",B432)),"Engineer (Technical)",ISNUMBER(SEARCH("manager",B432)),"Manager",OR(ISNUMBER(SEARCH("teacher",B432)),ISNUMBER(SEARCH("trainer",B432)),ISNUMBER(SEARCH("faculty",B432))),"Teacher / Trainer",OR(ISNUMBER(SEARCH("doctor",B432)),ISNUMBER(SEARCH("nurse",B432)),ISNUMBER(SEARCH("medical",B432)),ISNUMBER(SEARCH("pharma",B432)),ISNUMBER(SEARCH("clinical",B432))),"Healthcare",TRUE,"Other")</f>
        <v/>
      </c>
      <c r="Q432" s="48">
        <f>IF(COUNTIFS($B$11:B432,B432,$C$11:C432,C432,$D$11:D432,D432,$L$11:L432,L432)&gt;1,"Duplicate","Unique")</f>
        <v/>
      </c>
    </row>
    <row r="433">
      <c r="A433" s="48">
        <f>Raw_Data!A424</f>
        <v/>
      </c>
      <c r="B433" s="48">
        <f>PROPER(TRIM(Raw_Data!B424))</f>
        <v/>
      </c>
      <c r="C433" s="48">
        <f>TRIM(Raw_Data!C424)</f>
        <v/>
      </c>
      <c r="D433" s="48">
        <f>IF(PROPER(TRIM(Raw_Data!D424))="Bangalore","Bengaluru",IF(PROPER(TRIM(Raw_Data!D424))="Gurgaon","Gurugram",IF(OR(PROPER(TRIM(Raw_Data!D424))="New Delhi",PROPER(TRIM(Raw_Data!D424))="Delhi"),"Delhi",PROPER(TRIM(Raw_Data!D424)))))</f>
        <v/>
      </c>
      <c r="E433" s="48">
        <f>Raw_Data!E424</f>
        <v/>
      </c>
      <c r="F433" s="48">
        <f>IF(TRIM(Raw_Data!F424&amp;"")="","Not Specified",Raw_Data!F424)</f>
        <v/>
      </c>
      <c r="G433" s="48">
        <f>Raw_Data!G424</f>
        <v/>
      </c>
      <c r="H433" s="48">
        <f>Raw_Data!H424</f>
        <v/>
      </c>
      <c r="I433" s="49">
        <f>IF(Raw_Data!I424="","",Raw_Data!I424)</f>
        <v/>
      </c>
      <c r="J433" s="49">
        <f>IF(Raw_Data!J424="","",Raw_Data!J424)</f>
        <v/>
      </c>
      <c r="K433" s="48">
        <f>IF(TRIM(Raw_Data!K424&amp;"")="","Not Specified",Raw_Data!K424)</f>
        <v/>
      </c>
      <c r="L433" s="56">
        <f>Raw_Data!L424</f>
        <v/>
      </c>
      <c r="M433" s="49">
        <f>IF(OR(I433="",J433=""),"",(I433+J433)/2)</f>
        <v/>
      </c>
      <c r="N433" s="49">
        <f>IF(OR(I433="",J433=""),"",J433-I433)</f>
        <v/>
      </c>
      <c r="O433" s="48">
        <f>TEXT(L433,"mmm-yyyy")</f>
        <v/>
      </c>
      <c r="P433" s="48">
        <f>_xlfn.IFS(ISNUMBER(SEARCH("data analy",B433)),"Data Analyst",ISNUMBER(SEARCH("business analy",B433)),"Business Analyst",OR(ISNUMBER(SEARCH("developer",B433)),ISNUMBER(SEARCH("software engineer",B433)),ISNUMBER(SEARCH("programmer",B433))),"Software Developer",ISNUMBER(SEARCH("business development",B433)),"Business Development",ISNUMBER(SEARCH("sales",B433)),"Sales Executive",ISNUMBER(SEARCH("marketing",B433)),"Marketing Executive",OR(ISNUMBER(SEARCH("hr ",B433)),ISNUMBER(SEARCH("recruit",B433)),ISNUMBER(SEARCH("human resource",B433))),"HR / Recruiter",OR(ISNUMBER(SEARCH("account",B433)),ISNUMBER(SEARCH("finance",B433)),ISNUMBER(SEARCH("tax",B433)),ISNUMBER(SEARCH("audit",B433))),"Accountant / Finance",OR(ISNUMBER(SEARCH("customer service",B433)),ISNUMBER(SEARCH("customer support",B433)),ISNUMBER(SEARCH("customer care",B433)),ISNUMBER(SEARCH("voice process",B433)),ISNUMBER(SEARCH("bpo",B433))),"Customer Support",ISNUMBER(SEARCH("engineer",B433)),"Engineer (Technical)",ISNUMBER(SEARCH("manager",B433)),"Manager",OR(ISNUMBER(SEARCH("teacher",B433)),ISNUMBER(SEARCH("trainer",B433)),ISNUMBER(SEARCH("faculty",B433))),"Teacher / Trainer",OR(ISNUMBER(SEARCH("doctor",B433)),ISNUMBER(SEARCH("nurse",B433)),ISNUMBER(SEARCH("medical",B433)),ISNUMBER(SEARCH("pharma",B433)),ISNUMBER(SEARCH("clinical",B433))),"Healthcare",TRUE,"Other")</f>
        <v/>
      </c>
      <c r="Q433" s="48">
        <f>IF(COUNTIFS($B$11:B433,B433,$C$11:C433,C433,$D$11:D433,D433,$L$11:L433,L433)&gt;1,"Duplicate","Unique")</f>
        <v/>
      </c>
    </row>
    <row r="434">
      <c r="A434" s="48">
        <f>Raw_Data!A425</f>
        <v/>
      </c>
      <c r="B434" s="48">
        <f>PROPER(TRIM(Raw_Data!B425))</f>
        <v/>
      </c>
      <c r="C434" s="48">
        <f>TRIM(Raw_Data!C425)</f>
        <v/>
      </c>
      <c r="D434" s="48">
        <f>IF(PROPER(TRIM(Raw_Data!D425))="Bangalore","Bengaluru",IF(PROPER(TRIM(Raw_Data!D425))="Gurgaon","Gurugram",IF(OR(PROPER(TRIM(Raw_Data!D425))="New Delhi",PROPER(TRIM(Raw_Data!D425))="Delhi"),"Delhi",PROPER(TRIM(Raw_Data!D425)))))</f>
        <v/>
      </c>
      <c r="E434" s="48">
        <f>Raw_Data!E425</f>
        <v/>
      </c>
      <c r="F434" s="48">
        <f>IF(TRIM(Raw_Data!F425&amp;"")="","Not Specified",Raw_Data!F425)</f>
        <v/>
      </c>
      <c r="G434" s="48">
        <f>Raw_Data!G425</f>
        <v/>
      </c>
      <c r="H434" s="48">
        <f>Raw_Data!H425</f>
        <v/>
      </c>
      <c r="I434" s="49">
        <f>IF(Raw_Data!I425="","",Raw_Data!I425)</f>
        <v/>
      </c>
      <c r="J434" s="49">
        <f>IF(Raw_Data!J425="","",Raw_Data!J425)</f>
        <v/>
      </c>
      <c r="K434" s="48">
        <f>IF(TRIM(Raw_Data!K425&amp;"")="","Not Specified",Raw_Data!K425)</f>
        <v/>
      </c>
      <c r="L434" s="56">
        <f>Raw_Data!L425</f>
        <v/>
      </c>
      <c r="M434" s="49">
        <f>IF(OR(I434="",J434=""),"",(I434+J434)/2)</f>
        <v/>
      </c>
      <c r="N434" s="49">
        <f>IF(OR(I434="",J434=""),"",J434-I434)</f>
        <v/>
      </c>
      <c r="O434" s="48">
        <f>TEXT(L434,"mmm-yyyy")</f>
        <v/>
      </c>
      <c r="P434" s="48">
        <f>_xlfn.IFS(ISNUMBER(SEARCH("data analy",B434)),"Data Analyst",ISNUMBER(SEARCH("business analy",B434)),"Business Analyst",OR(ISNUMBER(SEARCH("developer",B434)),ISNUMBER(SEARCH("software engineer",B434)),ISNUMBER(SEARCH("programmer",B434))),"Software Developer",ISNUMBER(SEARCH("business development",B434)),"Business Development",ISNUMBER(SEARCH("sales",B434)),"Sales Executive",ISNUMBER(SEARCH("marketing",B434)),"Marketing Executive",OR(ISNUMBER(SEARCH("hr ",B434)),ISNUMBER(SEARCH("recruit",B434)),ISNUMBER(SEARCH("human resource",B434))),"HR / Recruiter",OR(ISNUMBER(SEARCH("account",B434)),ISNUMBER(SEARCH("finance",B434)),ISNUMBER(SEARCH("tax",B434)),ISNUMBER(SEARCH("audit",B434))),"Accountant / Finance",OR(ISNUMBER(SEARCH("customer service",B434)),ISNUMBER(SEARCH("customer support",B434)),ISNUMBER(SEARCH("customer care",B434)),ISNUMBER(SEARCH("voice process",B434)),ISNUMBER(SEARCH("bpo",B434))),"Customer Support",ISNUMBER(SEARCH("engineer",B434)),"Engineer (Technical)",ISNUMBER(SEARCH("manager",B434)),"Manager",OR(ISNUMBER(SEARCH("teacher",B434)),ISNUMBER(SEARCH("trainer",B434)),ISNUMBER(SEARCH("faculty",B434))),"Teacher / Trainer",OR(ISNUMBER(SEARCH("doctor",B434)),ISNUMBER(SEARCH("nurse",B434)),ISNUMBER(SEARCH("medical",B434)),ISNUMBER(SEARCH("pharma",B434)),ISNUMBER(SEARCH("clinical",B434))),"Healthcare",TRUE,"Other")</f>
        <v/>
      </c>
      <c r="Q434" s="48">
        <f>IF(COUNTIFS($B$11:B434,B434,$C$11:C434,C434,$D$11:D434,D434,$L$11:L434,L434)&gt;1,"Duplicate","Unique")</f>
        <v/>
      </c>
    </row>
    <row r="435">
      <c r="A435" s="48">
        <f>Raw_Data!A426</f>
        <v/>
      </c>
      <c r="B435" s="48">
        <f>PROPER(TRIM(Raw_Data!B426))</f>
        <v/>
      </c>
      <c r="C435" s="48">
        <f>TRIM(Raw_Data!C426)</f>
        <v/>
      </c>
      <c r="D435" s="48">
        <f>IF(PROPER(TRIM(Raw_Data!D426))="Bangalore","Bengaluru",IF(PROPER(TRIM(Raw_Data!D426))="Gurgaon","Gurugram",IF(OR(PROPER(TRIM(Raw_Data!D426))="New Delhi",PROPER(TRIM(Raw_Data!D426))="Delhi"),"Delhi",PROPER(TRIM(Raw_Data!D426)))))</f>
        <v/>
      </c>
      <c r="E435" s="48">
        <f>Raw_Data!E426</f>
        <v/>
      </c>
      <c r="F435" s="48">
        <f>IF(TRIM(Raw_Data!F426&amp;"")="","Not Specified",Raw_Data!F426)</f>
        <v/>
      </c>
      <c r="G435" s="48">
        <f>Raw_Data!G426</f>
        <v/>
      </c>
      <c r="H435" s="48">
        <f>Raw_Data!H426</f>
        <v/>
      </c>
      <c r="I435" s="49">
        <f>IF(Raw_Data!I426="","",Raw_Data!I426)</f>
        <v/>
      </c>
      <c r="J435" s="49">
        <f>IF(Raw_Data!J426="","",Raw_Data!J426)</f>
        <v/>
      </c>
      <c r="K435" s="48">
        <f>IF(TRIM(Raw_Data!K426&amp;"")="","Not Specified",Raw_Data!K426)</f>
        <v/>
      </c>
      <c r="L435" s="56">
        <f>Raw_Data!L426</f>
        <v/>
      </c>
      <c r="M435" s="49">
        <f>IF(OR(I435="",J435=""),"",(I435+J435)/2)</f>
        <v/>
      </c>
      <c r="N435" s="49">
        <f>IF(OR(I435="",J435=""),"",J435-I435)</f>
        <v/>
      </c>
      <c r="O435" s="48">
        <f>TEXT(L435,"mmm-yyyy")</f>
        <v/>
      </c>
      <c r="P435" s="48">
        <f>_xlfn.IFS(ISNUMBER(SEARCH("data analy",B435)),"Data Analyst",ISNUMBER(SEARCH("business analy",B435)),"Business Analyst",OR(ISNUMBER(SEARCH("developer",B435)),ISNUMBER(SEARCH("software engineer",B435)),ISNUMBER(SEARCH("programmer",B435))),"Software Developer",ISNUMBER(SEARCH("business development",B435)),"Business Development",ISNUMBER(SEARCH("sales",B435)),"Sales Executive",ISNUMBER(SEARCH("marketing",B435)),"Marketing Executive",OR(ISNUMBER(SEARCH("hr ",B435)),ISNUMBER(SEARCH("recruit",B435)),ISNUMBER(SEARCH("human resource",B435))),"HR / Recruiter",OR(ISNUMBER(SEARCH("account",B435)),ISNUMBER(SEARCH("finance",B435)),ISNUMBER(SEARCH("tax",B435)),ISNUMBER(SEARCH("audit",B435))),"Accountant / Finance",OR(ISNUMBER(SEARCH("customer service",B435)),ISNUMBER(SEARCH("customer support",B435)),ISNUMBER(SEARCH("customer care",B435)),ISNUMBER(SEARCH("voice process",B435)),ISNUMBER(SEARCH("bpo",B435))),"Customer Support",ISNUMBER(SEARCH("engineer",B435)),"Engineer (Technical)",ISNUMBER(SEARCH("manager",B435)),"Manager",OR(ISNUMBER(SEARCH("teacher",B435)),ISNUMBER(SEARCH("trainer",B435)),ISNUMBER(SEARCH("faculty",B435))),"Teacher / Trainer",OR(ISNUMBER(SEARCH("doctor",B435)),ISNUMBER(SEARCH("nurse",B435)),ISNUMBER(SEARCH("medical",B435)),ISNUMBER(SEARCH("pharma",B435)),ISNUMBER(SEARCH("clinical",B435))),"Healthcare",TRUE,"Other")</f>
        <v/>
      </c>
      <c r="Q435" s="48">
        <f>IF(COUNTIFS($B$11:B435,B435,$C$11:C435,C435,$D$11:D435,D435,$L$11:L435,L435)&gt;1,"Duplicate","Unique")</f>
        <v/>
      </c>
    </row>
    <row r="436">
      <c r="A436" s="48">
        <f>Raw_Data!A427</f>
        <v/>
      </c>
      <c r="B436" s="48">
        <f>PROPER(TRIM(Raw_Data!B427))</f>
        <v/>
      </c>
      <c r="C436" s="48">
        <f>TRIM(Raw_Data!C427)</f>
        <v/>
      </c>
      <c r="D436" s="48">
        <f>IF(PROPER(TRIM(Raw_Data!D427))="Bangalore","Bengaluru",IF(PROPER(TRIM(Raw_Data!D427))="Gurgaon","Gurugram",IF(OR(PROPER(TRIM(Raw_Data!D427))="New Delhi",PROPER(TRIM(Raw_Data!D427))="Delhi"),"Delhi",PROPER(TRIM(Raw_Data!D427)))))</f>
        <v/>
      </c>
      <c r="E436" s="48">
        <f>Raw_Data!E427</f>
        <v/>
      </c>
      <c r="F436" s="48">
        <f>IF(TRIM(Raw_Data!F427&amp;"")="","Not Specified",Raw_Data!F427)</f>
        <v/>
      </c>
      <c r="G436" s="48">
        <f>Raw_Data!G427</f>
        <v/>
      </c>
      <c r="H436" s="48">
        <f>Raw_Data!H427</f>
        <v/>
      </c>
      <c r="I436" s="49">
        <f>IF(Raw_Data!I427="","",Raw_Data!I427)</f>
        <v/>
      </c>
      <c r="J436" s="49">
        <f>IF(Raw_Data!J427="","",Raw_Data!J427)</f>
        <v/>
      </c>
      <c r="K436" s="48">
        <f>IF(TRIM(Raw_Data!K427&amp;"")="","Not Specified",Raw_Data!K427)</f>
        <v/>
      </c>
      <c r="L436" s="56">
        <f>Raw_Data!L427</f>
        <v/>
      </c>
      <c r="M436" s="49">
        <f>IF(OR(I436="",J436=""),"",(I436+J436)/2)</f>
        <v/>
      </c>
      <c r="N436" s="49">
        <f>IF(OR(I436="",J436=""),"",J436-I436)</f>
        <v/>
      </c>
      <c r="O436" s="48">
        <f>TEXT(L436,"mmm-yyyy")</f>
        <v/>
      </c>
      <c r="P436" s="48">
        <f>_xlfn.IFS(ISNUMBER(SEARCH("data analy",B436)),"Data Analyst",ISNUMBER(SEARCH("business analy",B436)),"Business Analyst",OR(ISNUMBER(SEARCH("developer",B436)),ISNUMBER(SEARCH("software engineer",B436)),ISNUMBER(SEARCH("programmer",B436))),"Software Developer",ISNUMBER(SEARCH("business development",B436)),"Business Development",ISNUMBER(SEARCH("sales",B436)),"Sales Executive",ISNUMBER(SEARCH("marketing",B436)),"Marketing Executive",OR(ISNUMBER(SEARCH("hr ",B436)),ISNUMBER(SEARCH("recruit",B436)),ISNUMBER(SEARCH("human resource",B436))),"HR / Recruiter",OR(ISNUMBER(SEARCH("account",B436)),ISNUMBER(SEARCH("finance",B436)),ISNUMBER(SEARCH("tax",B436)),ISNUMBER(SEARCH("audit",B436))),"Accountant / Finance",OR(ISNUMBER(SEARCH("customer service",B436)),ISNUMBER(SEARCH("customer support",B436)),ISNUMBER(SEARCH("customer care",B436)),ISNUMBER(SEARCH("voice process",B436)),ISNUMBER(SEARCH("bpo",B436))),"Customer Support",ISNUMBER(SEARCH("engineer",B436)),"Engineer (Technical)",ISNUMBER(SEARCH("manager",B436)),"Manager",OR(ISNUMBER(SEARCH("teacher",B436)),ISNUMBER(SEARCH("trainer",B436)),ISNUMBER(SEARCH("faculty",B436))),"Teacher / Trainer",OR(ISNUMBER(SEARCH("doctor",B436)),ISNUMBER(SEARCH("nurse",B436)),ISNUMBER(SEARCH("medical",B436)),ISNUMBER(SEARCH("pharma",B436)),ISNUMBER(SEARCH("clinical",B436))),"Healthcare",TRUE,"Other")</f>
        <v/>
      </c>
      <c r="Q436" s="48">
        <f>IF(COUNTIFS($B$11:B436,B436,$C$11:C436,C436,$D$11:D436,D436,$L$11:L436,L436)&gt;1,"Duplicate","Unique")</f>
        <v/>
      </c>
    </row>
    <row r="437">
      <c r="A437" s="48">
        <f>Raw_Data!A428</f>
        <v/>
      </c>
      <c r="B437" s="48">
        <f>PROPER(TRIM(Raw_Data!B428))</f>
        <v/>
      </c>
      <c r="C437" s="48">
        <f>TRIM(Raw_Data!C428)</f>
        <v/>
      </c>
      <c r="D437" s="48">
        <f>IF(PROPER(TRIM(Raw_Data!D428))="Bangalore","Bengaluru",IF(PROPER(TRIM(Raw_Data!D428))="Gurgaon","Gurugram",IF(OR(PROPER(TRIM(Raw_Data!D428))="New Delhi",PROPER(TRIM(Raw_Data!D428))="Delhi"),"Delhi",PROPER(TRIM(Raw_Data!D428)))))</f>
        <v/>
      </c>
      <c r="E437" s="48">
        <f>Raw_Data!E428</f>
        <v/>
      </c>
      <c r="F437" s="48">
        <f>IF(TRIM(Raw_Data!F428&amp;"")="","Not Specified",Raw_Data!F428)</f>
        <v/>
      </c>
      <c r="G437" s="48">
        <f>Raw_Data!G428</f>
        <v/>
      </c>
      <c r="H437" s="48">
        <f>Raw_Data!H428</f>
        <v/>
      </c>
      <c r="I437" s="49">
        <f>IF(Raw_Data!I428="","",Raw_Data!I428)</f>
        <v/>
      </c>
      <c r="J437" s="49">
        <f>IF(Raw_Data!J428="","",Raw_Data!J428)</f>
        <v/>
      </c>
      <c r="K437" s="48">
        <f>IF(TRIM(Raw_Data!K428&amp;"")="","Not Specified",Raw_Data!K428)</f>
        <v/>
      </c>
      <c r="L437" s="56">
        <f>Raw_Data!L428</f>
        <v/>
      </c>
      <c r="M437" s="49">
        <f>IF(OR(I437="",J437=""),"",(I437+J437)/2)</f>
        <v/>
      </c>
      <c r="N437" s="49">
        <f>IF(OR(I437="",J437=""),"",J437-I437)</f>
        <v/>
      </c>
      <c r="O437" s="48">
        <f>TEXT(L437,"mmm-yyyy")</f>
        <v/>
      </c>
      <c r="P437" s="48">
        <f>_xlfn.IFS(ISNUMBER(SEARCH("data analy",B437)),"Data Analyst",ISNUMBER(SEARCH("business analy",B437)),"Business Analyst",OR(ISNUMBER(SEARCH("developer",B437)),ISNUMBER(SEARCH("software engineer",B437)),ISNUMBER(SEARCH("programmer",B437))),"Software Developer",ISNUMBER(SEARCH("business development",B437)),"Business Development",ISNUMBER(SEARCH("sales",B437)),"Sales Executive",ISNUMBER(SEARCH("marketing",B437)),"Marketing Executive",OR(ISNUMBER(SEARCH("hr ",B437)),ISNUMBER(SEARCH("recruit",B437)),ISNUMBER(SEARCH("human resource",B437))),"HR / Recruiter",OR(ISNUMBER(SEARCH("account",B437)),ISNUMBER(SEARCH("finance",B437)),ISNUMBER(SEARCH("tax",B437)),ISNUMBER(SEARCH("audit",B437))),"Accountant / Finance",OR(ISNUMBER(SEARCH("customer service",B437)),ISNUMBER(SEARCH("customer support",B437)),ISNUMBER(SEARCH("customer care",B437)),ISNUMBER(SEARCH("voice process",B437)),ISNUMBER(SEARCH("bpo",B437))),"Customer Support",ISNUMBER(SEARCH("engineer",B437)),"Engineer (Technical)",ISNUMBER(SEARCH("manager",B437)),"Manager",OR(ISNUMBER(SEARCH("teacher",B437)),ISNUMBER(SEARCH("trainer",B437)),ISNUMBER(SEARCH("faculty",B437))),"Teacher / Trainer",OR(ISNUMBER(SEARCH("doctor",B437)),ISNUMBER(SEARCH("nurse",B437)),ISNUMBER(SEARCH("medical",B437)),ISNUMBER(SEARCH("pharma",B437)),ISNUMBER(SEARCH("clinical",B437))),"Healthcare",TRUE,"Other")</f>
        <v/>
      </c>
      <c r="Q437" s="48">
        <f>IF(COUNTIFS($B$11:B437,B437,$C$11:C437,C437,$D$11:D437,D437,$L$11:L437,L437)&gt;1,"Duplicate","Unique")</f>
        <v/>
      </c>
    </row>
    <row r="438">
      <c r="A438" s="48">
        <f>Raw_Data!A429</f>
        <v/>
      </c>
      <c r="B438" s="48">
        <f>PROPER(TRIM(Raw_Data!B429))</f>
        <v/>
      </c>
      <c r="C438" s="48">
        <f>TRIM(Raw_Data!C429)</f>
        <v/>
      </c>
      <c r="D438" s="48">
        <f>IF(PROPER(TRIM(Raw_Data!D429))="Bangalore","Bengaluru",IF(PROPER(TRIM(Raw_Data!D429))="Gurgaon","Gurugram",IF(OR(PROPER(TRIM(Raw_Data!D429))="New Delhi",PROPER(TRIM(Raw_Data!D429))="Delhi"),"Delhi",PROPER(TRIM(Raw_Data!D429)))))</f>
        <v/>
      </c>
      <c r="E438" s="48">
        <f>Raw_Data!E429</f>
        <v/>
      </c>
      <c r="F438" s="48">
        <f>IF(TRIM(Raw_Data!F429&amp;"")="","Not Specified",Raw_Data!F429)</f>
        <v/>
      </c>
      <c r="G438" s="48">
        <f>Raw_Data!G429</f>
        <v/>
      </c>
      <c r="H438" s="48">
        <f>Raw_Data!H429</f>
        <v/>
      </c>
      <c r="I438" s="49">
        <f>IF(Raw_Data!I429="","",Raw_Data!I429)</f>
        <v/>
      </c>
      <c r="J438" s="49">
        <f>IF(Raw_Data!J429="","",Raw_Data!J429)</f>
        <v/>
      </c>
      <c r="K438" s="48">
        <f>IF(TRIM(Raw_Data!K429&amp;"")="","Not Specified",Raw_Data!K429)</f>
        <v/>
      </c>
      <c r="L438" s="56">
        <f>Raw_Data!L429</f>
        <v/>
      </c>
      <c r="M438" s="49">
        <f>IF(OR(I438="",J438=""),"",(I438+J438)/2)</f>
        <v/>
      </c>
      <c r="N438" s="49">
        <f>IF(OR(I438="",J438=""),"",J438-I438)</f>
        <v/>
      </c>
      <c r="O438" s="48">
        <f>TEXT(L438,"mmm-yyyy")</f>
        <v/>
      </c>
      <c r="P438" s="48">
        <f>_xlfn.IFS(ISNUMBER(SEARCH("data analy",B438)),"Data Analyst",ISNUMBER(SEARCH("business analy",B438)),"Business Analyst",OR(ISNUMBER(SEARCH("developer",B438)),ISNUMBER(SEARCH("software engineer",B438)),ISNUMBER(SEARCH("programmer",B438))),"Software Developer",ISNUMBER(SEARCH("business development",B438)),"Business Development",ISNUMBER(SEARCH("sales",B438)),"Sales Executive",ISNUMBER(SEARCH("marketing",B438)),"Marketing Executive",OR(ISNUMBER(SEARCH("hr ",B438)),ISNUMBER(SEARCH("recruit",B438)),ISNUMBER(SEARCH("human resource",B438))),"HR / Recruiter",OR(ISNUMBER(SEARCH("account",B438)),ISNUMBER(SEARCH("finance",B438)),ISNUMBER(SEARCH("tax",B438)),ISNUMBER(SEARCH("audit",B438))),"Accountant / Finance",OR(ISNUMBER(SEARCH("customer service",B438)),ISNUMBER(SEARCH("customer support",B438)),ISNUMBER(SEARCH("customer care",B438)),ISNUMBER(SEARCH("voice process",B438)),ISNUMBER(SEARCH("bpo",B438))),"Customer Support",ISNUMBER(SEARCH("engineer",B438)),"Engineer (Technical)",ISNUMBER(SEARCH("manager",B438)),"Manager",OR(ISNUMBER(SEARCH("teacher",B438)),ISNUMBER(SEARCH("trainer",B438)),ISNUMBER(SEARCH("faculty",B438))),"Teacher / Trainer",OR(ISNUMBER(SEARCH("doctor",B438)),ISNUMBER(SEARCH("nurse",B438)),ISNUMBER(SEARCH("medical",B438)),ISNUMBER(SEARCH("pharma",B438)),ISNUMBER(SEARCH("clinical",B438))),"Healthcare",TRUE,"Other")</f>
        <v/>
      </c>
      <c r="Q438" s="48">
        <f>IF(COUNTIFS($B$11:B438,B438,$C$11:C438,C438,$D$11:D438,D438,$L$11:L438,L438)&gt;1,"Duplicate","Unique")</f>
        <v/>
      </c>
    </row>
    <row r="439">
      <c r="A439" s="48">
        <f>Raw_Data!A430</f>
        <v/>
      </c>
      <c r="B439" s="48">
        <f>PROPER(TRIM(Raw_Data!B430))</f>
        <v/>
      </c>
      <c r="C439" s="48">
        <f>TRIM(Raw_Data!C430)</f>
        <v/>
      </c>
      <c r="D439" s="48">
        <f>IF(PROPER(TRIM(Raw_Data!D430))="Bangalore","Bengaluru",IF(PROPER(TRIM(Raw_Data!D430))="Gurgaon","Gurugram",IF(OR(PROPER(TRIM(Raw_Data!D430))="New Delhi",PROPER(TRIM(Raw_Data!D430))="Delhi"),"Delhi",PROPER(TRIM(Raw_Data!D430)))))</f>
        <v/>
      </c>
      <c r="E439" s="48">
        <f>Raw_Data!E430</f>
        <v/>
      </c>
      <c r="F439" s="48">
        <f>IF(TRIM(Raw_Data!F430&amp;"")="","Not Specified",Raw_Data!F430)</f>
        <v/>
      </c>
      <c r="G439" s="48">
        <f>Raw_Data!G430</f>
        <v/>
      </c>
      <c r="H439" s="48">
        <f>Raw_Data!H430</f>
        <v/>
      </c>
      <c r="I439" s="49">
        <f>IF(Raw_Data!I430="","",Raw_Data!I430)</f>
        <v/>
      </c>
      <c r="J439" s="49">
        <f>IF(Raw_Data!J430="","",Raw_Data!J430)</f>
        <v/>
      </c>
      <c r="K439" s="48">
        <f>IF(TRIM(Raw_Data!K430&amp;"")="","Not Specified",Raw_Data!K430)</f>
        <v/>
      </c>
      <c r="L439" s="56">
        <f>Raw_Data!L430</f>
        <v/>
      </c>
      <c r="M439" s="49">
        <f>IF(OR(I439="",J439=""),"",(I439+J439)/2)</f>
        <v/>
      </c>
      <c r="N439" s="49">
        <f>IF(OR(I439="",J439=""),"",J439-I439)</f>
        <v/>
      </c>
      <c r="O439" s="48">
        <f>TEXT(L439,"mmm-yyyy")</f>
        <v/>
      </c>
      <c r="P439" s="48">
        <f>_xlfn.IFS(ISNUMBER(SEARCH("data analy",B439)),"Data Analyst",ISNUMBER(SEARCH("business analy",B439)),"Business Analyst",OR(ISNUMBER(SEARCH("developer",B439)),ISNUMBER(SEARCH("software engineer",B439)),ISNUMBER(SEARCH("programmer",B439))),"Software Developer",ISNUMBER(SEARCH("business development",B439)),"Business Development",ISNUMBER(SEARCH("sales",B439)),"Sales Executive",ISNUMBER(SEARCH("marketing",B439)),"Marketing Executive",OR(ISNUMBER(SEARCH("hr ",B439)),ISNUMBER(SEARCH("recruit",B439)),ISNUMBER(SEARCH("human resource",B439))),"HR / Recruiter",OR(ISNUMBER(SEARCH("account",B439)),ISNUMBER(SEARCH("finance",B439)),ISNUMBER(SEARCH("tax",B439)),ISNUMBER(SEARCH("audit",B439))),"Accountant / Finance",OR(ISNUMBER(SEARCH("customer service",B439)),ISNUMBER(SEARCH("customer support",B439)),ISNUMBER(SEARCH("customer care",B439)),ISNUMBER(SEARCH("voice process",B439)),ISNUMBER(SEARCH("bpo",B439))),"Customer Support",ISNUMBER(SEARCH("engineer",B439)),"Engineer (Technical)",ISNUMBER(SEARCH("manager",B439)),"Manager",OR(ISNUMBER(SEARCH("teacher",B439)),ISNUMBER(SEARCH("trainer",B439)),ISNUMBER(SEARCH("faculty",B439))),"Teacher / Trainer",OR(ISNUMBER(SEARCH("doctor",B439)),ISNUMBER(SEARCH("nurse",B439)),ISNUMBER(SEARCH("medical",B439)),ISNUMBER(SEARCH("pharma",B439)),ISNUMBER(SEARCH("clinical",B439))),"Healthcare",TRUE,"Other")</f>
        <v/>
      </c>
      <c r="Q439" s="48">
        <f>IF(COUNTIFS($B$11:B439,B439,$C$11:C439,C439,$D$11:D439,D439,$L$11:L439,L439)&gt;1,"Duplicate","Unique")</f>
        <v/>
      </c>
    </row>
    <row r="440">
      <c r="A440" s="48">
        <f>Raw_Data!A431</f>
        <v/>
      </c>
      <c r="B440" s="48">
        <f>PROPER(TRIM(Raw_Data!B431))</f>
        <v/>
      </c>
      <c r="C440" s="48">
        <f>TRIM(Raw_Data!C431)</f>
        <v/>
      </c>
      <c r="D440" s="48">
        <f>IF(PROPER(TRIM(Raw_Data!D431))="Bangalore","Bengaluru",IF(PROPER(TRIM(Raw_Data!D431))="Gurgaon","Gurugram",IF(OR(PROPER(TRIM(Raw_Data!D431))="New Delhi",PROPER(TRIM(Raw_Data!D431))="Delhi"),"Delhi",PROPER(TRIM(Raw_Data!D431)))))</f>
        <v/>
      </c>
      <c r="E440" s="48">
        <f>Raw_Data!E431</f>
        <v/>
      </c>
      <c r="F440" s="48">
        <f>IF(TRIM(Raw_Data!F431&amp;"")="","Not Specified",Raw_Data!F431)</f>
        <v/>
      </c>
      <c r="G440" s="48">
        <f>Raw_Data!G431</f>
        <v/>
      </c>
      <c r="H440" s="48">
        <f>Raw_Data!H431</f>
        <v/>
      </c>
      <c r="I440" s="49">
        <f>IF(Raw_Data!I431="","",Raw_Data!I431)</f>
        <v/>
      </c>
      <c r="J440" s="49">
        <f>IF(Raw_Data!J431="","",Raw_Data!J431)</f>
        <v/>
      </c>
      <c r="K440" s="48">
        <f>IF(TRIM(Raw_Data!K431&amp;"")="","Not Specified",Raw_Data!K431)</f>
        <v/>
      </c>
      <c r="L440" s="56">
        <f>Raw_Data!L431</f>
        <v/>
      </c>
      <c r="M440" s="49">
        <f>IF(OR(I440="",J440=""),"",(I440+J440)/2)</f>
        <v/>
      </c>
      <c r="N440" s="49">
        <f>IF(OR(I440="",J440=""),"",J440-I440)</f>
        <v/>
      </c>
      <c r="O440" s="48">
        <f>TEXT(L440,"mmm-yyyy")</f>
        <v/>
      </c>
      <c r="P440" s="48">
        <f>_xlfn.IFS(ISNUMBER(SEARCH("data analy",B440)),"Data Analyst",ISNUMBER(SEARCH("business analy",B440)),"Business Analyst",OR(ISNUMBER(SEARCH("developer",B440)),ISNUMBER(SEARCH("software engineer",B440)),ISNUMBER(SEARCH("programmer",B440))),"Software Developer",ISNUMBER(SEARCH("business development",B440)),"Business Development",ISNUMBER(SEARCH("sales",B440)),"Sales Executive",ISNUMBER(SEARCH("marketing",B440)),"Marketing Executive",OR(ISNUMBER(SEARCH("hr ",B440)),ISNUMBER(SEARCH("recruit",B440)),ISNUMBER(SEARCH("human resource",B440))),"HR / Recruiter",OR(ISNUMBER(SEARCH("account",B440)),ISNUMBER(SEARCH("finance",B440)),ISNUMBER(SEARCH("tax",B440)),ISNUMBER(SEARCH("audit",B440))),"Accountant / Finance",OR(ISNUMBER(SEARCH("customer service",B440)),ISNUMBER(SEARCH("customer support",B440)),ISNUMBER(SEARCH("customer care",B440)),ISNUMBER(SEARCH("voice process",B440)),ISNUMBER(SEARCH("bpo",B440))),"Customer Support",ISNUMBER(SEARCH("engineer",B440)),"Engineer (Technical)",ISNUMBER(SEARCH("manager",B440)),"Manager",OR(ISNUMBER(SEARCH("teacher",B440)),ISNUMBER(SEARCH("trainer",B440)),ISNUMBER(SEARCH("faculty",B440))),"Teacher / Trainer",OR(ISNUMBER(SEARCH("doctor",B440)),ISNUMBER(SEARCH("nurse",B440)),ISNUMBER(SEARCH("medical",B440)),ISNUMBER(SEARCH("pharma",B440)),ISNUMBER(SEARCH("clinical",B440))),"Healthcare",TRUE,"Other")</f>
        <v/>
      </c>
      <c r="Q440" s="48">
        <f>IF(COUNTIFS($B$11:B440,B440,$C$11:C440,C440,$D$11:D440,D440,$L$11:L440,L440)&gt;1,"Duplicate","Unique")</f>
        <v/>
      </c>
    </row>
    <row r="441">
      <c r="A441" s="48">
        <f>Raw_Data!A432</f>
        <v/>
      </c>
      <c r="B441" s="48">
        <f>PROPER(TRIM(Raw_Data!B432))</f>
        <v/>
      </c>
      <c r="C441" s="48">
        <f>TRIM(Raw_Data!C432)</f>
        <v/>
      </c>
      <c r="D441" s="48">
        <f>IF(PROPER(TRIM(Raw_Data!D432))="Bangalore","Bengaluru",IF(PROPER(TRIM(Raw_Data!D432))="Gurgaon","Gurugram",IF(OR(PROPER(TRIM(Raw_Data!D432))="New Delhi",PROPER(TRIM(Raw_Data!D432))="Delhi"),"Delhi",PROPER(TRIM(Raw_Data!D432)))))</f>
        <v/>
      </c>
      <c r="E441" s="48">
        <f>Raw_Data!E432</f>
        <v/>
      </c>
      <c r="F441" s="48">
        <f>IF(TRIM(Raw_Data!F432&amp;"")="","Not Specified",Raw_Data!F432)</f>
        <v/>
      </c>
      <c r="G441" s="48">
        <f>Raw_Data!G432</f>
        <v/>
      </c>
      <c r="H441" s="48">
        <f>Raw_Data!H432</f>
        <v/>
      </c>
      <c r="I441" s="49">
        <f>IF(Raw_Data!I432="","",Raw_Data!I432)</f>
        <v/>
      </c>
      <c r="J441" s="49">
        <f>IF(Raw_Data!J432="","",Raw_Data!J432)</f>
        <v/>
      </c>
      <c r="K441" s="48">
        <f>IF(TRIM(Raw_Data!K432&amp;"")="","Not Specified",Raw_Data!K432)</f>
        <v/>
      </c>
      <c r="L441" s="56">
        <f>Raw_Data!L432</f>
        <v/>
      </c>
      <c r="M441" s="49">
        <f>IF(OR(I441="",J441=""),"",(I441+J441)/2)</f>
        <v/>
      </c>
      <c r="N441" s="49">
        <f>IF(OR(I441="",J441=""),"",J441-I441)</f>
        <v/>
      </c>
      <c r="O441" s="48">
        <f>TEXT(L441,"mmm-yyyy")</f>
        <v/>
      </c>
      <c r="P441" s="48">
        <f>_xlfn.IFS(ISNUMBER(SEARCH("data analy",B441)),"Data Analyst",ISNUMBER(SEARCH("business analy",B441)),"Business Analyst",OR(ISNUMBER(SEARCH("developer",B441)),ISNUMBER(SEARCH("software engineer",B441)),ISNUMBER(SEARCH("programmer",B441))),"Software Developer",ISNUMBER(SEARCH("business development",B441)),"Business Development",ISNUMBER(SEARCH("sales",B441)),"Sales Executive",ISNUMBER(SEARCH("marketing",B441)),"Marketing Executive",OR(ISNUMBER(SEARCH("hr ",B441)),ISNUMBER(SEARCH("recruit",B441)),ISNUMBER(SEARCH("human resource",B441))),"HR / Recruiter",OR(ISNUMBER(SEARCH("account",B441)),ISNUMBER(SEARCH("finance",B441)),ISNUMBER(SEARCH("tax",B441)),ISNUMBER(SEARCH("audit",B441))),"Accountant / Finance",OR(ISNUMBER(SEARCH("customer service",B441)),ISNUMBER(SEARCH("customer support",B441)),ISNUMBER(SEARCH("customer care",B441)),ISNUMBER(SEARCH("voice process",B441)),ISNUMBER(SEARCH("bpo",B441))),"Customer Support",ISNUMBER(SEARCH("engineer",B441)),"Engineer (Technical)",ISNUMBER(SEARCH("manager",B441)),"Manager",OR(ISNUMBER(SEARCH("teacher",B441)),ISNUMBER(SEARCH("trainer",B441)),ISNUMBER(SEARCH("faculty",B441))),"Teacher / Trainer",OR(ISNUMBER(SEARCH("doctor",B441)),ISNUMBER(SEARCH("nurse",B441)),ISNUMBER(SEARCH("medical",B441)),ISNUMBER(SEARCH("pharma",B441)),ISNUMBER(SEARCH("clinical",B441))),"Healthcare",TRUE,"Other")</f>
        <v/>
      </c>
      <c r="Q441" s="48">
        <f>IF(COUNTIFS($B$11:B441,B441,$C$11:C441,C441,$D$11:D441,D441,$L$11:L441,L441)&gt;1,"Duplicate","Unique")</f>
        <v/>
      </c>
    </row>
    <row r="442">
      <c r="A442" s="48">
        <f>Raw_Data!A433</f>
        <v/>
      </c>
      <c r="B442" s="48">
        <f>PROPER(TRIM(Raw_Data!B433))</f>
        <v/>
      </c>
      <c r="C442" s="48">
        <f>TRIM(Raw_Data!C433)</f>
        <v/>
      </c>
      <c r="D442" s="48">
        <f>IF(PROPER(TRIM(Raw_Data!D433))="Bangalore","Bengaluru",IF(PROPER(TRIM(Raw_Data!D433))="Gurgaon","Gurugram",IF(OR(PROPER(TRIM(Raw_Data!D433))="New Delhi",PROPER(TRIM(Raw_Data!D433))="Delhi"),"Delhi",PROPER(TRIM(Raw_Data!D433)))))</f>
        <v/>
      </c>
      <c r="E442" s="48">
        <f>Raw_Data!E433</f>
        <v/>
      </c>
      <c r="F442" s="48">
        <f>IF(TRIM(Raw_Data!F433&amp;"")="","Not Specified",Raw_Data!F433)</f>
        <v/>
      </c>
      <c r="G442" s="48">
        <f>Raw_Data!G433</f>
        <v/>
      </c>
      <c r="H442" s="48">
        <f>Raw_Data!H433</f>
        <v/>
      </c>
      <c r="I442" s="49">
        <f>IF(Raw_Data!I433="","",Raw_Data!I433)</f>
        <v/>
      </c>
      <c r="J442" s="49">
        <f>IF(Raw_Data!J433="","",Raw_Data!J433)</f>
        <v/>
      </c>
      <c r="K442" s="48">
        <f>IF(TRIM(Raw_Data!K433&amp;"")="","Not Specified",Raw_Data!K433)</f>
        <v/>
      </c>
      <c r="L442" s="56">
        <f>Raw_Data!L433</f>
        <v/>
      </c>
      <c r="M442" s="49">
        <f>IF(OR(I442="",J442=""),"",(I442+J442)/2)</f>
        <v/>
      </c>
      <c r="N442" s="49">
        <f>IF(OR(I442="",J442=""),"",J442-I442)</f>
        <v/>
      </c>
      <c r="O442" s="48">
        <f>TEXT(L442,"mmm-yyyy")</f>
        <v/>
      </c>
      <c r="P442" s="48">
        <f>_xlfn.IFS(ISNUMBER(SEARCH("data analy",B442)),"Data Analyst",ISNUMBER(SEARCH("business analy",B442)),"Business Analyst",OR(ISNUMBER(SEARCH("developer",B442)),ISNUMBER(SEARCH("software engineer",B442)),ISNUMBER(SEARCH("programmer",B442))),"Software Developer",ISNUMBER(SEARCH("business development",B442)),"Business Development",ISNUMBER(SEARCH("sales",B442)),"Sales Executive",ISNUMBER(SEARCH("marketing",B442)),"Marketing Executive",OR(ISNUMBER(SEARCH("hr ",B442)),ISNUMBER(SEARCH("recruit",B442)),ISNUMBER(SEARCH("human resource",B442))),"HR / Recruiter",OR(ISNUMBER(SEARCH("account",B442)),ISNUMBER(SEARCH("finance",B442)),ISNUMBER(SEARCH("tax",B442)),ISNUMBER(SEARCH("audit",B442))),"Accountant / Finance",OR(ISNUMBER(SEARCH("customer service",B442)),ISNUMBER(SEARCH("customer support",B442)),ISNUMBER(SEARCH("customer care",B442)),ISNUMBER(SEARCH("voice process",B442)),ISNUMBER(SEARCH("bpo",B442))),"Customer Support",ISNUMBER(SEARCH("engineer",B442)),"Engineer (Technical)",ISNUMBER(SEARCH("manager",B442)),"Manager",OR(ISNUMBER(SEARCH("teacher",B442)),ISNUMBER(SEARCH("trainer",B442)),ISNUMBER(SEARCH("faculty",B442))),"Teacher / Trainer",OR(ISNUMBER(SEARCH("doctor",B442)),ISNUMBER(SEARCH("nurse",B442)),ISNUMBER(SEARCH("medical",B442)),ISNUMBER(SEARCH("pharma",B442)),ISNUMBER(SEARCH("clinical",B442))),"Healthcare",TRUE,"Other")</f>
        <v/>
      </c>
      <c r="Q442" s="48">
        <f>IF(COUNTIFS($B$11:B442,B442,$C$11:C442,C442,$D$11:D442,D442,$L$11:L442,L442)&gt;1,"Duplicate","Unique")</f>
        <v/>
      </c>
    </row>
    <row r="443">
      <c r="A443" s="48">
        <f>Raw_Data!A434</f>
        <v/>
      </c>
      <c r="B443" s="48">
        <f>PROPER(TRIM(Raw_Data!B434))</f>
        <v/>
      </c>
      <c r="C443" s="48">
        <f>TRIM(Raw_Data!C434)</f>
        <v/>
      </c>
      <c r="D443" s="48">
        <f>IF(PROPER(TRIM(Raw_Data!D434))="Bangalore","Bengaluru",IF(PROPER(TRIM(Raw_Data!D434))="Gurgaon","Gurugram",IF(OR(PROPER(TRIM(Raw_Data!D434))="New Delhi",PROPER(TRIM(Raw_Data!D434))="Delhi"),"Delhi",PROPER(TRIM(Raw_Data!D434)))))</f>
        <v/>
      </c>
      <c r="E443" s="48">
        <f>Raw_Data!E434</f>
        <v/>
      </c>
      <c r="F443" s="48">
        <f>IF(TRIM(Raw_Data!F434&amp;"")="","Not Specified",Raw_Data!F434)</f>
        <v/>
      </c>
      <c r="G443" s="48">
        <f>Raw_Data!G434</f>
        <v/>
      </c>
      <c r="H443" s="48">
        <f>Raw_Data!H434</f>
        <v/>
      </c>
      <c r="I443" s="49">
        <f>IF(Raw_Data!I434="","",Raw_Data!I434)</f>
        <v/>
      </c>
      <c r="J443" s="49">
        <f>IF(Raw_Data!J434="","",Raw_Data!J434)</f>
        <v/>
      </c>
      <c r="K443" s="48">
        <f>IF(TRIM(Raw_Data!K434&amp;"")="","Not Specified",Raw_Data!K434)</f>
        <v/>
      </c>
      <c r="L443" s="56">
        <f>Raw_Data!L434</f>
        <v/>
      </c>
      <c r="M443" s="49">
        <f>IF(OR(I443="",J443=""),"",(I443+J443)/2)</f>
        <v/>
      </c>
      <c r="N443" s="49">
        <f>IF(OR(I443="",J443=""),"",J443-I443)</f>
        <v/>
      </c>
      <c r="O443" s="48">
        <f>TEXT(L443,"mmm-yyyy")</f>
        <v/>
      </c>
      <c r="P443" s="48">
        <f>_xlfn.IFS(ISNUMBER(SEARCH("data analy",B443)),"Data Analyst",ISNUMBER(SEARCH("business analy",B443)),"Business Analyst",OR(ISNUMBER(SEARCH("developer",B443)),ISNUMBER(SEARCH("software engineer",B443)),ISNUMBER(SEARCH("programmer",B443))),"Software Developer",ISNUMBER(SEARCH("business development",B443)),"Business Development",ISNUMBER(SEARCH("sales",B443)),"Sales Executive",ISNUMBER(SEARCH("marketing",B443)),"Marketing Executive",OR(ISNUMBER(SEARCH("hr ",B443)),ISNUMBER(SEARCH("recruit",B443)),ISNUMBER(SEARCH("human resource",B443))),"HR / Recruiter",OR(ISNUMBER(SEARCH("account",B443)),ISNUMBER(SEARCH("finance",B443)),ISNUMBER(SEARCH("tax",B443)),ISNUMBER(SEARCH("audit",B443))),"Accountant / Finance",OR(ISNUMBER(SEARCH("customer service",B443)),ISNUMBER(SEARCH("customer support",B443)),ISNUMBER(SEARCH("customer care",B443)),ISNUMBER(SEARCH("voice process",B443)),ISNUMBER(SEARCH("bpo",B443))),"Customer Support",ISNUMBER(SEARCH("engineer",B443)),"Engineer (Technical)",ISNUMBER(SEARCH("manager",B443)),"Manager",OR(ISNUMBER(SEARCH("teacher",B443)),ISNUMBER(SEARCH("trainer",B443)),ISNUMBER(SEARCH("faculty",B443))),"Teacher / Trainer",OR(ISNUMBER(SEARCH("doctor",B443)),ISNUMBER(SEARCH("nurse",B443)),ISNUMBER(SEARCH("medical",B443)),ISNUMBER(SEARCH("pharma",B443)),ISNUMBER(SEARCH("clinical",B443))),"Healthcare",TRUE,"Other")</f>
        <v/>
      </c>
      <c r="Q443" s="48">
        <f>IF(COUNTIFS($B$11:B443,B443,$C$11:C443,C443,$D$11:D443,D443,$L$11:L443,L443)&gt;1,"Duplicate","Unique")</f>
        <v/>
      </c>
    </row>
    <row r="444">
      <c r="A444" s="48">
        <f>Raw_Data!A435</f>
        <v/>
      </c>
      <c r="B444" s="48">
        <f>PROPER(TRIM(Raw_Data!B435))</f>
        <v/>
      </c>
      <c r="C444" s="48">
        <f>TRIM(Raw_Data!C435)</f>
        <v/>
      </c>
      <c r="D444" s="48">
        <f>IF(PROPER(TRIM(Raw_Data!D435))="Bangalore","Bengaluru",IF(PROPER(TRIM(Raw_Data!D435))="Gurgaon","Gurugram",IF(OR(PROPER(TRIM(Raw_Data!D435))="New Delhi",PROPER(TRIM(Raw_Data!D435))="Delhi"),"Delhi",PROPER(TRIM(Raw_Data!D435)))))</f>
        <v/>
      </c>
      <c r="E444" s="48">
        <f>Raw_Data!E435</f>
        <v/>
      </c>
      <c r="F444" s="48">
        <f>IF(TRIM(Raw_Data!F435&amp;"")="","Not Specified",Raw_Data!F435)</f>
        <v/>
      </c>
      <c r="G444" s="48">
        <f>Raw_Data!G435</f>
        <v/>
      </c>
      <c r="H444" s="48">
        <f>Raw_Data!H435</f>
        <v/>
      </c>
      <c r="I444" s="49">
        <f>IF(Raw_Data!I435="","",Raw_Data!I435)</f>
        <v/>
      </c>
      <c r="J444" s="49">
        <f>IF(Raw_Data!J435="","",Raw_Data!J435)</f>
        <v/>
      </c>
      <c r="K444" s="48">
        <f>IF(TRIM(Raw_Data!K435&amp;"")="","Not Specified",Raw_Data!K435)</f>
        <v/>
      </c>
      <c r="L444" s="56">
        <f>Raw_Data!L435</f>
        <v/>
      </c>
      <c r="M444" s="49">
        <f>IF(OR(I444="",J444=""),"",(I444+J444)/2)</f>
        <v/>
      </c>
      <c r="N444" s="49">
        <f>IF(OR(I444="",J444=""),"",J444-I444)</f>
        <v/>
      </c>
      <c r="O444" s="48">
        <f>TEXT(L444,"mmm-yyyy")</f>
        <v/>
      </c>
      <c r="P444" s="48">
        <f>_xlfn.IFS(ISNUMBER(SEARCH("data analy",B444)),"Data Analyst",ISNUMBER(SEARCH("business analy",B444)),"Business Analyst",OR(ISNUMBER(SEARCH("developer",B444)),ISNUMBER(SEARCH("software engineer",B444)),ISNUMBER(SEARCH("programmer",B444))),"Software Developer",ISNUMBER(SEARCH("business development",B444)),"Business Development",ISNUMBER(SEARCH("sales",B444)),"Sales Executive",ISNUMBER(SEARCH("marketing",B444)),"Marketing Executive",OR(ISNUMBER(SEARCH("hr ",B444)),ISNUMBER(SEARCH("recruit",B444)),ISNUMBER(SEARCH("human resource",B444))),"HR / Recruiter",OR(ISNUMBER(SEARCH("account",B444)),ISNUMBER(SEARCH("finance",B444)),ISNUMBER(SEARCH("tax",B444)),ISNUMBER(SEARCH("audit",B444))),"Accountant / Finance",OR(ISNUMBER(SEARCH("customer service",B444)),ISNUMBER(SEARCH("customer support",B444)),ISNUMBER(SEARCH("customer care",B444)),ISNUMBER(SEARCH("voice process",B444)),ISNUMBER(SEARCH("bpo",B444))),"Customer Support",ISNUMBER(SEARCH("engineer",B444)),"Engineer (Technical)",ISNUMBER(SEARCH("manager",B444)),"Manager",OR(ISNUMBER(SEARCH("teacher",B444)),ISNUMBER(SEARCH("trainer",B444)),ISNUMBER(SEARCH("faculty",B444))),"Teacher / Trainer",OR(ISNUMBER(SEARCH("doctor",B444)),ISNUMBER(SEARCH("nurse",B444)),ISNUMBER(SEARCH("medical",B444)),ISNUMBER(SEARCH("pharma",B444)),ISNUMBER(SEARCH("clinical",B444))),"Healthcare",TRUE,"Other")</f>
        <v/>
      </c>
      <c r="Q444" s="48">
        <f>IF(COUNTIFS($B$11:B444,B444,$C$11:C444,C444,$D$11:D444,D444,$L$11:L444,L444)&gt;1,"Duplicate","Unique")</f>
        <v/>
      </c>
    </row>
  </sheetData>
  <mergeCells count="8">
    <mergeCell ref="A8:Q8"/>
    <mergeCell ref="A6:Q6"/>
    <mergeCell ref="A3:Q3"/>
    <mergeCell ref="A4:Q4"/>
    <mergeCell ref="A7:Q7"/>
    <mergeCell ref="A2:Q2"/>
    <mergeCell ref="A1:Q1"/>
    <mergeCell ref="A5:Q5"/>
  </mergeCells>
  <conditionalFormatting sqref="F11:F444">
    <cfRule type="cellIs" priority="2" operator="equal" dxfId="0">
      <formula>"Not Specified"</formula>
    </cfRule>
  </conditionalFormatting>
  <conditionalFormatting sqref="K11:K444">
    <cfRule type="cellIs" priority="3" operator="equal" dxfId="0">
      <formula>"Not Specified"</formula>
    </cfRule>
  </conditionalFormatting>
  <conditionalFormatting sqref="M11:M444">
    <cfRule type="colorScale" priority="4">
      <colorScale>
        <cfvo type="min"/>
        <cfvo type="max"/>
        <color rgb="FFFCE4E4"/>
        <color rgb="FFC6EFCE"/>
      </colorScale>
    </cfRule>
  </conditionalFormatting>
  <conditionalFormatting sqref="Q11:Q444">
    <cfRule type="cellIs" priority="1" operator="equal" dxfId="1">
      <formula>"Duplicate"</formula>
    </cfRule>
  </conditionalFormatting>
  <pageMargins left="0.75" right="0.75" top="1" bottom="1" header="0.5" footer="0.5"/>
  <pageSetup orientation="landscape" paperSize="1"/>
  <tableParts count="1">
    <tablePart xmlns:r="http://schemas.openxmlformats.org/officeDocument/2006/relationships" r:id="rId1"/>
  </tableParts>
</worksheet>
</file>

<file path=xl/worksheets/sheet4.xml><?xml version="1.0" encoding="utf-8"?>
<worksheet xmlns="http://schemas.openxmlformats.org/spreadsheetml/2006/main">
  <sheetPr>
    <tabColor rgb="FF1F3864"/>
    <outlinePr summaryBelow="1" summaryRight="1"/>
    <pageSetUpPr fitToPage="1"/>
  </sheetPr>
  <dimension ref="A1:H49"/>
  <sheetViews>
    <sheetView workbookViewId="0">
      <selection activeCell="A1" sqref="A1:H1"/>
    </sheetView>
  </sheetViews>
  <sheetFormatPr baseColWidth="8" defaultColWidth="9" defaultRowHeight="14.5"/>
  <cols>
    <col width="22" customWidth="1" min="1" max="1"/>
    <col width="13" customWidth="1" min="2" max="2"/>
    <col width="3" customWidth="1" min="3" max="3"/>
    <col width="18" customWidth="1" min="4" max="4"/>
    <col width="13" customWidth="1" min="5" max="5"/>
    <col width="18" customWidth="1" min="6" max="6"/>
    <col width="13" customWidth="1" min="7" max="7"/>
    <col width="24" customWidth="1" min="8" max="8"/>
  </cols>
  <sheetData>
    <row r="1" ht="22" customHeight="1">
      <c r="A1" s="44" t="inlineStr">
        <is>
          <t>Analysis — Pivot-Style Summary Tables (COUNTIFS / SUMIFS / AVERAGEIFS)</t>
        </is>
      </c>
    </row>
    <row r="2" ht="28" customHeight="1">
      <c r="A2" s="45" t="inlineStr">
        <is>
          <t>These tables recreate what an Excel PivotTable would show, but are built with formulas so every number stays visible and easy to explain. All tables exclude duplicate postings (Duplicate_Flag = Unique) and respond live to the 5 filter dropdowns on the Dashboard sheet.</t>
        </is>
      </c>
    </row>
    <row r="3">
      <c r="A3" s="46" t="inlineStr">
        <is>
          <t>Jobs by Job Role</t>
        </is>
      </c>
      <c r="D3" s="46" t="inlineStr">
        <is>
          <t>Jobs by Location (Top 20)</t>
        </is>
      </c>
      <c r="G3" s="46" t="inlineStr">
        <is>
          <t>Jobs by Industry</t>
        </is>
      </c>
    </row>
    <row r="4">
      <c r="A4" s="47" t="inlineStr">
        <is>
          <t>Job_Role</t>
        </is>
      </c>
      <c r="B4" s="47" t="inlineStr">
        <is>
          <t>Job_Count</t>
        </is>
      </c>
      <c r="D4" s="47" t="inlineStr">
        <is>
          <t>Location</t>
        </is>
      </c>
      <c r="E4" s="47" t="inlineStr">
        <is>
          <t>Job_Count</t>
        </is>
      </c>
      <c r="G4" s="47" t="inlineStr">
        <is>
          <t>Industry</t>
        </is>
      </c>
      <c r="H4" s="47" t="inlineStr">
        <is>
          <t>Job_Count</t>
        </is>
      </c>
    </row>
    <row r="5">
      <c r="A5" s="48" t="inlineStr">
        <is>
          <t>Sales Executive</t>
        </is>
      </c>
      <c r="B5" s="48">
        <f>COUNTIFS(NR_RoleCategory,A5,NR_RoleCategory,IF(NR_F_Role="All","*",NR_F_Role),NR_Location,IF(NR_F_Loc="All","*",NR_F_Loc),NR_ExpLevel,IF(NR_F_Exp="All","*",NR_F_Exp),NR_WorkMode,IF(NR_F_WM="All","*",NR_F_WM),NR_Industry,IF(NR_F_Ind="All","*",NR_F_Ind),NR_DupFlag,"Unique")</f>
        <v/>
      </c>
      <c r="D5" s="48" t="inlineStr">
        <is>
          <t>Bengaluru</t>
        </is>
      </c>
      <c r="E5" s="48">
        <f>COUNTIFS(NR_Location,D5,NR_RoleCategory,IF(NR_F_Role="All","*",NR_F_Role),NR_Location,IF(NR_F_Loc="All","*",NR_F_Loc),NR_ExpLevel,IF(NR_F_Exp="All","*",NR_F_Exp),NR_WorkMode,IF(NR_F_WM="All","*",NR_F_WM),NR_Industry,IF(NR_F_Ind="All","*",NR_F_Ind),NR_DupFlag,"Unique")</f>
        <v/>
      </c>
      <c r="G5" s="48" t="inlineStr">
        <is>
          <t>IT / Software</t>
        </is>
      </c>
      <c r="H5" s="48">
        <f>COUNTIFS(NR_Industry,G5,NR_RoleCategory,IF(NR_F_Role="All","*",NR_F_Role),NR_Location,IF(NR_F_Loc="All","*",NR_F_Loc),NR_ExpLevel,IF(NR_F_Exp="All","*",NR_F_Exp),NR_WorkMode,IF(NR_F_WM="All","*",NR_F_WM),NR_Industry,IF(NR_F_Ind="All","*",NR_F_Ind),NR_DupFlag,"Unique")</f>
        <v/>
      </c>
    </row>
    <row r="6">
      <c r="A6" s="48" t="inlineStr">
        <is>
          <t>Engineer (Technical)</t>
        </is>
      </c>
      <c r="B6" s="48">
        <f>COUNTIFS(NR_RoleCategory,A6,NR_RoleCategory,IF(NR_F_Role="All","*",NR_F_Role),NR_Location,IF(NR_F_Loc="All","*",NR_F_Loc),NR_ExpLevel,IF(NR_F_Exp="All","*",NR_F_Exp),NR_WorkMode,IF(NR_F_WM="All","*",NR_F_WM),NR_Industry,IF(NR_F_Ind="All","*",NR_F_Ind),NR_DupFlag,"Unique")</f>
        <v/>
      </c>
      <c r="D6" s="48" t="inlineStr">
        <is>
          <t>Pune</t>
        </is>
      </c>
      <c r="E6" s="48">
        <f>COUNTIFS(NR_Location,D6,NR_RoleCategory,IF(NR_F_Role="All","*",NR_F_Role),NR_Location,IF(NR_F_Loc="All","*",NR_F_Loc),NR_ExpLevel,IF(NR_F_Exp="All","*",NR_F_Exp),NR_WorkMode,IF(NR_F_WM="All","*",NR_F_WM),NR_Industry,IF(NR_F_Ind="All","*",NR_F_Ind),NR_DupFlag,"Unique")</f>
        <v/>
      </c>
      <c r="G6" s="48" t="inlineStr">
        <is>
          <t>Other / General Business</t>
        </is>
      </c>
      <c r="H6" s="48">
        <f>COUNTIFS(NR_Industry,G6,NR_RoleCategory,IF(NR_F_Role="All","*",NR_F_Role),NR_Location,IF(NR_F_Loc="All","*",NR_F_Loc),NR_ExpLevel,IF(NR_F_Exp="All","*",NR_F_Exp),NR_WorkMode,IF(NR_F_WM="All","*",NR_F_WM),NR_Industry,IF(NR_F_Ind="All","*",NR_F_Ind),NR_DupFlag,"Unique")</f>
        <v/>
      </c>
    </row>
    <row r="7">
      <c r="A7" s="48" t="inlineStr">
        <is>
          <t>Manager</t>
        </is>
      </c>
      <c r="B7" s="48">
        <f>COUNTIFS(NR_RoleCategory,A7,NR_RoleCategory,IF(NR_F_Role="All","*",NR_F_Role),NR_Location,IF(NR_F_Loc="All","*",NR_F_Loc),NR_ExpLevel,IF(NR_F_Exp="All","*",NR_F_Exp),NR_WorkMode,IF(NR_F_WM="All","*",NR_F_WM),NR_Industry,IF(NR_F_Ind="All","*",NR_F_Ind),NR_DupFlag,"Unique")</f>
        <v/>
      </c>
      <c r="D7" s="48" t="inlineStr">
        <is>
          <t>Hyderabad</t>
        </is>
      </c>
      <c r="E7" s="48">
        <f>COUNTIFS(NR_Location,D7,NR_RoleCategory,IF(NR_F_Role="All","*",NR_F_Role),NR_Location,IF(NR_F_Loc="All","*",NR_F_Loc),NR_ExpLevel,IF(NR_F_Exp="All","*",NR_F_Exp),NR_WorkMode,IF(NR_F_WM="All","*",NR_F_WM),NR_Industry,IF(NR_F_Ind="All","*",NR_F_Ind),NR_DupFlag,"Unique")</f>
        <v/>
      </c>
      <c r="G7" s="48" t="inlineStr">
        <is>
          <t>BFSI (Banking/Finance/Insurance)</t>
        </is>
      </c>
      <c r="H7" s="48">
        <f>COUNTIFS(NR_Industry,G7,NR_RoleCategory,IF(NR_F_Role="All","*",NR_F_Role),NR_Location,IF(NR_F_Loc="All","*",NR_F_Loc),NR_ExpLevel,IF(NR_F_Exp="All","*",NR_F_Exp),NR_WorkMode,IF(NR_F_WM="All","*",NR_F_WM),NR_Industry,IF(NR_F_Ind="All","*",NR_F_Ind),NR_DupFlag,"Unique")</f>
        <v/>
      </c>
    </row>
    <row r="8">
      <c r="A8" s="48" t="inlineStr">
        <is>
          <t>Software Developer</t>
        </is>
      </c>
      <c r="B8" s="48">
        <f>COUNTIFS(NR_RoleCategory,A8,NR_RoleCategory,IF(NR_F_Role="All","*",NR_F_Role),NR_Location,IF(NR_F_Loc="All","*",NR_F_Loc),NR_ExpLevel,IF(NR_F_Exp="All","*",NR_F_Exp),NR_WorkMode,IF(NR_F_WM="All","*",NR_F_WM),NR_Industry,IF(NR_F_Ind="All","*",NR_F_Ind),NR_DupFlag,"Unique")</f>
        <v/>
      </c>
      <c r="D8" s="48" t="inlineStr">
        <is>
          <t>Chennai</t>
        </is>
      </c>
      <c r="E8" s="48">
        <f>COUNTIFS(NR_Location,D8,NR_RoleCategory,IF(NR_F_Role="All","*",NR_F_Role),NR_Location,IF(NR_F_Loc="All","*",NR_F_Loc),NR_ExpLevel,IF(NR_F_Exp="All","*",NR_F_Exp),NR_WorkMode,IF(NR_F_WM="All","*",NR_F_WM),NR_Industry,IF(NR_F_Ind="All","*",NR_F_Ind),NR_DupFlag,"Unique")</f>
        <v/>
      </c>
      <c r="G8" s="48" t="inlineStr">
        <is>
          <t>Manufacturing &amp; Engineering</t>
        </is>
      </c>
      <c r="H8" s="48">
        <f>COUNTIFS(NR_Industry,G8,NR_RoleCategory,IF(NR_F_Role="All","*",NR_F_Role),NR_Location,IF(NR_F_Loc="All","*",NR_F_Loc),NR_ExpLevel,IF(NR_F_Exp="All","*",NR_F_Exp),NR_WorkMode,IF(NR_F_WM="All","*",NR_F_WM),NR_Industry,IF(NR_F_Ind="All","*",NR_F_Ind),NR_DupFlag,"Unique")</f>
        <v/>
      </c>
    </row>
    <row r="9">
      <c r="A9" s="48" t="inlineStr">
        <is>
          <t>Accountant / Finance</t>
        </is>
      </c>
      <c r="B9" s="48">
        <f>COUNTIFS(NR_RoleCategory,A9,NR_RoleCategory,IF(NR_F_Role="All","*",NR_F_Role),NR_Location,IF(NR_F_Loc="All","*",NR_F_Loc),NR_ExpLevel,IF(NR_F_Exp="All","*",NR_F_Exp),NR_WorkMode,IF(NR_F_WM="All","*",NR_F_WM),NR_Industry,IF(NR_F_Ind="All","*",NR_F_Ind),NR_DupFlag,"Unique")</f>
        <v/>
      </c>
      <c r="D9" s="48" t="inlineStr">
        <is>
          <t>Gurugram</t>
        </is>
      </c>
      <c r="E9" s="48">
        <f>COUNTIFS(NR_Location,D9,NR_RoleCategory,IF(NR_F_Role="All","*",NR_F_Role),NR_Location,IF(NR_F_Loc="All","*",NR_F_Loc),NR_ExpLevel,IF(NR_F_Exp="All","*",NR_F_Exp),NR_WorkMode,IF(NR_F_WM="All","*",NR_F_WM),NR_Industry,IF(NR_F_Ind="All","*",NR_F_Ind),NR_DupFlag,"Unique")</f>
        <v/>
      </c>
      <c r="G9" s="48" t="inlineStr">
        <is>
          <t>Marketing &amp; Advertising</t>
        </is>
      </c>
      <c r="H9" s="48">
        <f>COUNTIFS(NR_Industry,G9,NR_RoleCategory,IF(NR_F_Role="All","*",NR_F_Role),NR_Location,IF(NR_F_Loc="All","*",NR_F_Loc),NR_ExpLevel,IF(NR_F_Exp="All","*",NR_F_Exp),NR_WorkMode,IF(NR_F_WM="All","*",NR_F_WM),NR_Industry,IF(NR_F_Ind="All","*",NR_F_Ind),NR_DupFlag,"Unique")</f>
        <v/>
      </c>
    </row>
    <row r="10">
      <c r="A10" s="48" t="inlineStr">
        <is>
          <t>Customer Support</t>
        </is>
      </c>
      <c r="B10" s="48">
        <f>COUNTIFS(NR_RoleCategory,A10,NR_RoleCategory,IF(NR_F_Role="All","*",NR_F_Role),NR_Location,IF(NR_F_Loc="All","*",NR_F_Loc),NR_ExpLevel,IF(NR_F_Exp="All","*",NR_F_Exp),NR_WorkMode,IF(NR_F_WM="All","*",NR_F_WM),NR_Industry,IF(NR_F_Ind="All","*",NR_F_Ind),NR_DupFlag,"Unique")</f>
        <v/>
      </c>
      <c r="D10" s="48" t="inlineStr">
        <is>
          <t>Mumbai</t>
        </is>
      </c>
      <c r="E10" s="48">
        <f>COUNTIFS(NR_Location,D10,NR_RoleCategory,IF(NR_F_Role="All","*",NR_F_Role),NR_Location,IF(NR_F_Loc="All","*",NR_F_Loc),NR_ExpLevel,IF(NR_F_Exp="All","*",NR_F_Exp),NR_WorkMode,IF(NR_F_WM="All","*",NR_F_WM),NR_Industry,IF(NR_F_Ind="All","*",NR_F_Ind),NR_DupFlag,"Unique")</f>
        <v/>
      </c>
      <c r="G10" s="48" t="inlineStr">
        <is>
          <t>Customer Service &amp; BPO</t>
        </is>
      </c>
      <c r="H10" s="48">
        <f>COUNTIFS(NR_Industry,G10,NR_RoleCategory,IF(NR_F_Role="All","*",NR_F_Role),NR_Location,IF(NR_F_Loc="All","*",NR_F_Loc),NR_ExpLevel,IF(NR_F_Exp="All","*",NR_F_Exp),NR_WorkMode,IF(NR_F_WM="All","*",NR_F_WM),NR_Industry,IF(NR_F_Ind="All","*",NR_F_Ind),NR_DupFlag,"Unique")</f>
        <v/>
      </c>
    </row>
    <row r="11">
      <c r="A11" s="48" t="inlineStr">
        <is>
          <t>HR / Recruiter</t>
        </is>
      </c>
      <c r="B11" s="48">
        <f>COUNTIFS(NR_RoleCategory,A11,NR_RoleCategory,IF(NR_F_Role="All","*",NR_F_Role),NR_Location,IF(NR_F_Loc="All","*",NR_F_Loc),NR_ExpLevel,IF(NR_F_Exp="All","*",NR_F_Exp),NR_WorkMode,IF(NR_F_WM="All","*",NR_F_WM),NR_Industry,IF(NR_F_Ind="All","*",NR_F_Ind),NR_DupFlag,"Unique")</f>
        <v/>
      </c>
      <c r="D11" s="48" t="inlineStr">
        <is>
          <t>Noida</t>
        </is>
      </c>
      <c r="E11" s="48">
        <f>COUNTIFS(NR_Location,D11,NR_RoleCategory,IF(NR_F_Role="All","*",NR_F_Role),NR_Location,IF(NR_F_Loc="All","*",NR_F_Loc),NR_ExpLevel,IF(NR_F_Exp="All","*",NR_F_Exp),NR_WorkMode,IF(NR_F_WM="All","*",NR_F_WM),NR_Industry,IF(NR_F_Ind="All","*",NR_F_Ind),NR_DupFlag,"Unique")</f>
        <v/>
      </c>
      <c r="G11" s="48" t="inlineStr">
        <is>
          <t>Sales &amp; Business Development</t>
        </is>
      </c>
      <c r="H11" s="48">
        <f>COUNTIFS(NR_Industry,G11,NR_RoleCategory,IF(NR_F_Role="All","*",NR_F_Role),NR_Location,IF(NR_F_Loc="All","*",NR_F_Loc),NR_ExpLevel,IF(NR_F_Exp="All","*",NR_F_Exp),NR_WorkMode,IF(NR_F_WM="All","*",NR_F_WM),NR_Industry,IF(NR_F_Ind="All","*",NR_F_Ind),NR_DupFlag,"Unique")</f>
        <v/>
      </c>
    </row>
    <row r="12">
      <c r="A12" s="48" t="inlineStr">
        <is>
          <t>Business Development</t>
        </is>
      </c>
      <c r="B12" s="48">
        <f>COUNTIFS(NR_RoleCategory,A12,NR_RoleCategory,IF(NR_F_Role="All","*",NR_F_Role),NR_Location,IF(NR_F_Loc="All","*",NR_F_Loc),NR_ExpLevel,IF(NR_F_Exp="All","*",NR_F_Exp),NR_WorkMode,IF(NR_F_WM="All","*",NR_F_WM),NR_Industry,IF(NR_F_Ind="All","*",NR_F_Ind),NR_DupFlag,"Unique")</f>
        <v/>
      </c>
      <c r="D12" s="48" t="inlineStr">
        <is>
          <t>Ahmedabad</t>
        </is>
      </c>
      <c r="E12" s="48">
        <f>COUNTIFS(NR_Location,D12,NR_RoleCategory,IF(NR_F_Role="All","*",NR_F_Role),NR_Location,IF(NR_F_Loc="All","*",NR_F_Loc),NR_ExpLevel,IF(NR_F_Exp="All","*",NR_F_Exp),NR_WorkMode,IF(NR_F_WM="All","*",NR_F_WM),NR_Industry,IF(NR_F_Ind="All","*",NR_F_Ind),NR_DupFlag,"Unique")</f>
        <v/>
      </c>
      <c r="G12" s="48" t="inlineStr">
        <is>
          <t>Healthcare &amp; Pharma</t>
        </is>
      </c>
      <c r="H12" s="48">
        <f>COUNTIFS(NR_Industry,G12,NR_RoleCategory,IF(NR_F_Role="All","*",NR_F_Role),NR_Location,IF(NR_F_Loc="All","*",NR_F_Loc),NR_ExpLevel,IF(NR_F_Exp="All","*",NR_F_Exp),NR_WorkMode,IF(NR_F_WM="All","*",NR_F_WM),NR_Industry,IF(NR_F_Ind="All","*",NR_F_Ind),NR_DupFlag,"Unique")</f>
        <v/>
      </c>
    </row>
    <row r="13">
      <c r="A13" s="48" t="inlineStr">
        <is>
          <t>Teacher / Trainer</t>
        </is>
      </c>
      <c r="B13" s="48">
        <f>COUNTIFS(NR_RoleCategory,A13,NR_RoleCategory,IF(NR_F_Role="All","*",NR_F_Role),NR_Location,IF(NR_F_Loc="All","*",NR_F_Loc),NR_ExpLevel,IF(NR_F_Exp="All","*",NR_F_Exp),NR_WorkMode,IF(NR_F_WM="All","*",NR_F_WM),NR_Industry,IF(NR_F_Ind="All","*",NR_F_Ind),NR_DupFlag,"Unique")</f>
        <v/>
      </c>
      <c r="D13" s="48" t="inlineStr">
        <is>
          <t>Thane</t>
        </is>
      </c>
      <c r="E13" s="48">
        <f>COUNTIFS(NR_Location,D13,NR_RoleCategory,IF(NR_F_Role="All","*",NR_F_Role),NR_Location,IF(NR_F_Loc="All","*",NR_F_Loc),NR_ExpLevel,IF(NR_F_Exp="All","*",NR_F_Exp),NR_WorkMode,IF(NR_F_WM="All","*",NR_F_WM),NR_Industry,IF(NR_F_Ind="All","*",NR_F_Ind),NR_DupFlag,"Unique")</f>
        <v/>
      </c>
      <c r="G13" s="48" t="inlineStr">
        <is>
          <t>Education &amp; Training</t>
        </is>
      </c>
      <c r="H13" s="48">
        <f>COUNTIFS(NR_Industry,G13,NR_RoleCategory,IF(NR_F_Role="All","*",NR_F_Role),NR_Location,IF(NR_F_Loc="All","*",NR_F_Loc),NR_ExpLevel,IF(NR_F_Exp="All","*",NR_F_Exp),NR_WorkMode,IF(NR_F_WM="All","*",NR_F_WM),NR_Industry,IF(NR_F_Ind="All","*",NR_F_Ind),NR_DupFlag,"Unique")</f>
        <v/>
      </c>
    </row>
    <row r="14">
      <c r="A14" s="48" t="inlineStr">
        <is>
          <t>Marketing Executive</t>
        </is>
      </c>
      <c r="B14" s="48">
        <f>COUNTIFS(NR_RoleCategory,A14,NR_RoleCategory,IF(NR_F_Role="All","*",NR_F_Role),NR_Location,IF(NR_F_Loc="All","*",NR_F_Loc),NR_ExpLevel,IF(NR_F_Exp="All","*",NR_F_Exp),NR_WorkMode,IF(NR_F_WM="All","*",NR_F_WM),NR_Industry,IF(NR_F_Ind="All","*",NR_F_Ind),NR_DupFlag,"Unique")</f>
        <v/>
      </c>
      <c r="D14" s="48" t="inlineStr">
        <is>
          <t>Remote</t>
        </is>
      </c>
      <c r="E14" s="48">
        <f>COUNTIFS(NR_Location,D14,NR_RoleCategory,IF(NR_F_Role="All","*",NR_F_Role),NR_Location,IF(NR_F_Loc="All","*",NR_F_Loc),NR_ExpLevel,IF(NR_F_Exp="All","*",NR_F_Exp),NR_WorkMode,IF(NR_F_WM="All","*",NR_F_WM),NR_Industry,IF(NR_F_Ind="All","*",NR_F_Ind),NR_DupFlag,"Unique")</f>
        <v/>
      </c>
      <c r="G14" s="48" t="inlineStr">
        <is>
          <t>HR &amp; Staffing</t>
        </is>
      </c>
      <c r="H14" s="48">
        <f>COUNTIFS(NR_Industry,G14,NR_RoleCategory,IF(NR_F_Role="All","*",NR_F_Role),NR_Location,IF(NR_F_Loc="All","*",NR_F_Loc),NR_ExpLevel,IF(NR_F_Exp="All","*",NR_F_Exp),NR_WorkMode,IF(NR_F_WM="All","*",NR_F_WM),NR_Industry,IF(NR_F_Ind="All","*",NR_F_Ind),NR_DupFlag,"Unique")</f>
        <v/>
      </c>
    </row>
    <row r="15">
      <c r="A15" s="48" t="inlineStr">
        <is>
          <t>Healthcare</t>
        </is>
      </c>
      <c r="B15" s="48">
        <f>COUNTIFS(NR_RoleCategory,A15,NR_RoleCategory,IF(NR_F_Role="All","*",NR_F_Role),NR_Location,IF(NR_F_Loc="All","*",NR_F_Loc),NR_ExpLevel,IF(NR_F_Exp="All","*",NR_F_Exp),NR_WorkMode,IF(NR_F_WM="All","*",NR_F_WM),NR_Industry,IF(NR_F_Ind="All","*",NR_F_Ind),NR_DupFlag,"Unique")</f>
        <v/>
      </c>
      <c r="D15" s="48" t="inlineStr">
        <is>
          <t>Kolkata</t>
        </is>
      </c>
      <c r="E15" s="48">
        <f>COUNTIFS(NR_Location,D15,NR_RoleCategory,IF(NR_F_Role="All","*",NR_F_Role),NR_Location,IF(NR_F_Loc="All","*",NR_F_Loc),NR_ExpLevel,IF(NR_F_Exp="All","*",NR_F_Exp),NR_WorkMode,IF(NR_F_WM="All","*",NR_F_WM),NR_Industry,IF(NR_F_Ind="All","*",NR_F_Ind),NR_DupFlag,"Unique")</f>
        <v/>
      </c>
      <c r="G15" s="48" t="inlineStr">
        <is>
          <t>Logistics &amp; Supply Chain</t>
        </is>
      </c>
      <c r="H15" s="48">
        <f>COUNTIFS(NR_Industry,G15,NR_RoleCategory,IF(NR_F_Role="All","*",NR_F_Role),NR_Location,IF(NR_F_Loc="All","*",NR_F_Loc),NR_ExpLevel,IF(NR_F_Exp="All","*",NR_F_Exp),NR_WorkMode,IF(NR_F_WM="All","*",NR_F_WM),NR_Industry,IF(NR_F_Ind="All","*",NR_F_Ind),NR_DupFlag,"Unique")</f>
        <v/>
      </c>
    </row>
    <row r="16">
      <c r="A16" s="48" t="inlineStr">
        <is>
          <t>Data Analyst</t>
        </is>
      </c>
      <c r="B16" s="48">
        <f>COUNTIFS(NR_RoleCategory,A16,NR_RoleCategory,IF(NR_F_Role="All","*",NR_F_Role),NR_Location,IF(NR_F_Loc="All","*",NR_F_Loc),NR_ExpLevel,IF(NR_F_Exp="All","*",NR_F_Exp),NR_WorkMode,IF(NR_F_WM="All","*",NR_F_WM),NR_Industry,IF(NR_F_Ind="All","*",NR_F_Ind),NR_DupFlag,"Unique")</f>
        <v/>
      </c>
      <c r="D16" s="48" t="inlineStr">
        <is>
          <t>Chandigarh</t>
        </is>
      </c>
      <c r="E16" s="48">
        <f>COUNTIFS(NR_Location,D16,NR_RoleCategory,IF(NR_F_Role="All","*",NR_F_Role),NR_Location,IF(NR_F_Loc="All","*",NR_F_Loc),NR_ExpLevel,IF(NR_F_Exp="All","*",NR_F_Exp),NR_WorkMode,IF(NR_F_WM="All","*",NR_F_WM),NR_Industry,IF(NR_F_Ind="All","*",NR_F_Ind),NR_DupFlag,"Unique")</f>
        <v/>
      </c>
      <c r="G16" s="48" t="inlineStr">
        <is>
          <t>Real Estate &amp; Construction</t>
        </is>
      </c>
      <c r="H16" s="48">
        <f>COUNTIFS(NR_Industry,G16,NR_RoleCategory,IF(NR_F_Role="All","*",NR_F_Role),NR_Location,IF(NR_F_Loc="All","*",NR_F_Loc),NR_ExpLevel,IF(NR_F_Exp="All","*",NR_F_Exp),NR_WorkMode,IF(NR_F_WM="All","*",NR_F_WM),NR_Industry,IF(NR_F_Ind="All","*",NR_F_Ind),NR_DupFlag,"Unique")</f>
        <v/>
      </c>
    </row>
    <row r="17">
      <c r="A17" s="48" t="inlineStr">
        <is>
          <t>Other</t>
        </is>
      </c>
      <c r="B17" s="48">
        <f>COUNTIFS(NR_RoleCategory,A17,NR_RoleCategory,IF(NR_F_Role="All","*",NR_F_Role),NR_Location,IF(NR_F_Loc="All","*",NR_F_Loc),NR_ExpLevel,IF(NR_F_Exp="All","*",NR_F_Exp),NR_WorkMode,IF(NR_F_WM="All","*",NR_F_WM),NR_Industry,IF(NR_F_Ind="All","*",NR_F_Ind),NR_DupFlag,"Unique")</f>
        <v/>
      </c>
      <c r="D17" s="48" t="inlineStr">
        <is>
          <t>Mysuru</t>
        </is>
      </c>
      <c r="E17" s="48">
        <f>COUNTIFS(NR_Location,D17,NR_RoleCategory,IF(NR_F_Role="All","*",NR_F_Role),NR_Location,IF(NR_F_Loc="All","*",NR_F_Loc),NR_ExpLevel,IF(NR_F_Exp="All","*",NR_F_Exp),NR_WorkMode,IF(NR_F_WM="All","*",NR_F_WM),NR_Industry,IF(NR_F_Ind="All","*",NR_F_Ind),NR_DupFlag,"Unique")</f>
        <v/>
      </c>
      <c r="G17" s="48" t="inlineStr">
        <is>
          <t>Media &amp; Entertainment</t>
        </is>
      </c>
      <c r="H17" s="48">
        <f>COUNTIFS(NR_Industry,G17,NR_RoleCategory,IF(NR_F_Role="All","*",NR_F_Role),NR_Location,IF(NR_F_Loc="All","*",NR_F_Loc),NR_ExpLevel,IF(NR_F_Exp="All","*",NR_F_Exp),NR_WorkMode,IF(NR_F_WM="All","*",NR_F_WM),NR_Industry,IF(NR_F_Ind="All","*",NR_F_Ind),NR_DupFlag,"Unique")</f>
        <v/>
      </c>
    </row>
    <row r="18">
      <c r="D18" s="48" t="inlineStr">
        <is>
          <t>Surat</t>
        </is>
      </c>
      <c r="E18" s="48">
        <f>COUNTIFS(NR_Location,D18,NR_RoleCategory,IF(NR_F_Role="All","*",NR_F_Role),NR_Location,IF(NR_F_Loc="All","*",NR_F_Loc),NR_ExpLevel,IF(NR_F_Exp="All","*",NR_F_Exp),NR_WorkMode,IF(NR_F_WM="All","*",NR_F_WM),NR_Industry,IF(NR_F_Ind="All","*",NR_F_Ind),NR_DupFlag,"Unique")</f>
        <v/>
      </c>
      <c r="G18" s="48" t="inlineStr">
        <is>
          <t>Telecom</t>
        </is>
      </c>
      <c r="H18" s="48">
        <f>COUNTIFS(NR_Industry,G18,NR_RoleCategory,IF(NR_F_Role="All","*",NR_F_Role),NR_Location,IF(NR_F_Loc="All","*",NR_F_Loc),NR_ExpLevel,IF(NR_F_Exp="All","*",NR_F_Exp),NR_WorkMode,IF(NR_F_WM="All","*",NR_F_WM),NR_Industry,IF(NR_F_Ind="All","*",NR_F_Ind),NR_DupFlag,"Unique")</f>
        <v/>
      </c>
    </row>
    <row r="19">
      <c r="D19" s="48" t="inlineStr">
        <is>
          <t>Jaipur</t>
        </is>
      </c>
      <c r="E19" s="48">
        <f>COUNTIFS(NR_Location,D19,NR_RoleCategory,IF(NR_F_Role="All","*",NR_F_Role),NR_Location,IF(NR_F_Loc="All","*",NR_F_Loc),NR_ExpLevel,IF(NR_F_Exp="All","*",NR_F_Exp),NR_WorkMode,IF(NR_F_WM="All","*",NR_F_WM),NR_Industry,IF(NR_F_Ind="All","*",NR_F_Ind),NR_DupFlag,"Unique")</f>
        <v/>
      </c>
      <c r="G19" s="48" t="inlineStr">
        <is>
          <t>Hospitality &amp; Travel</t>
        </is>
      </c>
      <c r="H19" s="48">
        <f>COUNTIFS(NR_Industry,G19,NR_RoleCategory,IF(NR_F_Role="All","*",NR_F_Role),NR_Location,IF(NR_F_Loc="All","*",NR_F_Loc),NR_ExpLevel,IF(NR_F_Exp="All","*",NR_F_Exp),NR_WorkMode,IF(NR_F_WM="All","*",NR_F_WM),NR_Industry,IF(NR_F_Ind="All","*",NR_F_Ind),NR_DupFlag,"Unique")</f>
        <v/>
      </c>
    </row>
    <row r="20">
      <c r="D20" s="48" t="inlineStr">
        <is>
          <t>Mumbai Suburban</t>
        </is>
      </c>
      <c r="E20" s="48">
        <f>COUNTIFS(NR_Location,D20,NR_RoleCategory,IF(NR_F_Role="All","*",NR_F_Role),NR_Location,IF(NR_F_Loc="All","*",NR_F_Loc),NR_ExpLevel,IF(NR_F_Exp="All","*",NR_F_Exp),NR_WorkMode,IF(NR_F_WM="All","*",NR_F_WM),NR_Industry,IF(NR_F_Ind="All","*",NR_F_Ind),NR_DupFlag,"Unique")</f>
        <v/>
      </c>
      <c r="G20" s="48" t="inlineStr">
        <is>
          <t>Retail &amp; E-commerce</t>
        </is>
      </c>
      <c r="H20" s="48">
        <f>COUNTIFS(NR_Industry,G20,NR_RoleCategory,IF(NR_F_Role="All","*",NR_F_Role),NR_Location,IF(NR_F_Loc="All","*",NR_F_Loc),NR_ExpLevel,IF(NR_F_Exp="All","*",NR_F_Exp),NR_WorkMode,IF(NR_F_WM="All","*",NR_F_WM),NR_Industry,IF(NR_F_Ind="All","*",NR_F_Ind),NR_DupFlag,"Unique")</f>
        <v/>
      </c>
    </row>
    <row r="21">
      <c r="D21" s="48" t="inlineStr">
        <is>
          <t>Udaipur</t>
        </is>
      </c>
      <c r="E21" s="48">
        <f>COUNTIFS(NR_Location,D21,NR_RoleCategory,IF(NR_F_Role="All","*",NR_F_Role),NR_Location,IF(NR_F_Loc="All","*",NR_F_Loc),NR_ExpLevel,IF(NR_F_Exp="All","*",NR_F_Exp),NR_WorkMode,IF(NR_F_WM="All","*",NR_F_WM),NR_Industry,IF(NR_F_Ind="All","*",NR_F_Ind),NR_DupFlag,"Unique")</f>
        <v/>
      </c>
    </row>
    <row r="22">
      <c r="D22" s="48" t="inlineStr">
        <is>
          <t>Nashik</t>
        </is>
      </c>
      <c r="E22" s="48">
        <f>COUNTIFS(NR_Location,D22,NR_RoleCategory,IF(NR_F_Role="All","*",NR_F_Role),NR_Location,IF(NR_F_Loc="All","*",NR_F_Loc),NR_ExpLevel,IF(NR_F_Exp="All","*",NR_F_Exp),NR_WorkMode,IF(NR_F_WM="All","*",NR_F_WM),NR_Industry,IF(NR_F_Ind="All","*",NR_F_Ind),NR_DupFlag,"Unique")</f>
        <v/>
      </c>
    </row>
    <row r="23">
      <c r="D23" s="48" t="inlineStr">
        <is>
          <t>Navi Mumbai</t>
        </is>
      </c>
      <c r="E23" s="48">
        <f>COUNTIFS(NR_Location,D23,NR_RoleCategory,IF(NR_F_Role="All","*",NR_F_Role),NR_Location,IF(NR_F_Loc="All","*",NR_F_Loc),NR_ExpLevel,IF(NR_F_Exp="All","*",NR_F_Exp),NR_WorkMode,IF(NR_F_WM="All","*",NR_F_WM),NR_Industry,IF(NR_F_Ind="All","*",NR_F_Ind),NR_DupFlag,"Unique")</f>
        <v/>
      </c>
    </row>
    <row r="24">
      <c r="D24" s="48" t="inlineStr">
        <is>
          <t>Vasai</t>
        </is>
      </c>
      <c r="E24" s="48">
        <f>COUNTIFS(NR_Location,D24,NR_RoleCategory,IF(NR_F_Role="All","*",NR_F_Role),NR_Location,IF(NR_F_Loc="All","*",NR_F_Loc),NR_ExpLevel,IF(NR_F_Exp="All","*",NR_F_Exp),NR_WorkMode,IF(NR_F_WM="All","*",NR_F_WM),NR_Industry,IF(NR_F_Ind="All","*",NR_F_Ind),NR_DupFlag,"Unique")</f>
        <v/>
      </c>
    </row>
    <row r="27">
      <c r="A27" s="46" t="inlineStr">
        <is>
          <t>Jobs by Experience Level</t>
        </is>
      </c>
      <c r="D27" s="46" t="inlineStr">
        <is>
          <t>Jobs by Work Mode</t>
        </is>
      </c>
      <c r="G27" s="46" t="inlineStr">
        <is>
          <t>Average Salary by Experience Level (Lacs PA)</t>
        </is>
      </c>
    </row>
    <row r="28" ht="26" customHeight="1">
      <c r="A28" s="47" t="inlineStr">
        <is>
          <t>Experience_Level</t>
        </is>
      </c>
      <c r="B28" s="47" t="inlineStr">
        <is>
          <t>Job_Count</t>
        </is>
      </c>
      <c r="D28" s="47" t="inlineStr">
        <is>
          <t>Work_Mode</t>
        </is>
      </c>
      <c r="E28" s="47" t="inlineStr">
        <is>
          <t>Job_Count</t>
        </is>
      </c>
      <c r="G28" s="47" t="inlineStr">
        <is>
          <t>Experience_Level</t>
        </is>
      </c>
      <c r="H28" s="47" t="inlineStr">
        <is>
          <t>Avg_Salary</t>
        </is>
      </c>
    </row>
    <row r="29">
      <c r="A29" s="48" t="inlineStr">
        <is>
          <t>Entry Level (0-2 yrs)</t>
        </is>
      </c>
      <c r="B29" s="48">
        <f>COUNTIFS(NR_ExpLevel,A29,NR_RoleCategory,IF(NR_F_Role="All","*",NR_F_Role),NR_Location,IF(NR_F_Loc="All","*",NR_F_Loc),NR_ExpLevel,IF(NR_F_Exp="All","*",NR_F_Exp),NR_WorkMode,IF(NR_F_WM="All","*",NR_F_WM),NR_Industry,IF(NR_F_Ind="All","*",NR_F_Ind),NR_DupFlag,"Unique")</f>
        <v/>
      </c>
      <c r="D29" s="48" t="inlineStr">
        <is>
          <t>On-site</t>
        </is>
      </c>
      <c r="E29" s="48">
        <f>COUNTIFS(NR_WorkMode,D29,NR_RoleCategory,IF(NR_F_Role="All","*",NR_F_Role),NR_Location,IF(NR_F_Loc="All","*",NR_F_Loc),NR_ExpLevel,IF(NR_F_Exp="All","*",NR_F_Exp),NR_WorkMode,IF(NR_F_WM="All","*",NR_F_WM),NR_Industry,IF(NR_F_Ind="All","*",NR_F_Ind),NR_DupFlag,"Unique")</f>
        <v/>
      </c>
      <c r="G29" s="48" t="inlineStr">
        <is>
          <t>Entry Level (0-2 yrs)</t>
        </is>
      </c>
      <c r="H29" s="49">
        <f>IFERROR(AVERAGEIFS(NR_AvgSalary,NR_ExpLevel,G29,NR_RoleCategory,IF(NR_F_Role="All","*",NR_F_Role),NR_Location,IF(NR_F_Loc="All","*",NR_F_Loc),NR_ExpLevel,IF(NR_F_Exp="All","*",NR_F_Exp),NR_WorkMode,IF(NR_F_WM="All","*",NR_F_WM),NR_Industry,IF(NR_F_Ind="All","*",NR_F_Ind),NR_DupFlag,"Unique"),"n/a")</f>
        <v/>
      </c>
    </row>
    <row r="30">
      <c r="A30" s="48" t="inlineStr">
        <is>
          <t>Mid Level (3-6 yrs)</t>
        </is>
      </c>
      <c r="B30" s="48">
        <f>COUNTIFS(NR_ExpLevel,A30,NR_RoleCategory,IF(NR_F_Role="All","*",NR_F_Role),NR_Location,IF(NR_F_Loc="All","*",NR_F_Loc),NR_ExpLevel,IF(NR_F_Exp="All","*",NR_F_Exp),NR_WorkMode,IF(NR_F_WM="All","*",NR_F_WM),NR_Industry,IF(NR_F_Ind="All","*",NR_F_Ind),NR_DupFlag,"Unique")</f>
        <v/>
      </c>
      <c r="D30" s="48" t="inlineStr">
        <is>
          <t>Hybrid</t>
        </is>
      </c>
      <c r="E30" s="48">
        <f>COUNTIFS(NR_WorkMode,D30,NR_RoleCategory,IF(NR_F_Role="All","*",NR_F_Role),NR_Location,IF(NR_F_Loc="All","*",NR_F_Loc),NR_ExpLevel,IF(NR_F_Exp="All","*",NR_F_Exp),NR_WorkMode,IF(NR_F_WM="All","*",NR_F_WM),NR_Industry,IF(NR_F_Ind="All","*",NR_F_Ind),NR_DupFlag,"Unique")</f>
        <v/>
      </c>
      <c r="G30" s="48" t="inlineStr">
        <is>
          <t>Mid Level (3-6 yrs)</t>
        </is>
      </c>
      <c r="H30" s="49">
        <f>IFERROR(AVERAGEIFS(NR_AvgSalary,NR_ExpLevel,G30,NR_RoleCategory,IF(NR_F_Role="All","*",NR_F_Role),NR_Location,IF(NR_F_Loc="All","*",NR_F_Loc),NR_ExpLevel,IF(NR_F_Exp="All","*",NR_F_Exp),NR_WorkMode,IF(NR_F_WM="All","*",NR_F_WM),NR_Industry,IF(NR_F_Ind="All","*",NR_F_Ind),NR_DupFlag,"Unique"),"n/a")</f>
        <v/>
      </c>
    </row>
    <row r="31">
      <c r="A31" s="48" t="inlineStr">
        <is>
          <t>Senior Level (7+ yrs)</t>
        </is>
      </c>
      <c r="B31" s="48">
        <f>COUNTIFS(NR_ExpLevel,A31,NR_RoleCategory,IF(NR_F_Role="All","*",NR_F_Role),NR_Location,IF(NR_F_Loc="All","*",NR_F_Loc),NR_ExpLevel,IF(NR_F_Exp="All","*",NR_F_Exp),NR_WorkMode,IF(NR_F_WM="All","*",NR_F_WM),NR_Industry,IF(NR_F_Ind="All","*",NR_F_Ind),NR_DupFlag,"Unique")</f>
        <v/>
      </c>
      <c r="D31" s="48" t="inlineStr">
        <is>
          <t>Remote</t>
        </is>
      </c>
      <c r="E31" s="48">
        <f>COUNTIFS(NR_WorkMode,D31,NR_RoleCategory,IF(NR_F_Role="All","*",NR_F_Role),NR_Location,IF(NR_F_Loc="All","*",NR_F_Loc),NR_ExpLevel,IF(NR_F_Exp="All","*",NR_F_Exp),NR_WorkMode,IF(NR_F_WM="All","*",NR_F_WM),NR_Industry,IF(NR_F_Ind="All","*",NR_F_Ind),NR_DupFlag,"Unique")</f>
        <v/>
      </c>
      <c r="G31" s="48" t="inlineStr">
        <is>
          <t>Senior Level (7+ yrs)</t>
        </is>
      </c>
      <c r="H31" s="49">
        <f>IFERROR(AVERAGEIFS(NR_AvgSalary,NR_ExpLevel,G31,NR_RoleCategory,IF(NR_F_Role="All","*",NR_F_Role),NR_Location,IF(NR_F_Loc="All","*",NR_F_Loc),NR_ExpLevel,IF(NR_F_Exp="All","*",NR_F_Exp),NR_WorkMode,IF(NR_F_WM="All","*",NR_F_WM),NR_Industry,IF(NR_F_Ind="All","*",NR_F_Ind),NR_DupFlag,"Unique"),"n/a")</f>
        <v/>
      </c>
    </row>
    <row r="32">
      <c r="A32" s="48" t="inlineStr">
        <is>
          <t>Not Specified</t>
        </is>
      </c>
      <c r="B32" s="48">
        <f>COUNTIFS(NR_ExpLevel,A32,NR_RoleCategory,IF(NR_F_Role="All","*",NR_F_Role),NR_Location,IF(NR_F_Loc="All","*",NR_F_Loc),NR_ExpLevel,IF(NR_F_Exp="All","*",NR_F_Exp),NR_WorkMode,IF(NR_F_WM="All","*",NR_F_WM),NR_Industry,IF(NR_F_Ind="All","*",NR_F_Ind),NR_DupFlag,"Unique")</f>
        <v/>
      </c>
      <c r="G32" s="48" t="inlineStr">
        <is>
          <t>Not Specified</t>
        </is>
      </c>
      <c r="H32" s="49">
        <f>IFERROR(AVERAGEIFS(NR_AvgSalary,NR_ExpLevel,G32,NR_RoleCategory,IF(NR_F_Role="All","*",NR_F_Role),NR_Location,IF(NR_F_Loc="All","*",NR_F_Loc),NR_ExpLevel,IF(NR_F_Exp="All","*",NR_F_Exp),NR_WorkMode,IF(NR_F_WM="All","*",NR_F_WM),NR_Industry,IF(NR_F_Ind="All","*",NR_F_Ind),NR_DupFlag,"Unique"),"n/a")</f>
        <v/>
      </c>
    </row>
    <row r="35">
      <c r="A35" s="46" t="inlineStr">
        <is>
          <t>Average Salary by Job Role (Lacs PA)</t>
        </is>
      </c>
      <c r="F35" s="46" t="inlineStr">
        <is>
          <t>Top Skills Requested</t>
        </is>
      </c>
    </row>
    <row r="36" ht="91" customHeight="1">
      <c r="A36" s="47" t="inlineStr">
        <is>
          <t>Job_Role</t>
        </is>
      </c>
      <c r="B36" s="47" t="inlineStr">
        <is>
          <t>Avg_Salary_Min</t>
        </is>
      </c>
      <c r="C36" s="47" t="inlineStr">
        <is>
          <t>Avg_Salary_Max</t>
        </is>
      </c>
      <c r="D36" s="47" t="inlineStr">
        <is>
          <t>Avg_Salary</t>
        </is>
      </c>
      <c r="F36" s="47" t="inlineStr">
        <is>
          <t>Skill</t>
        </is>
      </c>
      <c r="G36" s="47" t="inlineStr">
        <is>
          <t>Mentions</t>
        </is>
      </c>
    </row>
    <row r="37">
      <c r="A37" s="48" t="inlineStr">
        <is>
          <t>Sales Executive</t>
        </is>
      </c>
      <c r="B37" s="49">
        <f>IFERROR(AVERAGEIFS(NR_SalaryMin,NR_RoleCategory,A37,NR_RoleCategory,IF(NR_F_Role="All","*",NR_F_Role),NR_Location,IF(NR_F_Loc="All","*",NR_F_Loc),NR_ExpLevel,IF(NR_F_Exp="All","*",NR_F_Exp),NR_WorkMode,IF(NR_F_WM="All","*",NR_F_WM),NR_Industry,IF(NR_F_Ind="All","*",NR_F_Ind),NR_DupFlag,"Unique"),"n/a")</f>
        <v/>
      </c>
      <c r="C37" s="49">
        <f>IFERROR(AVERAGEIFS(NR_SalaryMax,NR_RoleCategory,A37,NR_RoleCategory,IF(NR_F_Role="All","*",NR_F_Role),NR_Location,IF(NR_F_Loc="All","*",NR_F_Loc),NR_ExpLevel,IF(NR_F_Exp="All","*",NR_F_Exp),NR_WorkMode,IF(NR_F_WM="All","*",NR_F_WM),NR_Industry,IF(NR_F_Ind="All","*",NR_F_Ind),NR_DupFlag,"Unique"),"n/a")</f>
        <v/>
      </c>
      <c r="D37" s="49">
        <f>IFERROR(AVERAGEIFS(NR_AvgSalary,NR_RoleCategory,A37,NR_RoleCategory,IF(NR_F_Role="All","*",NR_F_Role),NR_Location,IF(NR_F_Loc="All","*",NR_F_Loc),NR_ExpLevel,IF(NR_F_Exp="All","*",NR_F_Exp),NR_WorkMode,IF(NR_F_WM="All","*",NR_F_WM),NR_Industry,IF(NR_F_Ind="All","*",NR_F_Ind),NR_DupFlag,"Unique"),"n/a")</f>
        <v/>
      </c>
      <c r="F37" s="48" t="inlineStr">
        <is>
          <t>Sales</t>
        </is>
      </c>
      <c r="G37" s="48">
        <f>COUNTIFS(NR_Skills,"*"&amp;F37&amp;"*",NR_RoleCategory,IF(NR_F_Role="All","*",NR_F_Role),NR_Location,IF(NR_F_Loc="All","*",NR_F_Loc),NR_ExpLevel,IF(NR_F_Exp="All","*",NR_F_Exp),NR_WorkMode,IF(NR_F_WM="All","*",NR_F_WM),NR_Industry,IF(NR_F_Ind="All","*",NR_F_Ind),NR_DupFlag,"Unique")</f>
        <v/>
      </c>
    </row>
    <row r="38">
      <c r="A38" s="48" t="inlineStr">
        <is>
          <t>Engineer (Technical)</t>
        </is>
      </c>
      <c r="B38" s="49">
        <f>IFERROR(AVERAGEIFS(NR_SalaryMin,NR_RoleCategory,A38,NR_RoleCategory,IF(NR_F_Role="All","*",NR_F_Role),NR_Location,IF(NR_F_Loc="All","*",NR_F_Loc),NR_ExpLevel,IF(NR_F_Exp="All","*",NR_F_Exp),NR_WorkMode,IF(NR_F_WM="All","*",NR_F_WM),NR_Industry,IF(NR_F_Ind="All","*",NR_F_Ind),NR_DupFlag,"Unique"),"n/a")</f>
        <v/>
      </c>
      <c r="C38" s="49">
        <f>IFERROR(AVERAGEIFS(NR_SalaryMax,NR_RoleCategory,A38,NR_RoleCategory,IF(NR_F_Role="All","*",NR_F_Role),NR_Location,IF(NR_F_Loc="All","*",NR_F_Loc),NR_ExpLevel,IF(NR_F_Exp="All","*",NR_F_Exp),NR_WorkMode,IF(NR_F_WM="All","*",NR_F_WM),NR_Industry,IF(NR_F_Ind="All","*",NR_F_Ind),NR_DupFlag,"Unique"),"n/a")</f>
        <v/>
      </c>
      <c r="D38" s="49">
        <f>IFERROR(AVERAGEIFS(NR_AvgSalary,NR_RoleCategory,A38,NR_RoleCategory,IF(NR_F_Role="All","*",NR_F_Role),NR_Location,IF(NR_F_Loc="All","*",NR_F_Loc),NR_ExpLevel,IF(NR_F_Exp="All","*",NR_F_Exp),NR_WorkMode,IF(NR_F_WM="All","*",NR_F_WM),NR_Industry,IF(NR_F_Ind="All","*",NR_F_Ind),NR_DupFlag,"Unique"),"n/a")</f>
        <v/>
      </c>
      <c r="F38" s="48" t="inlineStr">
        <is>
          <t>Customer Service</t>
        </is>
      </c>
      <c r="G38" s="48">
        <f>COUNTIFS(NR_Skills,"*"&amp;F38&amp;"*",NR_RoleCategory,IF(NR_F_Role="All","*",NR_F_Role),NR_Location,IF(NR_F_Loc="All","*",NR_F_Loc),NR_ExpLevel,IF(NR_F_Exp="All","*",NR_F_Exp),NR_WorkMode,IF(NR_F_WM="All","*",NR_F_WM),NR_Industry,IF(NR_F_Ind="All","*",NR_F_Ind),NR_DupFlag,"Unique")</f>
        <v/>
      </c>
    </row>
    <row r="39">
      <c r="A39" s="48" t="inlineStr">
        <is>
          <t>Manager</t>
        </is>
      </c>
      <c r="B39" s="49">
        <f>IFERROR(AVERAGEIFS(NR_SalaryMin,NR_RoleCategory,A39,NR_RoleCategory,IF(NR_F_Role="All","*",NR_F_Role),NR_Location,IF(NR_F_Loc="All","*",NR_F_Loc),NR_ExpLevel,IF(NR_F_Exp="All","*",NR_F_Exp),NR_WorkMode,IF(NR_F_WM="All","*",NR_F_WM),NR_Industry,IF(NR_F_Ind="All","*",NR_F_Ind),NR_DupFlag,"Unique"),"n/a")</f>
        <v/>
      </c>
      <c r="C39" s="49">
        <f>IFERROR(AVERAGEIFS(NR_SalaryMax,NR_RoleCategory,A39,NR_RoleCategory,IF(NR_F_Role="All","*",NR_F_Role),NR_Location,IF(NR_F_Loc="All","*",NR_F_Loc),NR_ExpLevel,IF(NR_F_Exp="All","*",NR_F_Exp),NR_WorkMode,IF(NR_F_WM="All","*",NR_F_WM),NR_Industry,IF(NR_F_Ind="All","*",NR_F_Ind),NR_DupFlag,"Unique"),"n/a")</f>
        <v/>
      </c>
      <c r="D39" s="49">
        <f>IFERROR(AVERAGEIFS(NR_AvgSalary,NR_RoleCategory,A39,NR_RoleCategory,IF(NR_F_Role="All","*",NR_F_Role),NR_Location,IF(NR_F_Loc="All","*",NR_F_Loc),NR_ExpLevel,IF(NR_F_Exp="All","*",NR_F_Exp),NR_WorkMode,IF(NR_F_WM="All","*",NR_F_WM),NR_Industry,IF(NR_F_Ind="All","*",NR_F_Ind),NR_DupFlag,"Unique"),"n/a")</f>
        <v/>
      </c>
      <c r="F39" s="48" t="inlineStr">
        <is>
          <t>Accounting</t>
        </is>
      </c>
      <c r="G39" s="48">
        <f>COUNTIFS(NR_Skills,"*"&amp;F39&amp;"*",NR_RoleCategory,IF(NR_F_Role="All","*",NR_F_Role),NR_Location,IF(NR_F_Loc="All","*",NR_F_Loc),NR_ExpLevel,IF(NR_F_Exp="All","*",NR_F_Exp),NR_WorkMode,IF(NR_F_WM="All","*",NR_F_WM),NR_Industry,IF(NR_F_Ind="All","*",NR_F_Ind),NR_DupFlag,"Unique")</f>
        <v/>
      </c>
    </row>
    <row r="40">
      <c r="A40" s="48" t="inlineStr">
        <is>
          <t>Software Developer</t>
        </is>
      </c>
      <c r="B40" s="49">
        <f>IFERROR(AVERAGEIFS(NR_SalaryMin,NR_RoleCategory,A40,NR_RoleCategory,IF(NR_F_Role="All","*",NR_F_Role),NR_Location,IF(NR_F_Loc="All","*",NR_F_Loc),NR_ExpLevel,IF(NR_F_Exp="All","*",NR_F_Exp),NR_WorkMode,IF(NR_F_WM="All","*",NR_F_WM),NR_Industry,IF(NR_F_Ind="All","*",NR_F_Ind),NR_DupFlag,"Unique"),"n/a")</f>
        <v/>
      </c>
      <c r="C40" s="49">
        <f>IFERROR(AVERAGEIFS(NR_SalaryMax,NR_RoleCategory,A40,NR_RoleCategory,IF(NR_F_Role="All","*",NR_F_Role),NR_Location,IF(NR_F_Loc="All","*",NR_F_Loc),NR_ExpLevel,IF(NR_F_Exp="All","*",NR_F_Exp),NR_WorkMode,IF(NR_F_WM="All","*",NR_F_WM),NR_Industry,IF(NR_F_Ind="All","*",NR_F_Ind),NR_DupFlag,"Unique"),"n/a")</f>
        <v/>
      </c>
      <c r="D40" s="49">
        <f>IFERROR(AVERAGEIFS(NR_AvgSalary,NR_RoleCategory,A40,NR_RoleCategory,IF(NR_F_Role="All","*",NR_F_Role),NR_Location,IF(NR_F_Loc="All","*",NR_F_Loc),NR_ExpLevel,IF(NR_F_Exp="All","*",NR_F_Exp),NR_WorkMode,IF(NR_F_WM="All","*",NR_F_WM),NR_Industry,IF(NR_F_Ind="All","*",NR_F_Ind),NR_DupFlag,"Unique"),"n/a")</f>
        <v/>
      </c>
      <c r="F40" s="48" t="inlineStr">
        <is>
          <t>Lead Generation</t>
        </is>
      </c>
      <c r="G40" s="48">
        <f>COUNTIFS(NR_Skills,"*"&amp;F40&amp;"*",NR_RoleCategory,IF(NR_F_Role="All","*",NR_F_Role),NR_Location,IF(NR_F_Loc="All","*",NR_F_Loc),NR_ExpLevel,IF(NR_F_Exp="All","*",NR_F_Exp),NR_WorkMode,IF(NR_F_WM="All","*",NR_F_WM),NR_Industry,IF(NR_F_Ind="All","*",NR_F_Ind),NR_DupFlag,"Unique")</f>
        <v/>
      </c>
    </row>
    <row r="41">
      <c r="A41" s="48" t="inlineStr">
        <is>
          <t>Accountant / Finance</t>
        </is>
      </c>
      <c r="B41" s="49">
        <f>IFERROR(AVERAGEIFS(NR_SalaryMin,NR_RoleCategory,A41,NR_RoleCategory,IF(NR_F_Role="All","*",NR_F_Role),NR_Location,IF(NR_F_Loc="All","*",NR_F_Loc),NR_ExpLevel,IF(NR_F_Exp="All","*",NR_F_Exp),NR_WorkMode,IF(NR_F_WM="All","*",NR_F_WM),NR_Industry,IF(NR_F_Ind="All","*",NR_F_Ind),NR_DupFlag,"Unique"),"n/a")</f>
        <v/>
      </c>
      <c r="C41" s="49">
        <f>IFERROR(AVERAGEIFS(NR_SalaryMax,NR_RoleCategory,A41,NR_RoleCategory,IF(NR_F_Role="All","*",NR_F_Role),NR_Location,IF(NR_F_Loc="All","*",NR_F_Loc),NR_ExpLevel,IF(NR_F_Exp="All","*",NR_F_Exp),NR_WorkMode,IF(NR_F_WM="All","*",NR_F_WM),NR_Industry,IF(NR_F_Ind="All","*",NR_F_Ind),NR_DupFlag,"Unique"),"n/a")</f>
        <v/>
      </c>
      <c r="D41" s="49">
        <f>IFERROR(AVERAGEIFS(NR_AvgSalary,NR_RoleCategory,A41,NR_RoleCategory,IF(NR_F_Role="All","*",NR_F_Role),NR_Location,IF(NR_F_Loc="All","*",NR_F_Loc),NR_ExpLevel,IF(NR_F_Exp="All","*",NR_F_Exp),NR_WorkMode,IF(NR_F_WM="All","*",NR_F_WM),NR_Industry,IF(NR_F_Ind="All","*",NR_F_Ind),NR_DupFlag,"Unique"),"n/a")</f>
        <v/>
      </c>
      <c r="F41" s="48" t="inlineStr">
        <is>
          <t>Java</t>
        </is>
      </c>
      <c r="G41" s="48">
        <f>COUNTIFS(NR_Skills,"*"&amp;F41&amp;"*",NR_RoleCategory,IF(NR_F_Role="All","*",NR_F_Role),NR_Location,IF(NR_F_Loc="All","*",NR_F_Loc),NR_ExpLevel,IF(NR_F_Exp="All","*",NR_F_Exp),NR_WorkMode,IF(NR_F_WM="All","*",NR_F_WM),NR_Industry,IF(NR_F_Ind="All","*",NR_F_Ind),NR_DupFlag,"Unique")</f>
        <v/>
      </c>
    </row>
    <row r="42">
      <c r="A42" s="48" t="inlineStr">
        <is>
          <t>Customer Support</t>
        </is>
      </c>
      <c r="B42" s="49">
        <f>IFERROR(AVERAGEIFS(NR_SalaryMin,NR_RoleCategory,A42,NR_RoleCategory,IF(NR_F_Role="All","*",NR_F_Role),NR_Location,IF(NR_F_Loc="All","*",NR_F_Loc),NR_ExpLevel,IF(NR_F_Exp="All","*",NR_F_Exp),NR_WorkMode,IF(NR_F_WM="All","*",NR_F_WM),NR_Industry,IF(NR_F_Ind="All","*",NR_F_Ind),NR_DupFlag,"Unique"),"n/a")</f>
        <v/>
      </c>
      <c r="C42" s="49">
        <f>IFERROR(AVERAGEIFS(NR_SalaryMax,NR_RoleCategory,A42,NR_RoleCategory,IF(NR_F_Role="All","*",NR_F_Role),NR_Location,IF(NR_F_Loc="All","*",NR_F_Loc),NR_ExpLevel,IF(NR_F_Exp="All","*",NR_F_Exp),NR_WorkMode,IF(NR_F_WM="All","*",NR_F_WM),NR_Industry,IF(NR_F_Ind="All","*",NR_F_Ind),NR_DupFlag,"Unique"),"n/a")</f>
        <v/>
      </c>
      <c r="D42" s="49">
        <f>IFERROR(AVERAGEIFS(NR_AvgSalary,NR_RoleCategory,A42,NR_RoleCategory,IF(NR_F_Role="All","*",NR_F_Role),NR_Location,IF(NR_F_Loc="All","*",NR_F_Loc),NR_ExpLevel,IF(NR_F_Exp="All","*",NR_F_Exp),NR_WorkMode,IF(NR_F_WM="All","*",NR_F_WM),NR_Industry,IF(NR_F_Ind="All","*",NR_F_Ind),NR_DupFlag,"Unique"),"n/a")</f>
        <v/>
      </c>
      <c r="F42" s="48" t="inlineStr">
        <is>
          <t>Marketing</t>
        </is>
      </c>
      <c r="G42" s="48">
        <f>COUNTIFS(NR_Skills,"*"&amp;F42&amp;"*",NR_RoleCategory,IF(NR_F_Role="All","*",NR_F_Role),NR_Location,IF(NR_F_Loc="All","*",NR_F_Loc),NR_ExpLevel,IF(NR_F_Exp="All","*",NR_F_Exp),NR_WorkMode,IF(NR_F_WM="All","*",NR_F_WM),NR_Industry,IF(NR_F_Ind="All","*",NR_F_Ind),NR_DupFlag,"Unique")</f>
        <v/>
      </c>
    </row>
    <row r="43">
      <c r="A43" s="48" t="inlineStr">
        <is>
          <t>HR / Recruiter</t>
        </is>
      </c>
      <c r="B43" s="49">
        <f>IFERROR(AVERAGEIFS(NR_SalaryMin,NR_RoleCategory,A43,NR_RoleCategory,IF(NR_F_Role="All","*",NR_F_Role),NR_Location,IF(NR_F_Loc="All","*",NR_F_Loc),NR_ExpLevel,IF(NR_F_Exp="All","*",NR_F_Exp),NR_WorkMode,IF(NR_F_WM="All","*",NR_F_WM),NR_Industry,IF(NR_F_Ind="All","*",NR_F_Ind),NR_DupFlag,"Unique"),"n/a")</f>
        <v/>
      </c>
      <c r="C43" s="49">
        <f>IFERROR(AVERAGEIFS(NR_SalaryMax,NR_RoleCategory,A43,NR_RoleCategory,IF(NR_F_Role="All","*",NR_F_Role),NR_Location,IF(NR_F_Loc="All","*",NR_F_Loc),NR_ExpLevel,IF(NR_F_Exp="All","*",NR_F_Exp),NR_WorkMode,IF(NR_F_WM="All","*",NR_F_WM),NR_Industry,IF(NR_F_Ind="All","*",NR_F_Ind),NR_DupFlag,"Unique"),"n/a")</f>
        <v/>
      </c>
      <c r="D43" s="49">
        <f>IFERROR(AVERAGEIFS(NR_AvgSalary,NR_RoleCategory,A43,NR_RoleCategory,IF(NR_F_Role="All","*",NR_F_Role),NR_Location,IF(NR_F_Loc="All","*",NR_F_Loc),NR_ExpLevel,IF(NR_F_Exp="All","*",NR_F_Exp),NR_WorkMode,IF(NR_F_WM="All","*",NR_F_WM),NR_Industry,IF(NR_F_Ind="All","*",NR_F_Ind),NR_DupFlag,"Unique"),"n/a")</f>
        <v/>
      </c>
      <c r="F43" s="48" t="inlineStr">
        <is>
          <t>Business Development</t>
        </is>
      </c>
      <c r="G43" s="48">
        <f>COUNTIFS(NR_Skills,"*"&amp;F43&amp;"*",NR_RoleCategory,IF(NR_F_Role="All","*",NR_F_Role),NR_Location,IF(NR_F_Loc="All","*",NR_F_Loc),NR_ExpLevel,IF(NR_F_Exp="All","*",NR_F_Exp),NR_WorkMode,IF(NR_F_WM="All","*",NR_F_WM),NR_Industry,IF(NR_F_Ind="All","*",NR_F_Ind),NR_DupFlag,"Unique")</f>
        <v/>
      </c>
    </row>
    <row r="44">
      <c r="A44" s="48" t="inlineStr">
        <is>
          <t>Business Development</t>
        </is>
      </c>
      <c r="B44" s="49">
        <f>IFERROR(AVERAGEIFS(NR_SalaryMin,NR_RoleCategory,A44,NR_RoleCategory,IF(NR_F_Role="All","*",NR_F_Role),NR_Location,IF(NR_F_Loc="All","*",NR_F_Loc),NR_ExpLevel,IF(NR_F_Exp="All","*",NR_F_Exp),NR_WorkMode,IF(NR_F_WM="All","*",NR_F_WM),NR_Industry,IF(NR_F_Ind="All","*",NR_F_Ind),NR_DupFlag,"Unique"),"n/a")</f>
        <v/>
      </c>
      <c r="C44" s="49">
        <f>IFERROR(AVERAGEIFS(NR_SalaryMax,NR_RoleCategory,A44,NR_RoleCategory,IF(NR_F_Role="All","*",NR_F_Role),NR_Location,IF(NR_F_Loc="All","*",NR_F_Loc),NR_ExpLevel,IF(NR_F_Exp="All","*",NR_F_Exp),NR_WorkMode,IF(NR_F_WM="All","*",NR_F_WM),NR_Industry,IF(NR_F_Ind="All","*",NR_F_Ind),NR_DupFlag,"Unique"),"n/a")</f>
        <v/>
      </c>
      <c r="D44" s="49">
        <f>IFERROR(AVERAGEIFS(NR_AvgSalary,NR_RoleCategory,A44,NR_RoleCategory,IF(NR_F_Role="All","*",NR_F_Role),NR_Location,IF(NR_F_Loc="All","*",NR_F_Loc),NR_ExpLevel,IF(NR_F_Exp="All","*",NR_F_Exp),NR_WorkMode,IF(NR_F_WM="All","*",NR_F_WM),NR_Industry,IF(NR_F_Ind="All","*",NR_F_Ind),NR_DupFlag,"Unique"),"n/a")</f>
        <v/>
      </c>
      <c r="F44" s="48" t="inlineStr">
        <is>
          <t>Team Handling</t>
        </is>
      </c>
      <c r="G44" s="48">
        <f>COUNTIFS(NR_Skills,"*"&amp;F44&amp;"*",NR_RoleCategory,IF(NR_F_Role="All","*",NR_F_Role),NR_Location,IF(NR_F_Loc="All","*",NR_F_Loc),NR_ExpLevel,IF(NR_F_Exp="All","*",NR_F_Exp),NR_WorkMode,IF(NR_F_WM="All","*",NR_F_WM),NR_Industry,IF(NR_F_Ind="All","*",NR_F_Ind),NR_DupFlag,"Unique")</f>
        <v/>
      </c>
    </row>
    <row r="45">
      <c r="A45" s="48" t="inlineStr">
        <is>
          <t>Teacher / Trainer</t>
        </is>
      </c>
      <c r="B45" s="49">
        <f>IFERROR(AVERAGEIFS(NR_SalaryMin,NR_RoleCategory,A45,NR_RoleCategory,IF(NR_F_Role="All","*",NR_F_Role),NR_Location,IF(NR_F_Loc="All","*",NR_F_Loc),NR_ExpLevel,IF(NR_F_Exp="All","*",NR_F_Exp),NR_WorkMode,IF(NR_F_WM="All","*",NR_F_WM),NR_Industry,IF(NR_F_Ind="All","*",NR_F_Ind),NR_DupFlag,"Unique"),"n/a")</f>
        <v/>
      </c>
      <c r="C45" s="49">
        <f>IFERROR(AVERAGEIFS(NR_SalaryMax,NR_RoleCategory,A45,NR_RoleCategory,IF(NR_F_Role="All","*",NR_F_Role),NR_Location,IF(NR_F_Loc="All","*",NR_F_Loc),NR_ExpLevel,IF(NR_F_Exp="All","*",NR_F_Exp),NR_WorkMode,IF(NR_F_WM="All","*",NR_F_WM),NR_Industry,IF(NR_F_Ind="All","*",NR_F_Ind),NR_DupFlag,"Unique"),"n/a")</f>
        <v/>
      </c>
      <c r="D45" s="49">
        <f>IFERROR(AVERAGEIFS(NR_AvgSalary,NR_RoleCategory,A45,NR_RoleCategory,IF(NR_F_Role="All","*",NR_F_Role),NR_Location,IF(NR_F_Loc="All","*",NR_F_Loc),NR_ExpLevel,IF(NR_F_Exp="All","*",NR_F_Exp),NR_WorkMode,IF(NR_F_WM="All","*",NR_F_WM),NR_Industry,IF(NR_F_Ind="All","*",NR_F_Ind),NR_DupFlag,"Unique"),"n/a")</f>
        <v/>
      </c>
      <c r="F45" s="48" t="inlineStr">
        <is>
          <t>Communication Skills</t>
        </is>
      </c>
      <c r="G45" s="48">
        <f>COUNTIFS(NR_Skills,"*"&amp;F45&amp;"*",NR_RoleCategory,IF(NR_F_Role="All","*",NR_F_Role),NR_Location,IF(NR_F_Loc="All","*",NR_F_Loc),NR_ExpLevel,IF(NR_F_Exp="All","*",NR_F_Exp),NR_WorkMode,IF(NR_F_WM="All","*",NR_F_WM),NR_Industry,IF(NR_F_Ind="All","*",NR_F_Ind),NR_DupFlag,"Unique")</f>
        <v/>
      </c>
    </row>
    <row r="46">
      <c r="A46" s="48" t="inlineStr">
        <is>
          <t>Marketing Executive</t>
        </is>
      </c>
      <c r="B46" s="49">
        <f>IFERROR(AVERAGEIFS(NR_SalaryMin,NR_RoleCategory,A46,NR_RoleCategory,IF(NR_F_Role="All","*",NR_F_Role),NR_Location,IF(NR_F_Loc="All","*",NR_F_Loc),NR_ExpLevel,IF(NR_F_Exp="All","*",NR_F_Exp),NR_WorkMode,IF(NR_F_WM="All","*",NR_F_WM),NR_Industry,IF(NR_F_Ind="All","*",NR_F_Ind),NR_DupFlag,"Unique"),"n/a")</f>
        <v/>
      </c>
      <c r="C46" s="49">
        <f>IFERROR(AVERAGEIFS(NR_SalaryMax,NR_RoleCategory,A46,NR_RoleCategory,IF(NR_F_Role="All","*",NR_F_Role),NR_Location,IF(NR_F_Loc="All","*",NR_F_Loc),NR_ExpLevel,IF(NR_F_Exp="All","*",NR_F_Exp),NR_WorkMode,IF(NR_F_WM="All","*",NR_F_WM),NR_Industry,IF(NR_F_Ind="All","*",NR_F_Ind),NR_DupFlag,"Unique"),"n/a")</f>
        <v/>
      </c>
      <c r="D46" s="49">
        <f>IFERROR(AVERAGEIFS(NR_AvgSalary,NR_RoleCategory,A46,NR_RoleCategory,IF(NR_F_Role="All","*",NR_F_Role),NR_Location,IF(NR_F_Loc="All","*",NR_F_Loc),NR_ExpLevel,IF(NR_F_Exp="All","*",NR_F_Exp),NR_WorkMode,IF(NR_F_WM="All","*",NR_F_WM),NR_Industry,IF(NR_F_Ind="All","*",NR_F_Ind),NR_DupFlag,"Unique"),"n/a")</f>
        <v/>
      </c>
      <c r="F46" s="48" t="inlineStr">
        <is>
          <t>BPO</t>
        </is>
      </c>
      <c r="G46" s="48">
        <f>COUNTIFS(NR_Skills,"*"&amp;F46&amp;"*",NR_RoleCategory,IF(NR_F_Role="All","*",NR_F_Role),NR_Location,IF(NR_F_Loc="All","*",NR_F_Loc),NR_ExpLevel,IF(NR_F_Exp="All","*",NR_F_Exp),NR_WorkMode,IF(NR_F_WM="All","*",NR_F_WM),NR_Industry,IF(NR_F_Ind="All","*",NR_F_Ind),NR_DupFlag,"Unique")</f>
        <v/>
      </c>
    </row>
    <row r="47">
      <c r="A47" s="48" t="inlineStr">
        <is>
          <t>Healthcare</t>
        </is>
      </c>
      <c r="B47" s="49">
        <f>IFERROR(AVERAGEIFS(NR_SalaryMin,NR_RoleCategory,A47,NR_RoleCategory,IF(NR_F_Role="All","*",NR_F_Role),NR_Location,IF(NR_F_Loc="All","*",NR_F_Loc),NR_ExpLevel,IF(NR_F_Exp="All","*",NR_F_Exp),NR_WorkMode,IF(NR_F_WM="All","*",NR_F_WM),NR_Industry,IF(NR_F_Ind="All","*",NR_F_Ind),NR_DupFlag,"Unique"),"n/a")</f>
        <v/>
      </c>
      <c r="C47" s="49">
        <f>IFERROR(AVERAGEIFS(NR_SalaryMax,NR_RoleCategory,A47,NR_RoleCategory,IF(NR_F_Role="All","*",NR_F_Role),NR_Location,IF(NR_F_Loc="All","*",NR_F_Loc),NR_ExpLevel,IF(NR_F_Exp="All","*",NR_F_Exp),NR_WorkMode,IF(NR_F_WM="All","*",NR_F_WM),NR_Industry,IF(NR_F_Ind="All","*",NR_F_Ind),NR_DupFlag,"Unique"),"n/a")</f>
        <v/>
      </c>
      <c r="D47" s="49">
        <f>IFERROR(AVERAGEIFS(NR_AvgSalary,NR_RoleCategory,A47,NR_RoleCategory,IF(NR_F_Role="All","*",NR_F_Role),NR_Location,IF(NR_F_Loc="All","*",NR_F_Loc),NR_ExpLevel,IF(NR_F_Exp="All","*",NR_F_Exp),NR_WorkMode,IF(NR_F_WM="All","*",NR_F_WM),NR_Industry,IF(NR_F_Ind="All","*",NR_F_Ind),NR_DupFlag,"Unique"),"n/a")</f>
        <v/>
      </c>
      <c r="F47" s="48" t="inlineStr">
        <is>
          <t>Data Analysis</t>
        </is>
      </c>
      <c r="G47" s="48">
        <f>COUNTIFS(NR_Skills,"*"&amp;F47&amp;"*",NR_RoleCategory,IF(NR_F_Role="All","*",NR_F_Role),NR_Location,IF(NR_F_Loc="All","*",NR_F_Loc),NR_ExpLevel,IF(NR_F_Exp="All","*",NR_F_Exp),NR_WorkMode,IF(NR_F_WM="All","*",NR_F_WM),NR_Industry,IF(NR_F_Ind="All","*",NR_F_Ind),NR_DupFlag,"Unique")</f>
        <v/>
      </c>
    </row>
    <row r="48">
      <c r="A48" s="48" t="inlineStr">
        <is>
          <t>Data Analyst</t>
        </is>
      </c>
      <c r="B48" s="49">
        <f>IFERROR(AVERAGEIFS(NR_SalaryMin,NR_RoleCategory,A48,NR_RoleCategory,IF(NR_F_Role="All","*",NR_F_Role),NR_Location,IF(NR_F_Loc="All","*",NR_F_Loc),NR_ExpLevel,IF(NR_F_Exp="All","*",NR_F_Exp),NR_WorkMode,IF(NR_F_WM="All","*",NR_F_WM),NR_Industry,IF(NR_F_Ind="All","*",NR_F_Ind),NR_DupFlag,"Unique"),"n/a")</f>
        <v/>
      </c>
      <c r="C48" s="49">
        <f>IFERROR(AVERAGEIFS(NR_SalaryMax,NR_RoleCategory,A48,NR_RoleCategory,IF(NR_F_Role="All","*",NR_F_Role),NR_Location,IF(NR_F_Loc="All","*",NR_F_Loc),NR_ExpLevel,IF(NR_F_Exp="All","*",NR_F_Exp),NR_WorkMode,IF(NR_F_WM="All","*",NR_F_WM),NR_Industry,IF(NR_F_Ind="All","*",NR_F_Ind),NR_DupFlag,"Unique"),"n/a")</f>
        <v/>
      </c>
      <c r="D48" s="49">
        <f>IFERROR(AVERAGEIFS(NR_AvgSalary,NR_RoleCategory,A48,NR_RoleCategory,IF(NR_F_Role="All","*",NR_F_Role),NR_Location,IF(NR_F_Loc="All","*",NR_F_Loc),NR_ExpLevel,IF(NR_F_Exp="All","*",NR_F_Exp),NR_WorkMode,IF(NR_F_WM="All","*",NR_F_WM),NR_Industry,IF(NR_F_Ind="All","*",NR_F_Ind),NR_DupFlag,"Unique"),"n/a")</f>
        <v/>
      </c>
      <c r="F48" s="48" t="inlineStr">
        <is>
          <t>AutoCAD</t>
        </is>
      </c>
      <c r="G48" s="48">
        <f>COUNTIFS(NR_Skills,"*"&amp;F48&amp;"*",NR_RoleCategory,IF(NR_F_Role="All","*",NR_F_Role),NR_Location,IF(NR_F_Loc="All","*",NR_F_Loc),NR_ExpLevel,IF(NR_F_Exp="All","*",NR_F_Exp),NR_WorkMode,IF(NR_F_WM="All","*",NR_F_WM),NR_Industry,IF(NR_F_Ind="All","*",NR_F_Ind),NR_DupFlag,"Unique")</f>
        <v/>
      </c>
    </row>
    <row r="49">
      <c r="A49" s="48" t="inlineStr">
        <is>
          <t>Other</t>
        </is>
      </c>
      <c r="B49" s="49">
        <f>IFERROR(AVERAGEIFS(NR_SalaryMin,NR_RoleCategory,A49,NR_RoleCategory,IF(NR_F_Role="All","*",NR_F_Role),NR_Location,IF(NR_F_Loc="All","*",NR_F_Loc),NR_ExpLevel,IF(NR_F_Exp="All","*",NR_F_Exp),NR_WorkMode,IF(NR_F_WM="All","*",NR_F_WM),NR_Industry,IF(NR_F_Ind="All","*",NR_F_Ind),NR_DupFlag,"Unique"),"n/a")</f>
        <v/>
      </c>
      <c r="C49" s="49">
        <f>IFERROR(AVERAGEIFS(NR_SalaryMax,NR_RoleCategory,A49,NR_RoleCategory,IF(NR_F_Role="All","*",NR_F_Role),NR_Location,IF(NR_F_Loc="All","*",NR_F_Loc),NR_ExpLevel,IF(NR_F_Exp="All","*",NR_F_Exp),NR_WorkMode,IF(NR_F_WM="All","*",NR_F_WM),NR_Industry,IF(NR_F_Ind="All","*",NR_F_Ind),NR_DupFlag,"Unique"),"n/a")</f>
        <v/>
      </c>
      <c r="D49" s="49">
        <f>IFERROR(AVERAGEIFS(NR_AvgSalary,NR_RoleCategory,A49,NR_RoleCategory,IF(NR_F_Role="All","*",NR_F_Role),NR_Location,IF(NR_F_Loc="All","*",NR_F_Loc),NR_ExpLevel,IF(NR_F_Exp="All","*",NR_F_Exp),NR_WorkMode,IF(NR_F_WM="All","*",NR_F_WM),NR_Industry,IF(NR_F_Ind="All","*",NR_F_Ind),NR_DupFlag,"Unique"),"n/a")</f>
        <v/>
      </c>
    </row>
  </sheetData>
  <mergeCells count="2">
    <mergeCell ref="A2:H2"/>
    <mergeCell ref="A1:H1"/>
  </mergeCells>
  <conditionalFormatting sqref="B5:B17">
    <cfRule type="colorScale" priority="1">
      <colorScale>
        <cfvo type="min"/>
        <cfvo type="max"/>
        <color rgb="FFFFFFFF"/>
        <color rgb="FF2E75B6"/>
      </colorScale>
    </cfRule>
  </conditionalFormatting>
  <conditionalFormatting sqref="E5:E24">
    <cfRule type="colorScale" priority="2">
      <colorScale>
        <cfvo type="min"/>
        <cfvo type="max"/>
        <color rgb="FFFFFFFF"/>
        <color rgb="FF2E75B6"/>
      </colorScale>
    </cfRule>
  </conditionalFormatting>
  <conditionalFormatting sqref="H5:H20">
    <cfRule type="colorScale" priority="3">
      <colorScale>
        <cfvo type="min"/>
        <cfvo type="max"/>
        <color rgb="FFFFFFFF"/>
        <color rgb="FF2E75B6"/>
      </colorScale>
    </cfRule>
  </conditionalFormatting>
  <pageMargins left="0.75" right="0.75" top="1" bottom="1" header="0.5" footer="0.5"/>
  <pageSetup orientation="landscape" paperSize="1"/>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5.xml><?xml version="1.0" encoding="utf-8"?>
<worksheet xmlns="http://schemas.openxmlformats.org/spreadsheetml/2006/main">
  <sheetPr>
    <tabColor rgb="FF1F3864"/>
    <outlinePr summaryBelow="1" summaryRight="1"/>
    <pageSetUpPr fitToPage="1"/>
  </sheetPr>
  <dimension ref="A1:R9"/>
  <sheetViews>
    <sheetView showGridLines="0" tabSelected="1" zoomScale="90" zoomScaleNormal="90" workbookViewId="0">
      <selection activeCell="B4" sqref="B4:C4"/>
    </sheetView>
  </sheetViews>
  <sheetFormatPr baseColWidth="8" defaultColWidth="9" defaultRowHeight="14.5"/>
  <cols>
    <col width="9" customWidth="1" min="1" max="18"/>
  </cols>
  <sheetData>
    <row r="1" ht="26" customHeight="1">
      <c r="A1" s="1" t="inlineStr">
        <is>
          <t>Job Market Analysis Dashboard</t>
        </is>
      </c>
    </row>
    <row r="2" ht="12" customHeight="1"/>
    <row r="3" ht="14" customHeight="1">
      <c r="A3" s="2" t="inlineStr">
        <is>
          <t>Job Role</t>
        </is>
      </c>
      <c r="D3" s="2" t="inlineStr">
        <is>
          <t>Location</t>
        </is>
      </c>
      <c r="G3" s="2" t="inlineStr">
        <is>
          <t>Experience</t>
        </is>
      </c>
      <c r="J3" s="2" t="inlineStr">
        <is>
          <t>Work Mode</t>
        </is>
      </c>
      <c r="M3" s="2" t="inlineStr">
        <is>
          <t>Industry</t>
        </is>
      </c>
    </row>
    <row r="4" ht="20" customHeight="1">
      <c r="B4" s="57" t="inlineStr">
        <is>
          <t>All</t>
        </is>
      </c>
      <c r="E4" s="57" t="inlineStr">
        <is>
          <t>All</t>
        </is>
      </c>
      <c r="H4" s="57" t="inlineStr">
        <is>
          <t>All</t>
        </is>
      </c>
      <c r="K4" s="57" t="inlineStr">
        <is>
          <t>All</t>
        </is>
      </c>
      <c r="N4" s="57" t="inlineStr">
        <is>
          <t>All</t>
        </is>
      </c>
    </row>
    <row r="5" ht="8" customHeight="1"/>
    <row r="6" ht="16" customHeight="1">
      <c r="A6" s="4" t="inlineStr">
        <is>
          <t>Total Jobs</t>
        </is>
      </c>
      <c r="B6" s="5" t="n"/>
      <c r="D6" s="6" t="inlineStr">
        <is>
          <t>Average Salary</t>
        </is>
      </c>
      <c r="E6" s="7" t="n"/>
      <c r="G6" s="8" t="inlineStr">
        <is>
          <t>Most In-Demand Role</t>
        </is>
      </c>
      <c r="H6" s="9" t="n"/>
      <c r="J6" s="10" t="inlineStr">
        <is>
          <t>Most Common Location</t>
        </is>
      </c>
      <c r="K6" s="11" t="n"/>
      <c r="M6" s="12" t="inlineStr">
        <is>
          <t>Remote Job %</t>
        </is>
      </c>
      <c r="N6" s="13" t="n"/>
    </row>
    <row r="7" ht="18" customHeight="1">
      <c r="A7" s="14">
        <f>COUNTIFS(NR_RoleCategory,IF(NR_F_Role="All","*",NR_F_Role),NR_Location,IF(NR_F_Loc="All","*",NR_F_Loc),NR_ExpLevel,IF(NR_F_Exp="All","*",NR_F_Exp),NR_WorkMode,IF(NR_F_WM="All","*",NR_F_WM),NR_Industry,IF(NR_F_Ind="All","*",NR_F_Ind),NR_DupFlag,"Unique")</f>
        <v/>
      </c>
      <c r="B7" s="15" t="n"/>
      <c r="D7" s="58">
        <f>AVERAGEIFS(NR_AvgSalary,NR_RoleCategory,IF(NR_F_Role="All","*",NR_F_Role),NR_Location,IF(NR_F_Loc="All","*",NR_F_Loc),NR_ExpLevel,IF(NR_F_Exp="All","*",NR_F_Exp),NR_WorkMode,IF(NR_F_WM="All","*",NR_F_WM),NR_Industry,IF(NR_F_Ind="All","*",NR_F_Ind),NR_DupFlag,"Unique")</f>
        <v/>
      </c>
      <c r="E7" s="17" t="n"/>
      <c r="G7" s="18">
        <f>INDEX(Analysis!A5:A16,MATCH(MAX(Analysis!B5:B16),Analysis!B5:B16,0))</f>
        <v/>
      </c>
      <c r="H7" s="19" t="n"/>
      <c r="J7" s="20">
        <f>INDEX(Analysis!D5:D24,MATCH(MAX(Analysis!E5:E24),Analysis!E5:E24,0))</f>
        <v/>
      </c>
      <c r="K7" s="21" t="n"/>
      <c r="M7" s="59">
        <f>COUNTIFS(NR_WorkMode,"Remote",NR_RoleCategory,IF(NR_F_Role="All","*",NR_F_Role),NR_Location,IF(NR_F_Loc="All","*",NR_F_Loc),NR_ExpLevel,IF(NR_F_Exp="All","*",NR_F_Exp),NR_WorkMode,IF(NR_F_WM="All","*",NR_F_WM),NR_Industry,IF(NR_F_Ind="All","*",NR_F_Ind),NR_DupFlag,"Unique")/COUNTIFS(NR_RoleCategory,IF(NR_F_Role="All","*",NR_F_Role),NR_Location,IF(NR_F_Loc="All","*",NR_F_Loc),NR_ExpLevel,IF(NR_F_Exp="All","*",NR_F_Exp),NR_WorkMode,IF(NR_F_WM="All","*",NR_F_WM),NR_Industry,IF(NR_F_Ind="All","*",NR_F_Ind),NR_DupFlag,"Unique")</f>
        <v/>
      </c>
      <c r="N7" s="23" t="n"/>
    </row>
    <row r="8" ht="18" customHeight="1">
      <c r="A8" s="24" t="n"/>
      <c r="B8" s="25" t="n"/>
      <c r="D8" s="26" t="n"/>
      <c r="E8" s="27" t="n"/>
      <c r="G8" s="28" t="n"/>
      <c r="H8" s="29" t="n"/>
      <c r="J8" s="30" t="n"/>
      <c r="K8" s="31" t="n"/>
      <c r="M8" s="32" t="n"/>
      <c r="N8" s="33" t="n"/>
    </row>
    <row r="9" ht="18" customHeight="1">
      <c r="A9" s="34" t="n"/>
      <c r="B9" s="35" t="n"/>
      <c r="D9" s="36" t="n"/>
      <c r="E9" s="37" t="n"/>
      <c r="G9" s="38" t="n"/>
      <c r="H9" s="39" t="n"/>
      <c r="J9" s="40" t="n"/>
      <c r="K9" s="41" t="n"/>
      <c r="M9" s="42" t="n"/>
      <c r="N9" s="43" t="n"/>
    </row>
  </sheetData>
  <mergeCells count="16">
    <mergeCell ref="D6:E6"/>
    <mergeCell ref="E4:F4"/>
    <mergeCell ref="J7:K9"/>
    <mergeCell ref="M7:N9"/>
    <mergeCell ref="M6:N6"/>
    <mergeCell ref="J6:K6"/>
    <mergeCell ref="K4:L4"/>
    <mergeCell ref="D7:E9"/>
    <mergeCell ref="B4:C4"/>
    <mergeCell ref="N4:O4"/>
    <mergeCell ref="H4:I4"/>
    <mergeCell ref="A1:R2"/>
    <mergeCell ref="G6:H6"/>
    <mergeCell ref="A6:B6"/>
    <mergeCell ref="A7:B9"/>
    <mergeCell ref="G7:H9"/>
  </mergeCells>
  <dataValidations count="5">
    <dataValidation sqref="B4" showDropDown="0" showInputMessage="0" showErrorMessage="0" allowBlank="0" errorTitle="Invalid filter" error="Please choose a value from the dropdown." promptTitle="Dashboard Filter" prompt="Select a filter value." type="list">
      <formula1>'Filter_Lists'!$A$2:$A$436</formula1>
    </dataValidation>
    <dataValidation sqref="E4" showDropDown="0" showInputMessage="0" showErrorMessage="0" allowBlank="0" errorTitle="Invalid filter" error="Please choose a value from the dropdown." promptTitle="Dashboard Filter" prompt="Select a filter value." type="list">
      <formula1>'Filter_Lists'!$B$2:$B$436</formula1>
    </dataValidation>
    <dataValidation sqref="H4" showDropDown="0" showInputMessage="0" showErrorMessage="0" allowBlank="0" errorTitle="Invalid filter" error="Please choose a value from the dropdown." promptTitle="Dashboard Filter" prompt="Select a filter value." type="list">
      <formula1>'Filter_Lists'!$C$2:$C$436</formula1>
    </dataValidation>
    <dataValidation sqref="K4" showDropDown="0" showInputMessage="0" showErrorMessage="0" allowBlank="0" errorTitle="Invalid filter" error="Please choose a value from the dropdown." promptTitle="Dashboard Filter" prompt="Select a filter value." type="list">
      <formula1>'Filter_Lists'!$D$2:$D$436</formula1>
    </dataValidation>
    <dataValidation sqref="N4" showDropDown="0" showInputMessage="0" showErrorMessage="0" allowBlank="0" errorTitle="Invalid filter" error="Please choose a value from the dropdown." promptTitle="Dashboard Filter" prompt="Select a filter value." type="list">
      <formula1>'Filter_Lists'!$E$2:$E$436</formula1>
    </dataValidation>
  </dataValidations>
  <pageMargins left="0.75" right="0.75" top="1" bottom="1" header="0.5" footer="0.5"/>
  <pageSetup orientation="landscape" paperSize="1"/>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t="inlineStr">
        <is>
          <t>Job Role</t>
        </is>
      </c>
      <c r="B1" t="inlineStr">
        <is>
          <t>Location</t>
        </is>
      </c>
      <c r="C1" t="inlineStr">
        <is>
          <t>Experience</t>
        </is>
      </c>
      <c r="D1" t="inlineStr">
        <is>
          <t>Work Mode</t>
        </is>
      </c>
      <c r="E1" t="inlineStr">
        <is>
          <t>Industry</t>
        </is>
      </c>
    </row>
    <row r="2">
      <c r="A2" t="inlineStr">
        <is>
          <t>All</t>
        </is>
      </c>
      <c r="B2" t="inlineStr">
        <is>
          <t>All</t>
        </is>
      </c>
      <c r="C2" t="inlineStr">
        <is>
          <t>All</t>
        </is>
      </c>
      <c r="D2" t="inlineStr">
        <is>
          <t>All</t>
        </is>
      </c>
      <c r="E2" t="inlineStr">
        <is>
          <t>All</t>
        </is>
      </c>
    </row>
    <row r="3">
      <c r="A3">
        <f>_xlfn.IFS(ISNUMBER(SEARCH("data analy",B100)),"Data Analyst",ISNUMBER(SEARCH("business analy",B100)),"Business Analyst",OR(ISNUMBER(SEARCH("developer",B100)),ISNUMBER(SEARCH("software engineer",B100)),ISNUMBER(SEARCH("programmer",B100))),"Software Developer",ISNUMBER(SEARCH("business development",B100)),"Business Development",ISNUMBER(SEARCH("sales",B100)),"Sales Executive",ISNUMBER(SEARCH("marketing",B100)),"Marketing Executive",OR(ISNUMBER(SEARCH("hr ",B100)),ISNUMBER(SEARCH("recruit",B100)),ISNUMBER(SEARCH("human resource",B100))),"HR / Recruiter",OR(ISNUMBER(SEARCH("account",B100)),ISNUMBER(SEARCH("finance",B100)),ISNUMBER(SEARCH("tax",B100)),ISNUMBER(SEARCH("audit",B100))),"Accountant / Finance",OR(ISNUMBER(SEARCH("customer service",B100)),ISNUMBER(SEARCH("customer support",B100)),ISNUMBER(SEARCH("customer care",B100)),ISNUMBER(SEARCH("voice process",B100)),ISNUMBER(SEARCH("bpo",B100))),"Customer Support",ISNUMBER(SEARCH("engineer",B100)),"Engineer (Technical)",ISNUMBER(SEARCH("manager",B100)),"Manager",OR(ISNUMBER(SEARCH("teacher",B100)),ISNUMBER(SEARCH("trainer",B100)),ISNUMBER(SEARCH("faculty",B100))),"Teacher / Trainer",OR(ISNUMBER(SEARCH("doctor",B100)),ISNUMBER(SEARCH("nurse",B100)),ISNUMBER(SEARCH("medical",B100)),ISNUMBER(SEARCH("pharma",B100)),ISNUMBER(SEARCH("clinical",B100))),"Healthcare",TRUE,"Other")</f>
        <v/>
      </c>
      <c r="B3">
        <f>IF(PROPER(TRIM(Raw_Data!D10))="Bangalore","Bengaluru",IF(PROPER(TRIM(Raw_Data!D10))="Gurgaon","Gurugram",IF(OR(PROPER(TRIM(Raw_Data!D10))="New Delhi",PROPER(TRIM(Raw_Data!D10))="Delhi"),"Delhi",PROPER(TRIM(Raw_Data!D10)))))</f>
        <v/>
      </c>
      <c r="C3">
        <f>IF(TRIM(Raw_Data!F10&amp;"")="","Not Specified",Raw_Data!F10)</f>
        <v/>
      </c>
      <c r="D3">
        <f>Raw_Data!H10</f>
        <v/>
      </c>
      <c r="E3">
        <f>Raw_Data!E10</f>
        <v/>
      </c>
    </row>
    <row r="4">
      <c r="A4">
        <f>_xlfn.IFS(ISNUMBER(SEARCH("data analy",B101)),"Data Analyst",ISNUMBER(SEARCH("business analy",B101)),"Business Analyst",OR(ISNUMBER(SEARCH("developer",B101)),ISNUMBER(SEARCH("software engineer",B101)),ISNUMBER(SEARCH("programmer",B101))),"Software Developer",ISNUMBER(SEARCH("business development",B101)),"Business Development",ISNUMBER(SEARCH("sales",B101)),"Sales Executive",ISNUMBER(SEARCH("marketing",B101)),"Marketing Executive",OR(ISNUMBER(SEARCH("hr ",B101)),ISNUMBER(SEARCH("recruit",B101)),ISNUMBER(SEARCH("human resource",B101))),"HR / Recruiter",OR(ISNUMBER(SEARCH("account",B101)),ISNUMBER(SEARCH("finance",B101)),ISNUMBER(SEARCH("tax",B101)),ISNUMBER(SEARCH("audit",B101))),"Accountant / Finance",OR(ISNUMBER(SEARCH("customer service",B101)),ISNUMBER(SEARCH("customer support",B101)),ISNUMBER(SEARCH("customer care",B101)),ISNUMBER(SEARCH("voice process",B101)),ISNUMBER(SEARCH("bpo",B101))),"Customer Support",ISNUMBER(SEARCH("engineer",B101)),"Engineer (Technical)",ISNUMBER(SEARCH("manager",B101)),"Manager",OR(ISNUMBER(SEARCH("teacher",B101)),ISNUMBER(SEARCH("trainer",B101)),ISNUMBER(SEARCH("faculty",B101))),"Teacher / Trainer",OR(ISNUMBER(SEARCH("doctor",B101)),ISNUMBER(SEARCH("nurse",B101)),ISNUMBER(SEARCH("medical",B101)),ISNUMBER(SEARCH("pharma",B101)),ISNUMBER(SEARCH("clinical",B101))),"Healthcare",TRUE,"Other")</f>
        <v/>
      </c>
      <c r="B4">
        <f>IF(PROPER(TRIM(Raw_Data!D100))="Bangalore","Bengaluru",IF(PROPER(TRIM(Raw_Data!D100))="Gurgaon","Gurugram",IF(OR(PROPER(TRIM(Raw_Data!D100))="New Delhi",PROPER(TRIM(Raw_Data!D100))="Delhi"),"Delhi",PROPER(TRIM(Raw_Data!D100)))))</f>
        <v/>
      </c>
      <c r="C4">
        <f>IF(TRIM(Raw_Data!F100&amp;"")="","Not Specified",Raw_Data!F100)</f>
        <v/>
      </c>
      <c r="D4">
        <f>Raw_Data!H100</f>
        <v/>
      </c>
      <c r="E4">
        <f>Raw_Data!E100</f>
        <v/>
      </c>
    </row>
    <row r="5">
      <c r="A5">
        <f>_xlfn.IFS(ISNUMBER(SEARCH("data analy",B102)),"Data Analyst",ISNUMBER(SEARCH("business analy",B102)),"Business Analyst",OR(ISNUMBER(SEARCH("developer",B102)),ISNUMBER(SEARCH("software engineer",B102)),ISNUMBER(SEARCH("programmer",B102))),"Software Developer",ISNUMBER(SEARCH("business development",B102)),"Business Development",ISNUMBER(SEARCH("sales",B102)),"Sales Executive",ISNUMBER(SEARCH("marketing",B102)),"Marketing Executive",OR(ISNUMBER(SEARCH("hr ",B102)),ISNUMBER(SEARCH("recruit",B102)),ISNUMBER(SEARCH("human resource",B102))),"HR / Recruiter",OR(ISNUMBER(SEARCH("account",B102)),ISNUMBER(SEARCH("finance",B102)),ISNUMBER(SEARCH("tax",B102)),ISNUMBER(SEARCH("audit",B102))),"Accountant / Finance",OR(ISNUMBER(SEARCH("customer service",B102)),ISNUMBER(SEARCH("customer support",B102)),ISNUMBER(SEARCH("customer care",B102)),ISNUMBER(SEARCH("voice process",B102)),ISNUMBER(SEARCH("bpo",B102))),"Customer Support",ISNUMBER(SEARCH("engineer",B102)),"Engineer (Technical)",ISNUMBER(SEARCH("manager",B102)),"Manager",OR(ISNUMBER(SEARCH("teacher",B102)),ISNUMBER(SEARCH("trainer",B102)),ISNUMBER(SEARCH("faculty",B102))),"Teacher / Trainer",OR(ISNUMBER(SEARCH("doctor",B102)),ISNUMBER(SEARCH("nurse",B102)),ISNUMBER(SEARCH("medical",B102)),ISNUMBER(SEARCH("pharma",B102)),ISNUMBER(SEARCH("clinical",B102))),"Healthcare",TRUE,"Other")</f>
        <v/>
      </c>
      <c r="B5">
        <f>IF(PROPER(TRIM(Raw_Data!D101))="Bangalore","Bengaluru",IF(PROPER(TRIM(Raw_Data!D101))="Gurgaon","Gurugram",IF(OR(PROPER(TRIM(Raw_Data!D101))="New Delhi",PROPER(TRIM(Raw_Data!D101))="Delhi"),"Delhi",PROPER(TRIM(Raw_Data!D101)))))</f>
        <v/>
      </c>
      <c r="C5">
        <f>IF(TRIM(Raw_Data!F101&amp;"")="","Not Specified",Raw_Data!F101)</f>
        <v/>
      </c>
      <c r="D5">
        <f>Raw_Data!H101</f>
        <v/>
      </c>
      <c r="E5">
        <f>Raw_Data!E101</f>
        <v/>
      </c>
    </row>
    <row r="6">
      <c r="A6">
        <f>_xlfn.IFS(ISNUMBER(SEARCH("data analy",B103)),"Data Analyst",ISNUMBER(SEARCH("business analy",B103)),"Business Analyst",OR(ISNUMBER(SEARCH("developer",B103)),ISNUMBER(SEARCH("software engineer",B103)),ISNUMBER(SEARCH("programmer",B103))),"Software Developer",ISNUMBER(SEARCH("business development",B103)),"Business Development",ISNUMBER(SEARCH("sales",B103)),"Sales Executive",ISNUMBER(SEARCH("marketing",B103)),"Marketing Executive",OR(ISNUMBER(SEARCH("hr ",B103)),ISNUMBER(SEARCH("recruit",B103)),ISNUMBER(SEARCH("human resource",B103))),"HR / Recruiter",OR(ISNUMBER(SEARCH("account",B103)),ISNUMBER(SEARCH("finance",B103)),ISNUMBER(SEARCH("tax",B103)),ISNUMBER(SEARCH("audit",B103))),"Accountant / Finance",OR(ISNUMBER(SEARCH("customer service",B103)),ISNUMBER(SEARCH("customer support",B103)),ISNUMBER(SEARCH("customer care",B103)),ISNUMBER(SEARCH("voice process",B103)),ISNUMBER(SEARCH("bpo",B103))),"Customer Support",ISNUMBER(SEARCH("engineer",B103)),"Engineer (Technical)",ISNUMBER(SEARCH("manager",B103)),"Manager",OR(ISNUMBER(SEARCH("teacher",B103)),ISNUMBER(SEARCH("trainer",B103)),ISNUMBER(SEARCH("faculty",B103))),"Teacher / Trainer",OR(ISNUMBER(SEARCH("doctor",B103)),ISNUMBER(SEARCH("nurse",B103)),ISNUMBER(SEARCH("medical",B103)),ISNUMBER(SEARCH("pharma",B103)),ISNUMBER(SEARCH("clinical",B103))),"Healthcare",TRUE,"Other")</f>
        <v/>
      </c>
      <c r="B6">
        <f>IF(PROPER(TRIM(Raw_Data!D102))="Bangalore","Bengaluru",IF(PROPER(TRIM(Raw_Data!D102))="Gurgaon","Gurugram",IF(OR(PROPER(TRIM(Raw_Data!D102))="New Delhi",PROPER(TRIM(Raw_Data!D102))="Delhi"),"Delhi",PROPER(TRIM(Raw_Data!D102)))))</f>
        <v/>
      </c>
      <c r="C6">
        <f>IF(TRIM(Raw_Data!F102&amp;"")="","Not Specified",Raw_Data!F102)</f>
        <v/>
      </c>
      <c r="D6">
        <f>Raw_Data!H102</f>
        <v/>
      </c>
      <c r="E6">
        <f>Raw_Data!E102</f>
        <v/>
      </c>
    </row>
    <row r="7">
      <c r="A7">
        <f>_xlfn.IFS(ISNUMBER(SEARCH("data analy",B104)),"Data Analyst",ISNUMBER(SEARCH("business analy",B104)),"Business Analyst",OR(ISNUMBER(SEARCH("developer",B104)),ISNUMBER(SEARCH("software engineer",B104)),ISNUMBER(SEARCH("programmer",B104))),"Software Developer",ISNUMBER(SEARCH("business development",B104)),"Business Development",ISNUMBER(SEARCH("sales",B104)),"Sales Executive",ISNUMBER(SEARCH("marketing",B104)),"Marketing Executive",OR(ISNUMBER(SEARCH("hr ",B104)),ISNUMBER(SEARCH("recruit",B104)),ISNUMBER(SEARCH("human resource",B104))),"HR / Recruiter",OR(ISNUMBER(SEARCH("account",B104)),ISNUMBER(SEARCH("finance",B104)),ISNUMBER(SEARCH("tax",B104)),ISNUMBER(SEARCH("audit",B104))),"Accountant / Finance",OR(ISNUMBER(SEARCH("customer service",B104)),ISNUMBER(SEARCH("customer support",B104)),ISNUMBER(SEARCH("customer care",B104)),ISNUMBER(SEARCH("voice process",B104)),ISNUMBER(SEARCH("bpo",B104))),"Customer Support",ISNUMBER(SEARCH("engineer",B104)),"Engineer (Technical)",ISNUMBER(SEARCH("manager",B104)),"Manager",OR(ISNUMBER(SEARCH("teacher",B104)),ISNUMBER(SEARCH("trainer",B104)),ISNUMBER(SEARCH("faculty",B104))),"Teacher / Trainer",OR(ISNUMBER(SEARCH("doctor",B104)),ISNUMBER(SEARCH("nurse",B104)),ISNUMBER(SEARCH("medical",B104)),ISNUMBER(SEARCH("pharma",B104)),ISNUMBER(SEARCH("clinical",B104))),"Healthcare",TRUE,"Other")</f>
        <v/>
      </c>
      <c r="B7">
        <f>IF(PROPER(TRIM(Raw_Data!D103))="Bangalore","Bengaluru",IF(PROPER(TRIM(Raw_Data!D103))="Gurgaon","Gurugram",IF(OR(PROPER(TRIM(Raw_Data!D103))="New Delhi",PROPER(TRIM(Raw_Data!D103))="Delhi"),"Delhi",PROPER(TRIM(Raw_Data!D103)))))</f>
        <v/>
      </c>
      <c r="C7">
        <f>IF(TRIM(Raw_Data!F103&amp;"")="","Not Specified",Raw_Data!F103)</f>
        <v/>
      </c>
      <c r="D7">
        <f>Raw_Data!H103</f>
        <v/>
      </c>
      <c r="E7">
        <f>Raw_Data!E103</f>
        <v/>
      </c>
    </row>
    <row r="8">
      <c r="A8">
        <f>_xlfn.IFS(ISNUMBER(SEARCH("data analy",B105)),"Data Analyst",ISNUMBER(SEARCH("business analy",B105)),"Business Analyst",OR(ISNUMBER(SEARCH("developer",B105)),ISNUMBER(SEARCH("software engineer",B105)),ISNUMBER(SEARCH("programmer",B105))),"Software Developer",ISNUMBER(SEARCH("business development",B105)),"Business Development",ISNUMBER(SEARCH("sales",B105)),"Sales Executive",ISNUMBER(SEARCH("marketing",B105)),"Marketing Executive",OR(ISNUMBER(SEARCH("hr ",B105)),ISNUMBER(SEARCH("recruit",B105)),ISNUMBER(SEARCH("human resource",B105))),"HR / Recruiter",OR(ISNUMBER(SEARCH("account",B105)),ISNUMBER(SEARCH("finance",B105)),ISNUMBER(SEARCH("tax",B105)),ISNUMBER(SEARCH("audit",B105))),"Accountant / Finance",OR(ISNUMBER(SEARCH("customer service",B105)),ISNUMBER(SEARCH("customer support",B105)),ISNUMBER(SEARCH("customer care",B105)),ISNUMBER(SEARCH("voice process",B105)),ISNUMBER(SEARCH("bpo",B105))),"Customer Support",ISNUMBER(SEARCH("engineer",B105)),"Engineer (Technical)",ISNUMBER(SEARCH("manager",B105)),"Manager",OR(ISNUMBER(SEARCH("teacher",B105)),ISNUMBER(SEARCH("trainer",B105)),ISNUMBER(SEARCH("faculty",B105))),"Teacher / Trainer",OR(ISNUMBER(SEARCH("doctor",B105)),ISNUMBER(SEARCH("nurse",B105)),ISNUMBER(SEARCH("medical",B105)),ISNUMBER(SEARCH("pharma",B105)),ISNUMBER(SEARCH("clinical",B105))),"Healthcare",TRUE,"Other")</f>
        <v/>
      </c>
      <c r="B8">
        <f>IF(PROPER(TRIM(Raw_Data!D104))="Bangalore","Bengaluru",IF(PROPER(TRIM(Raw_Data!D104))="Gurgaon","Gurugram",IF(OR(PROPER(TRIM(Raw_Data!D104))="New Delhi",PROPER(TRIM(Raw_Data!D104))="Delhi"),"Delhi",PROPER(TRIM(Raw_Data!D104)))))</f>
        <v/>
      </c>
      <c r="C8">
        <f>IF(TRIM(Raw_Data!F104&amp;"")="","Not Specified",Raw_Data!F104)</f>
        <v/>
      </c>
      <c r="D8">
        <f>Raw_Data!H104</f>
        <v/>
      </c>
      <c r="E8">
        <f>Raw_Data!E104</f>
        <v/>
      </c>
    </row>
    <row r="9">
      <c r="A9">
        <f>_xlfn.IFS(ISNUMBER(SEARCH("data analy",B106)),"Data Analyst",ISNUMBER(SEARCH("business analy",B106)),"Business Analyst",OR(ISNUMBER(SEARCH("developer",B106)),ISNUMBER(SEARCH("software engineer",B106)),ISNUMBER(SEARCH("programmer",B106))),"Software Developer",ISNUMBER(SEARCH("business development",B106)),"Business Development",ISNUMBER(SEARCH("sales",B106)),"Sales Executive",ISNUMBER(SEARCH("marketing",B106)),"Marketing Executive",OR(ISNUMBER(SEARCH("hr ",B106)),ISNUMBER(SEARCH("recruit",B106)),ISNUMBER(SEARCH("human resource",B106))),"HR / Recruiter",OR(ISNUMBER(SEARCH("account",B106)),ISNUMBER(SEARCH("finance",B106)),ISNUMBER(SEARCH("tax",B106)),ISNUMBER(SEARCH("audit",B106))),"Accountant / Finance",OR(ISNUMBER(SEARCH("customer service",B106)),ISNUMBER(SEARCH("customer support",B106)),ISNUMBER(SEARCH("customer care",B106)),ISNUMBER(SEARCH("voice process",B106)),ISNUMBER(SEARCH("bpo",B106))),"Customer Support",ISNUMBER(SEARCH("engineer",B106)),"Engineer (Technical)",ISNUMBER(SEARCH("manager",B106)),"Manager",OR(ISNUMBER(SEARCH("teacher",B106)),ISNUMBER(SEARCH("trainer",B106)),ISNUMBER(SEARCH("faculty",B106))),"Teacher / Trainer",OR(ISNUMBER(SEARCH("doctor",B106)),ISNUMBER(SEARCH("nurse",B106)),ISNUMBER(SEARCH("medical",B106)),ISNUMBER(SEARCH("pharma",B106)),ISNUMBER(SEARCH("clinical",B106))),"Healthcare",TRUE,"Other")</f>
        <v/>
      </c>
      <c r="B9">
        <f>IF(PROPER(TRIM(Raw_Data!D105))="Bangalore","Bengaluru",IF(PROPER(TRIM(Raw_Data!D105))="Gurgaon","Gurugram",IF(OR(PROPER(TRIM(Raw_Data!D105))="New Delhi",PROPER(TRIM(Raw_Data!D105))="Delhi"),"Delhi",PROPER(TRIM(Raw_Data!D105)))))</f>
        <v/>
      </c>
      <c r="C9">
        <f>IF(TRIM(Raw_Data!F105&amp;"")="","Not Specified",Raw_Data!F105)</f>
        <v/>
      </c>
      <c r="D9">
        <f>Raw_Data!H105</f>
        <v/>
      </c>
      <c r="E9">
        <f>Raw_Data!E105</f>
        <v/>
      </c>
    </row>
    <row r="10">
      <c r="A10">
        <f>_xlfn.IFS(ISNUMBER(SEARCH("data analy",B107)),"Data Analyst",ISNUMBER(SEARCH("business analy",B107)),"Business Analyst",OR(ISNUMBER(SEARCH("developer",B107)),ISNUMBER(SEARCH("software engineer",B107)),ISNUMBER(SEARCH("programmer",B107))),"Software Developer",ISNUMBER(SEARCH("business development",B107)),"Business Development",ISNUMBER(SEARCH("sales",B107)),"Sales Executive",ISNUMBER(SEARCH("marketing",B107)),"Marketing Executive",OR(ISNUMBER(SEARCH("hr ",B107)),ISNUMBER(SEARCH("recruit",B107)),ISNUMBER(SEARCH("human resource",B107))),"HR / Recruiter",OR(ISNUMBER(SEARCH("account",B107)),ISNUMBER(SEARCH("finance",B107)),ISNUMBER(SEARCH("tax",B107)),ISNUMBER(SEARCH("audit",B107))),"Accountant / Finance",OR(ISNUMBER(SEARCH("customer service",B107)),ISNUMBER(SEARCH("customer support",B107)),ISNUMBER(SEARCH("customer care",B107)),ISNUMBER(SEARCH("voice process",B107)),ISNUMBER(SEARCH("bpo",B107))),"Customer Support",ISNUMBER(SEARCH("engineer",B107)),"Engineer (Technical)",ISNUMBER(SEARCH("manager",B107)),"Manager",OR(ISNUMBER(SEARCH("teacher",B107)),ISNUMBER(SEARCH("trainer",B107)),ISNUMBER(SEARCH("faculty",B107))),"Teacher / Trainer",OR(ISNUMBER(SEARCH("doctor",B107)),ISNUMBER(SEARCH("nurse",B107)),ISNUMBER(SEARCH("medical",B107)),ISNUMBER(SEARCH("pharma",B107)),ISNUMBER(SEARCH("clinical",B107))),"Healthcare",TRUE,"Other")</f>
        <v/>
      </c>
      <c r="B10">
        <f>IF(PROPER(TRIM(Raw_Data!D106))="Bangalore","Bengaluru",IF(PROPER(TRIM(Raw_Data!D106))="Gurgaon","Gurugram",IF(OR(PROPER(TRIM(Raw_Data!D106))="New Delhi",PROPER(TRIM(Raw_Data!D106))="Delhi"),"Delhi",PROPER(TRIM(Raw_Data!D106)))))</f>
        <v/>
      </c>
      <c r="C10">
        <f>IF(TRIM(Raw_Data!F106&amp;"")="","Not Specified",Raw_Data!F106)</f>
        <v/>
      </c>
      <c r="D10">
        <f>Raw_Data!H106</f>
        <v/>
      </c>
      <c r="E10">
        <f>Raw_Data!E106</f>
        <v/>
      </c>
    </row>
    <row r="11">
      <c r="A11">
        <f>_xlfn.IFS(ISNUMBER(SEARCH("data analy",B108)),"Data Analyst",ISNUMBER(SEARCH("business analy",B108)),"Business Analyst",OR(ISNUMBER(SEARCH("developer",B108)),ISNUMBER(SEARCH("software engineer",B108)),ISNUMBER(SEARCH("programmer",B108))),"Software Developer",ISNUMBER(SEARCH("business development",B108)),"Business Development",ISNUMBER(SEARCH("sales",B108)),"Sales Executive",ISNUMBER(SEARCH("marketing",B108)),"Marketing Executive",OR(ISNUMBER(SEARCH("hr ",B108)),ISNUMBER(SEARCH("recruit",B108)),ISNUMBER(SEARCH("human resource",B108))),"HR / Recruiter",OR(ISNUMBER(SEARCH("account",B108)),ISNUMBER(SEARCH("finance",B108)),ISNUMBER(SEARCH("tax",B108)),ISNUMBER(SEARCH("audit",B108))),"Accountant / Finance",OR(ISNUMBER(SEARCH("customer service",B108)),ISNUMBER(SEARCH("customer support",B108)),ISNUMBER(SEARCH("customer care",B108)),ISNUMBER(SEARCH("voice process",B108)),ISNUMBER(SEARCH("bpo",B108))),"Customer Support",ISNUMBER(SEARCH("engineer",B108)),"Engineer (Technical)",ISNUMBER(SEARCH("manager",B108)),"Manager",OR(ISNUMBER(SEARCH("teacher",B108)),ISNUMBER(SEARCH("trainer",B108)),ISNUMBER(SEARCH("faculty",B108))),"Teacher / Trainer",OR(ISNUMBER(SEARCH("doctor",B108)),ISNUMBER(SEARCH("nurse",B108)),ISNUMBER(SEARCH("medical",B108)),ISNUMBER(SEARCH("pharma",B108)),ISNUMBER(SEARCH("clinical",B108))),"Healthcare",TRUE,"Other")</f>
        <v/>
      </c>
      <c r="B11">
        <f>IF(PROPER(TRIM(Raw_Data!D107))="Bangalore","Bengaluru",IF(PROPER(TRIM(Raw_Data!D107))="Gurgaon","Gurugram",IF(OR(PROPER(TRIM(Raw_Data!D107))="New Delhi",PROPER(TRIM(Raw_Data!D107))="Delhi"),"Delhi",PROPER(TRIM(Raw_Data!D107)))))</f>
        <v/>
      </c>
      <c r="C11">
        <f>IF(TRIM(Raw_Data!F107&amp;"")="","Not Specified",Raw_Data!F107)</f>
        <v/>
      </c>
      <c r="D11">
        <f>Raw_Data!H107</f>
        <v/>
      </c>
      <c r="E11">
        <f>Raw_Data!E107</f>
        <v/>
      </c>
    </row>
    <row r="12">
      <c r="A12">
        <f>_xlfn.IFS(ISNUMBER(SEARCH("data analy",B109)),"Data Analyst",ISNUMBER(SEARCH("business analy",B109)),"Business Analyst",OR(ISNUMBER(SEARCH("developer",B109)),ISNUMBER(SEARCH("software engineer",B109)),ISNUMBER(SEARCH("programmer",B109))),"Software Developer",ISNUMBER(SEARCH("business development",B109)),"Business Development",ISNUMBER(SEARCH("sales",B109)),"Sales Executive",ISNUMBER(SEARCH("marketing",B109)),"Marketing Executive",OR(ISNUMBER(SEARCH("hr ",B109)),ISNUMBER(SEARCH("recruit",B109)),ISNUMBER(SEARCH("human resource",B109))),"HR / Recruiter",OR(ISNUMBER(SEARCH("account",B109)),ISNUMBER(SEARCH("finance",B109)),ISNUMBER(SEARCH("tax",B109)),ISNUMBER(SEARCH("audit",B109))),"Accountant / Finance",OR(ISNUMBER(SEARCH("customer service",B109)),ISNUMBER(SEARCH("customer support",B109)),ISNUMBER(SEARCH("customer care",B109)),ISNUMBER(SEARCH("voice process",B109)),ISNUMBER(SEARCH("bpo",B109))),"Customer Support",ISNUMBER(SEARCH("engineer",B109)),"Engineer (Technical)",ISNUMBER(SEARCH("manager",B109)),"Manager",OR(ISNUMBER(SEARCH("teacher",B109)),ISNUMBER(SEARCH("trainer",B109)),ISNUMBER(SEARCH("faculty",B109))),"Teacher / Trainer",OR(ISNUMBER(SEARCH("doctor",B109)),ISNUMBER(SEARCH("nurse",B109)),ISNUMBER(SEARCH("medical",B109)),ISNUMBER(SEARCH("pharma",B109)),ISNUMBER(SEARCH("clinical",B109))),"Healthcare",TRUE,"Other")</f>
        <v/>
      </c>
      <c r="B12">
        <f>IF(PROPER(TRIM(Raw_Data!D108))="Bangalore","Bengaluru",IF(PROPER(TRIM(Raw_Data!D108))="Gurgaon","Gurugram",IF(OR(PROPER(TRIM(Raw_Data!D108))="New Delhi",PROPER(TRIM(Raw_Data!D108))="Delhi"),"Delhi",PROPER(TRIM(Raw_Data!D108)))))</f>
        <v/>
      </c>
      <c r="C12">
        <f>IF(TRIM(Raw_Data!F108&amp;"")="","Not Specified",Raw_Data!F108)</f>
        <v/>
      </c>
      <c r="D12">
        <f>Raw_Data!H108</f>
        <v/>
      </c>
      <c r="E12">
        <f>Raw_Data!E108</f>
        <v/>
      </c>
    </row>
    <row r="13">
      <c r="A13">
        <f>_xlfn.IFS(ISNUMBER(SEARCH("data analy",B11)),"Data Analyst",ISNUMBER(SEARCH("business analy",B11)),"Business Analyst",OR(ISNUMBER(SEARCH("developer",B11)),ISNUMBER(SEARCH("software engineer",B11)),ISNUMBER(SEARCH("programmer",B11))),"Software Developer",ISNUMBER(SEARCH("business development",B11)),"Business Development",ISNUMBER(SEARCH("sales",B11)),"Sales Executive",ISNUMBER(SEARCH("marketing",B11)),"Marketing Executive",OR(ISNUMBER(SEARCH("hr ",B11)),ISNUMBER(SEARCH("recruit",B11)),ISNUMBER(SEARCH("human resource",B11))),"HR / Recruiter",OR(ISNUMBER(SEARCH("account",B11)),ISNUMBER(SEARCH("finance",B11)),ISNUMBER(SEARCH("tax",B11)),ISNUMBER(SEARCH("audit",B11))),"Accountant / Finance",OR(ISNUMBER(SEARCH("customer service",B11)),ISNUMBER(SEARCH("customer support",B11)),ISNUMBER(SEARCH("customer care",B11)),ISNUMBER(SEARCH("voice process",B11)),ISNUMBER(SEARCH("bpo",B11))),"Customer Support",ISNUMBER(SEARCH("engineer",B11)),"Engineer (Technical)",ISNUMBER(SEARCH("manager",B11)),"Manager",OR(ISNUMBER(SEARCH("teacher",B11)),ISNUMBER(SEARCH("trainer",B11)),ISNUMBER(SEARCH("faculty",B11))),"Teacher / Trainer",OR(ISNUMBER(SEARCH("doctor",B11)),ISNUMBER(SEARCH("nurse",B11)),ISNUMBER(SEARCH("medical",B11)),ISNUMBER(SEARCH("pharma",B11)),ISNUMBER(SEARCH("clinical",B11))),"Healthcare",TRUE,"Other")</f>
        <v/>
      </c>
      <c r="B13">
        <f>IF(PROPER(TRIM(Raw_Data!D109))="Bangalore","Bengaluru",IF(PROPER(TRIM(Raw_Data!D109))="Gurgaon","Gurugram",IF(OR(PROPER(TRIM(Raw_Data!D109))="New Delhi",PROPER(TRIM(Raw_Data!D109))="Delhi"),"Delhi",PROPER(TRIM(Raw_Data!D109)))))</f>
        <v/>
      </c>
      <c r="C13">
        <f>IF(TRIM(Raw_Data!F109&amp;"")="","Not Specified",Raw_Data!F109)</f>
        <v/>
      </c>
      <c r="D13">
        <f>Raw_Data!H109</f>
        <v/>
      </c>
      <c r="E13">
        <f>Raw_Data!E109</f>
        <v/>
      </c>
    </row>
    <row r="14">
      <c r="A14">
        <f>_xlfn.IFS(ISNUMBER(SEARCH("data analy",B110)),"Data Analyst",ISNUMBER(SEARCH("business analy",B110)),"Business Analyst",OR(ISNUMBER(SEARCH("developer",B110)),ISNUMBER(SEARCH("software engineer",B110)),ISNUMBER(SEARCH("programmer",B110))),"Software Developer",ISNUMBER(SEARCH("business development",B110)),"Business Development",ISNUMBER(SEARCH("sales",B110)),"Sales Executive",ISNUMBER(SEARCH("marketing",B110)),"Marketing Executive",OR(ISNUMBER(SEARCH("hr ",B110)),ISNUMBER(SEARCH("recruit",B110)),ISNUMBER(SEARCH("human resource",B110))),"HR / Recruiter",OR(ISNUMBER(SEARCH("account",B110)),ISNUMBER(SEARCH("finance",B110)),ISNUMBER(SEARCH("tax",B110)),ISNUMBER(SEARCH("audit",B110))),"Accountant / Finance",OR(ISNUMBER(SEARCH("customer service",B110)),ISNUMBER(SEARCH("customer support",B110)),ISNUMBER(SEARCH("customer care",B110)),ISNUMBER(SEARCH("voice process",B110)),ISNUMBER(SEARCH("bpo",B110))),"Customer Support",ISNUMBER(SEARCH("engineer",B110)),"Engineer (Technical)",ISNUMBER(SEARCH("manager",B110)),"Manager",OR(ISNUMBER(SEARCH("teacher",B110)),ISNUMBER(SEARCH("trainer",B110)),ISNUMBER(SEARCH("faculty",B110))),"Teacher / Trainer",OR(ISNUMBER(SEARCH("doctor",B110)),ISNUMBER(SEARCH("nurse",B110)),ISNUMBER(SEARCH("medical",B110)),ISNUMBER(SEARCH("pharma",B110)),ISNUMBER(SEARCH("clinical",B110))),"Healthcare",TRUE,"Other")</f>
        <v/>
      </c>
      <c r="B14">
        <f>IF(PROPER(TRIM(Raw_Data!D11))="Bangalore","Bengaluru",IF(PROPER(TRIM(Raw_Data!D11))="Gurgaon","Gurugram",IF(OR(PROPER(TRIM(Raw_Data!D11))="New Delhi",PROPER(TRIM(Raw_Data!D11))="Delhi"),"Delhi",PROPER(TRIM(Raw_Data!D11)))))</f>
        <v/>
      </c>
      <c r="C14">
        <f>IF(TRIM(Raw_Data!F11&amp;"")="","Not Specified",Raw_Data!F11)</f>
        <v/>
      </c>
      <c r="D14">
        <f>Raw_Data!H11</f>
        <v/>
      </c>
      <c r="E14">
        <f>Raw_Data!E11</f>
        <v/>
      </c>
    </row>
    <row r="15">
      <c r="A15">
        <f>_xlfn.IFS(ISNUMBER(SEARCH("data analy",B111)),"Data Analyst",ISNUMBER(SEARCH("business analy",B111)),"Business Analyst",OR(ISNUMBER(SEARCH("developer",B111)),ISNUMBER(SEARCH("software engineer",B111)),ISNUMBER(SEARCH("programmer",B111))),"Software Developer",ISNUMBER(SEARCH("business development",B111)),"Business Development",ISNUMBER(SEARCH("sales",B111)),"Sales Executive",ISNUMBER(SEARCH("marketing",B111)),"Marketing Executive",OR(ISNUMBER(SEARCH("hr ",B111)),ISNUMBER(SEARCH("recruit",B111)),ISNUMBER(SEARCH("human resource",B111))),"HR / Recruiter",OR(ISNUMBER(SEARCH("account",B111)),ISNUMBER(SEARCH("finance",B111)),ISNUMBER(SEARCH("tax",B111)),ISNUMBER(SEARCH("audit",B111))),"Accountant / Finance",OR(ISNUMBER(SEARCH("customer service",B111)),ISNUMBER(SEARCH("customer support",B111)),ISNUMBER(SEARCH("customer care",B111)),ISNUMBER(SEARCH("voice process",B111)),ISNUMBER(SEARCH("bpo",B111))),"Customer Support",ISNUMBER(SEARCH("engineer",B111)),"Engineer (Technical)",ISNUMBER(SEARCH("manager",B111)),"Manager",OR(ISNUMBER(SEARCH("teacher",B111)),ISNUMBER(SEARCH("trainer",B111)),ISNUMBER(SEARCH("faculty",B111))),"Teacher / Trainer",OR(ISNUMBER(SEARCH("doctor",B111)),ISNUMBER(SEARCH("nurse",B111)),ISNUMBER(SEARCH("medical",B111)),ISNUMBER(SEARCH("pharma",B111)),ISNUMBER(SEARCH("clinical",B111))),"Healthcare",TRUE,"Other")</f>
        <v/>
      </c>
      <c r="B15">
        <f>IF(PROPER(TRIM(Raw_Data!D110))="Bangalore","Bengaluru",IF(PROPER(TRIM(Raw_Data!D110))="Gurgaon","Gurugram",IF(OR(PROPER(TRIM(Raw_Data!D110))="New Delhi",PROPER(TRIM(Raw_Data!D110))="Delhi"),"Delhi",PROPER(TRIM(Raw_Data!D110)))))</f>
        <v/>
      </c>
      <c r="C15">
        <f>IF(TRIM(Raw_Data!F110&amp;"")="","Not Specified",Raw_Data!F110)</f>
        <v/>
      </c>
      <c r="D15">
        <f>Raw_Data!H110</f>
        <v/>
      </c>
      <c r="E15">
        <f>Raw_Data!E110</f>
        <v/>
      </c>
    </row>
    <row r="16">
      <c r="A16">
        <f>_xlfn.IFS(ISNUMBER(SEARCH("data analy",B112)),"Data Analyst",ISNUMBER(SEARCH("business analy",B112)),"Business Analyst",OR(ISNUMBER(SEARCH("developer",B112)),ISNUMBER(SEARCH("software engineer",B112)),ISNUMBER(SEARCH("programmer",B112))),"Software Developer",ISNUMBER(SEARCH("business development",B112)),"Business Development",ISNUMBER(SEARCH("sales",B112)),"Sales Executive",ISNUMBER(SEARCH("marketing",B112)),"Marketing Executive",OR(ISNUMBER(SEARCH("hr ",B112)),ISNUMBER(SEARCH("recruit",B112)),ISNUMBER(SEARCH("human resource",B112))),"HR / Recruiter",OR(ISNUMBER(SEARCH("account",B112)),ISNUMBER(SEARCH("finance",B112)),ISNUMBER(SEARCH("tax",B112)),ISNUMBER(SEARCH("audit",B112))),"Accountant / Finance",OR(ISNUMBER(SEARCH("customer service",B112)),ISNUMBER(SEARCH("customer support",B112)),ISNUMBER(SEARCH("customer care",B112)),ISNUMBER(SEARCH("voice process",B112)),ISNUMBER(SEARCH("bpo",B112))),"Customer Support",ISNUMBER(SEARCH("engineer",B112)),"Engineer (Technical)",ISNUMBER(SEARCH("manager",B112)),"Manager",OR(ISNUMBER(SEARCH("teacher",B112)),ISNUMBER(SEARCH("trainer",B112)),ISNUMBER(SEARCH("faculty",B112))),"Teacher / Trainer",OR(ISNUMBER(SEARCH("doctor",B112)),ISNUMBER(SEARCH("nurse",B112)),ISNUMBER(SEARCH("medical",B112)),ISNUMBER(SEARCH("pharma",B112)),ISNUMBER(SEARCH("clinical",B112))),"Healthcare",TRUE,"Other")</f>
        <v/>
      </c>
      <c r="B16">
        <f>IF(PROPER(TRIM(Raw_Data!D111))="Bangalore","Bengaluru",IF(PROPER(TRIM(Raw_Data!D111))="Gurgaon","Gurugram",IF(OR(PROPER(TRIM(Raw_Data!D111))="New Delhi",PROPER(TRIM(Raw_Data!D111))="Delhi"),"Delhi",PROPER(TRIM(Raw_Data!D111)))))</f>
        <v/>
      </c>
      <c r="C16">
        <f>IF(TRIM(Raw_Data!F111&amp;"")="","Not Specified",Raw_Data!F111)</f>
        <v/>
      </c>
      <c r="D16">
        <f>Raw_Data!H111</f>
        <v/>
      </c>
      <c r="E16">
        <f>Raw_Data!E111</f>
        <v/>
      </c>
    </row>
    <row r="17">
      <c r="A17">
        <f>_xlfn.IFS(ISNUMBER(SEARCH("data analy",B113)),"Data Analyst",ISNUMBER(SEARCH("business analy",B113)),"Business Analyst",OR(ISNUMBER(SEARCH("developer",B113)),ISNUMBER(SEARCH("software engineer",B113)),ISNUMBER(SEARCH("programmer",B113))),"Software Developer",ISNUMBER(SEARCH("business development",B113)),"Business Development",ISNUMBER(SEARCH("sales",B113)),"Sales Executive",ISNUMBER(SEARCH("marketing",B113)),"Marketing Executive",OR(ISNUMBER(SEARCH("hr ",B113)),ISNUMBER(SEARCH("recruit",B113)),ISNUMBER(SEARCH("human resource",B113))),"HR / Recruiter",OR(ISNUMBER(SEARCH("account",B113)),ISNUMBER(SEARCH("finance",B113)),ISNUMBER(SEARCH("tax",B113)),ISNUMBER(SEARCH("audit",B113))),"Accountant / Finance",OR(ISNUMBER(SEARCH("customer service",B113)),ISNUMBER(SEARCH("customer support",B113)),ISNUMBER(SEARCH("customer care",B113)),ISNUMBER(SEARCH("voice process",B113)),ISNUMBER(SEARCH("bpo",B113))),"Customer Support",ISNUMBER(SEARCH("engineer",B113)),"Engineer (Technical)",ISNUMBER(SEARCH("manager",B113)),"Manager",OR(ISNUMBER(SEARCH("teacher",B113)),ISNUMBER(SEARCH("trainer",B113)),ISNUMBER(SEARCH("faculty",B113))),"Teacher / Trainer",OR(ISNUMBER(SEARCH("doctor",B113)),ISNUMBER(SEARCH("nurse",B113)),ISNUMBER(SEARCH("medical",B113)),ISNUMBER(SEARCH("pharma",B113)),ISNUMBER(SEARCH("clinical",B113))),"Healthcare",TRUE,"Other")</f>
        <v/>
      </c>
      <c r="B17">
        <f>IF(PROPER(TRIM(Raw_Data!D112))="Bangalore","Bengaluru",IF(PROPER(TRIM(Raw_Data!D112))="Gurgaon","Gurugram",IF(OR(PROPER(TRIM(Raw_Data!D112))="New Delhi",PROPER(TRIM(Raw_Data!D112))="Delhi"),"Delhi",PROPER(TRIM(Raw_Data!D112)))))</f>
        <v/>
      </c>
      <c r="C17">
        <f>IF(TRIM(Raw_Data!F112&amp;"")="","Not Specified",Raw_Data!F112)</f>
        <v/>
      </c>
      <c r="D17">
        <f>Raw_Data!H112</f>
        <v/>
      </c>
      <c r="E17">
        <f>Raw_Data!E112</f>
        <v/>
      </c>
    </row>
    <row r="18">
      <c r="A18">
        <f>_xlfn.IFS(ISNUMBER(SEARCH("data analy",B114)),"Data Analyst",ISNUMBER(SEARCH("business analy",B114)),"Business Analyst",OR(ISNUMBER(SEARCH("developer",B114)),ISNUMBER(SEARCH("software engineer",B114)),ISNUMBER(SEARCH("programmer",B114))),"Software Developer",ISNUMBER(SEARCH("business development",B114)),"Business Development",ISNUMBER(SEARCH("sales",B114)),"Sales Executive",ISNUMBER(SEARCH("marketing",B114)),"Marketing Executive",OR(ISNUMBER(SEARCH("hr ",B114)),ISNUMBER(SEARCH("recruit",B114)),ISNUMBER(SEARCH("human resource",B114))),"HR / Recruiter",OR(ISNUMBER(SEARCH("account",B114)),ISNUMBER(SEARCH("finance",B114)),ISNUMBER(SEARCH("tax",B114)),ISNUMBER(SEARCH("audit",B114))),"Accountant / Finance",OR(ISNUMBER(SEARCH("customer service",B114)),ISNUMBER(SEARCH("customer support",B114)),ISNUMBER(SEARCH("customer care",B114)),ISNUMBER(SEARCH("voice process",B114)),ISNUMBER(SEARCH("bpo",B114))),"Customer Support",ISNUMBER(SEARCH("engineer",B114)),"Engineer (Technical)",ISNUMBER(SEARCH("manager",B114)),"Manager",OR(ISNUMBER(SEARCH("teacher",B114)),ISNUMBER(SEARCH("trainer",B114)),ISNUMBER(SEARCH("faculty",B114))),"Teacher / Trainer",OR(ISNUMBER(SEARCH("doctor",B114)),ISNUMBER(SEARCH("nurse",B114)),ISNUMBER(SEARCH("medical",B114)),ISNUMBER(SEARCH("pharma",B114)),ISNUMBER(SEARCH("clinical",B114))),"Healthcare",TRUE,"Other")</f>
        <v/>
      </c>
      <c r="B18">
        <f>IF(PROPER(TRIM(Raw_Data!D113))="Bangalore","Bengaluru",IF(PROPER(TRIM(Raw_Data!D113))="Gurgaon","Gurugram",IF(OR(PROPER(TRIM(Raw_Data!D113))="New Delhi",PROPER(TRIM(Raw_Data!D113))="Delhi"),"Delhi",PROPER(TRIM(Raw_Data!D113)))))</f>
        <v/>
      </c>
      <c r="C18">
        <f>IF(TRIM(Raw_Data!F113&amp;"")="","Not Specified",Raw_Data!F113)</f>
        <v/>
      </c>
      <c r="D18">
        <f>Raw_Data!H113</f>
        <v/>
      </c>
      <c r="E18">
        <f>Raw_Data!E113</f>
        <v/>
      </c>
    </row>
    <row r="19">
      <c r="A19">
        <f>_xlfn.IFS(ISNUMBER(SEARCH("data analy",B115)),"Data Analyst",ISNUMBER(SEARCH("business analy",B115)),"Business Analyst",OR(ISNUMBER(SEARCH("developer",B115)),ISNUMBER(SEARCH("software engineer",B115)),ISNUMBER(SEARCH("programmer",B115))),"Software Developer",ISNUMBER(SEARCH("business development",B115)),"Business Development",ISNUMBER(SEARCH("sales",B115)),"Sales Executive",ISNUMBER(SEARCH("marketing",B115)),"Marketing Executive",OR(ISNUMBER(SEARCH("hr ",B115)),ISNUMBER(SEARCH("recruit",B115)),ISNUMBER(SEARCH("human resource",B115))),"HR / Recruiter",OR(ISNUMBER(SEARCH("account",B115)),ISNUMBER(SEARCH("finance",B115)),ISNUMBER(SEARCH("tax",B115)),ISNUMBER(SEARCH("audit",B115))),"Accountant / Finance",OR(ISNUMBER(SEARCH("customer service",B115)),ISNUMBER(SEARCH("customer support",B115)),ISNUMBER(SEARCH("customer care",B115)),ISNUMBER(SEARCH("voice process",B115)),ISNUMBER(SEARCH("bpo",B115))),"Customer Support",ISNUMBER(SEARCH("engineer",B115)),"Engineer (Technical)",ISNUMBER(SEARCH("manager",B115)),"Manager",OR(ISNUMBER(SEARCH("teacher",B115)),ISNUMBER(SEARCH("trainer",B115)),ISNUMBER(SEARCH("faculty",B115))),"Teacher / Trainer",OR(ISNUMBER(SEARCH("doctor",B115)),ISNUMBER(SEARCH("nurse",B115)),ISNUMBER(SEARCH("medical",B115)),ISNUMBER(SEARCH("pharma",B115)),ISNUMBER(SEARCH("clinical",B115))),"Healthcare",TRUE,"Other")</f>
        <v/>
      </c>
      <c r="B19">
        <f>IF(PROPER(TRIM(Raw_Data!D114))="Bangalore","Bengaluru",IF(PROPER(TRIM(Raw_Data!D114))="Gurgaon","Gurugram",IF(OR(PROPER(TRIM(Raw_Data!D114))="New Delhi",PROPER(TRIM(Raw_Data!D114))="Delhi"),"Delhi",PROPER(TRIM(Raw_Data!D114)))))</f>
        <v/>
      </c>
      <c r="C19">
        <f>IF(TRIM(Raw_Data!F114&amp;"")="","Not Specified",Raw_Data!F114)</f>
        <v/>
      </c>
      <c r="D19">
        <f>Raw_Data!H114</f>
        <v/>
      </c>
      <c r="E19">
        <f>Raw_Data!E114</f>
        <v/>
      </c>
    </row>
    <row r="20">
      <c r="A20">
        <f>_xlfn.IFS(ISNUMBER(SEARCH("data analy",B116)),"Data Analyst",ISNUMBER(SEARCH("business analy",B116)),"Business Analyst",OR(ISNUMBER(SEARCH("developer",B116)),ISNUMBER(SEARCH("software engineer",B116)),ISNUMBER(SEARCH("programmer",B116))),"Software Developer",ISNUMBER(SEARCH("business development",B116)),"Business Development",ISNUMBER(SEARCH("sales",B116)),"Sales Executive",ISNUMBER(SEARCH("marketing",B116)),"Marketing Executive",OR(ISNUMBER(SEARCH("hr ",B116)),ISNUMBER(SEARCH("recruit",B116)),ISNUMBER(SEARCH("human resource",B116))),"HR / Recruiter",OR(ISNUMBER(SEARCH("account",B116)),ISNUMBER(SEARCH("finance",B116)),ISNUMBER(SEARCH("tax",B116)),ISNUMBER(SEARCH("audit",B116))),"Accountant / Finance",OR(ISNUMBER(SEARCH("customer service",B116)),ISNUMBER(SEARCH("customer support",B116)),ISNUMBER(SEARCH("customer care",B116)),ISNUMBER(SEARCH("voice process",B116)),ISNUMBER(SEARCH("bpo",B116))),"Customer Support",ISNUMBER(SEARCH("engineer",B116)),"Engineer (Technical)",ISNUMBER(SEARCH("manager",B116)),"Manager",OR(ISNUMBER(SEARCH("teacher",B116)),ISNUMBER(SEARCH("trainer",B116)),ISNUMBER(SEARCH("faculty",B116))),"Teacher / Trainer",OR(ISNUMBER(SEARCH("doctor",B116)),ISNUMBER(SEARCH("nurse",B116)),ISNUMBER(SEARCH("medical",B116)),ISNUMBER(SEARCH("pharma",B116)),ISNUMBER(SEARCH("clinical",B116))),"Healthcare",TRUE,"Other")</f>
        <v/>
      </c>
      <c r="B20">
        <f>IF(PROPER(TRIM(Raw_Data!D115))="Bangalore","Bengaluru",IF(PROPER(TRIM(Raw_Data!D115))="Gurgaon","Gurugram",IF(OR(PROPER(TRIM(Raw_Data!D115))="New Delhi",PROPER(TRIM(Raw_Data!D115))="Delhi"),"Delhi",PROPER(TRIM(Raw_Data!D115)))))</f>
        <v/>
      </c>
      <c r="C20">
        <f>IF(TRIM(Raw_Data!F115&amp;"")="","Not Specified",Raw_Data!F115)</f>
        <v/>
      </c>
      <c r="D20">
        <f>Raw_Data!H115</f>
        <v/>
      </c>
      <c r="E20">
        <f>Raw_Data!E115</f>
        <v/>
      </c>
    </row>
    <row r="21">
      <c r="A21">
        <f>_xlfn.IFS(ISNUMBER(SEARCH("data analy",B117)),"Data Analyst",ISNUMBER(SEARCH("business analy",B117)),"Business Analyst",OR(ISNUMBER(SEARCH("developer",B117)),ISNUMBER(SEARCH("software engineer",B117)),ISNUMBER(SEARCH("programmer",B117))),"Software Developer",ISNUMBER(SEARCH("business development",B117)),"Business Development",ISNUMBER(SEARCH("sales",B117)),"Sales Executive",ISNUMBER(SEARCH("marketing",B117)),"Marketing Executive",OR(ISNUMBER(SEARCH("hr ",B117)),ISNUMBER(SEARCH("recruit",B117)),ISNUMBER(SEARCH("human resource",B117))),"HR / Recruiter",OR(ISNUMBER(SEARCH("account",B117)),ISNUMBER(SEARCH("finance",B117)),ISNUMBER(SEARCH("tax",B117)),ISNUMBER(SEARCH("audit",B117))),"Accountant / Finance",OR(ISNUMBER(SEARCH("customer service",B117)),ISNUMBER(SEARCH("customer support",B117)),ISNUMBER(SEARCH("customer care",B117)),ISNUMBER(SEARCH("voice process",B117)),ISNUMBER(SEARCH("bpo",B117))),"Customer Support",ISNUMBER(SEARCH("engineer",B117)),"Engineer (Technical)",ISNUMBER(SEARCH("manager",B117)),"Manager",OR(ISNUMBER(SEARCH("teacher",B117)),ISNUMBER(SEARCH("trainer",B117)),ISNUMBER(SEARCH("faculty",B117))),"Teacher / Trainer",OR(ISNUMBER(SEARCH("doctor",B117)),ISNUMBER(SEARCH("nurse",B117)),ISNUMBER(SEARCH("medical",B117)),ISNUMBER(SEARCH("pharma",B117)),ISNUMBER(SEARCH("clinical",B117))),"Healthcare",TRUE,"Other")</f>
        <v/>
      </c>
      <c r="B21">
        <f>IF(PROPER(TRIM(Raw_Data!D116))="Bangalore","Bengaluru",IF(PROPER(TRIM(Raw_Data!D116))="Gurgaon","Gurugram",IF(OR(PROPER(TRIM(Raw_Data!D116))="New Delhi",PROPER(TRIM(Raw_Data!D116))="Delhi"),"Delhi",PROPER(TRIM(Raw_Data!D116)))))</f>
        <v/>
      </c>
      <c r="C21">
        <f>IF(TRIM(Raw_Data!F116&amp;"")="","Not Specified",Raw_Data!F116)</f>
        <v/>
      </c>
      <c r="D21">
        <f>Raw_Data!H116</f>
        <v/>
      </c>
      <c r="E21">
        <f>Raw_Data!E116</f>
        <v/>
      </c>
    </row>
    <row r="22">
      <c r="A22">
        <f>_xlfn.IFS(ISNUMBER(SEARCH("data analy",B118)),"Data Analyst",ISNUMBER(SEARCH("business analy",B118)),"Business Analyst",OR(ISNUMBER(SEARCH("developer",B118)),ISNUMBER(SEARCH("software engineer",B118)),ISNUMBER(SEARCH("programmer",B118))),"Software Developer",ISNUMBER(SEARCH("business development",B118)),"Business Development",ISNUMBER(SEARCH("sales",B118)),"Sales Executive",ISNUMBER(SEARCH("marketing",B118)),"Marketing Executive",OR(ISNUMBER(SEARCH("hr ",B118)),ISNUMBER(SEARCH("recruit",B118)),ISNUMBER(SEARCH("human resource",B118))),"HR / Recruiter",OR(ISNUMBER(SEARCH("account",B118)),ISNUMBER(SEARCH("finance",B118)),ISNUMBER(SEARCH("tax",B118)),ISNUMBER(SEARCH("audit",B118))),"Accountant / Finance",OR(ISNUMBER(SEARCH("customer service",B118)),ISNUMBER(SEARCH("customer support",B118)),ISNUMBER(SEARCH("customer care",B118)),ISNUMBER(SEARCH("voice process",B118)),ISNUMBER(SEARCH("bpo",B118))),"Customer Support",ISNUMBER(SEARCH("engineer",B118)),"Engineer (Technical)",ISNUMBER(SEARCH("manager",B118)),"Manager",OR(ISNUMBER(SEARCH("teacher",B118)),ISNUMBER(SEARCH("trainer",B118)),ISNUMBER(SEARCH("faculty",B118))),"Teacher / Trainer",OR(ISNUMBER(SEARCH("doctor",B118)),ISNUMBER(SEARCH("nurse",B118)),ISNUMBER(SEARCH("medical",B118)),ISNUMBER(SEARCH("pharma",B118)),ISNUMBER(SEARCH("clinical",B118))),"Healthcare",TRUE,"Other")</f>
        <v/>
      </c>
      <c r="B22">
        <f>IF(PROPER(TRIM(Raw_Data!D117))="Bangalore","Bengaluru",IF(PROPER(TRIM(Raw_Data!D117))="Gurgaon","Gurugram",IF(OR(PROPER(TRIM(Raw_Data!D117))="New Delhi",PROPER(TRIM(Raw_Data!D117))="Delhi"),"Delhi",PROPER(TRIM(Raw_Data!D117)))))</f>
        <v/>
      </c>
      <c r="C22">
        <f>IF(TRIM(Raw_Data!F117&amp;"")="","Not Specified",Raw_Data!F117)</f>
        <v/>
      </c>
      <c r="D22">
        <f>Raw_Data!H117</f>
        <v/>
      </c>
      <c r="E22">
        <f>Raw_Data!E117</f>
        <v/>
      </c>
    </row>
    <row r="23">
      <c r="A23">
        <f>_xlfn.IFS(ISNUMBER(SEARCH("data analy",B119)),"Data Analyst",ISNUMBER(SEARCH("business analy",B119)),"Business Analyst",OR(ISNUMBER(SEARCH("developer",B119)),ISNUMBER(SEARCH("software engineer",B119)),ISNUMBER(SEARCH("programmer",B119))),"Software Developer",ISNUMBER(SEARCH("business development",B119)),"Business Development",ISNUMBER(SEARCH("sales",B119)),"Sales Executive",ISNUMBER(SEARCH("marketing",B119)),"Marketing Executive",OR(ISNUMBER(SEARCH("hr ",B119)),ISNUMBER(SEARCH("recruit",B119)),ISNUMBER(SEARCH("human resource",B119))),"HR / Recruiter",OR(ISNUMBER(SEARCH("account",B119)),ISNUMBER(SEARCH("finance",B119)),ISNUMBER(SEARCH("tax",B119)),ISNUMBER(SEARCH("audit",B119))),"Accountant / Finance",OR(ISNUMBER(SEARCH("customer service",B119)),ISNUMBER(SEARCH("customer support",B119)),ISNUMBER(SEARCH("customer care",B119)),ISNUMBER(SEARCH("voice process",B119)),ISNUMBER(SEARCH("bpo",B119))),"Customer Support",ISNUMBER(SEARCH("engineer",B119)),"Engineer (Technical)",ISNUMBER(SEARCH("manager",B119)),"Manager",OR(ISNUMBER(SEARCH("teacher",B119)),ISNUMBER(SEARCH("trainer",B119)),ISNUMBER(SEARCH("faculty",B119))),"Teacher / Trainer",OR(ISNUMBER(SEARCH("doctor",B119)),ISNUMBER(SEARCH("nurse",B119)),ISNUMBER(SEARCH("medical",B119)),ISNUMBER(SEARCH("pharma",B119)),ISNUMBER(SEARCH("clinical",B119))),"Healthcare",TRUE,"Other")</f>
        <v/>
      </c>
      <c r="B23">
        <f>IF(PROPER(TRIM(Raw_Data!D118))="Bangalore","Bengaluru",IF(PROPER(TRIM(Raw_Data!D118))="Gurgaon","Gurugram",IF(OR(PROPER(TRIM(Raw_Data!D118))="New Delhi",PROPER(TRIM(Raw_Data!D118))="Delhi"),"Delhi",PROPER(TRIM(Raw_Data!D118)))))</f>
        <v/>
      </c>
      <c r="C23">
        <f>IF(TRIM(Raw_Data!F118&amp;"")="","Not Specified",Raw_Data!F118)</f>
        <v/>
      </c>
      <c r="D23">
        <f>Raw_Data!H118</f>
        <v/>
      </c>
      <c r="E23">
        <f>Raw_Data!E118</f>
        <v/>
      </c>
    </row>
    <row r="24">
      <c r="A24">
        <f>_xlfn.IFS(ISNUMBER(SEARCH("data analy",B12)),"Data Analyst",ISNUMBER(SEARCH("business analy",B12)),"Business Analyst",OR(ISNUMBER(SEARCH("developer",B12)),ISNUMBER(SEARCH("software engineer",B12)),ISNUMBER(SEARCH("programmer",B12))),"Software Developer",ISNUMBER(SEARCH("business development",B12)),"Business Development",ISNUMBER(SEARCH("sales",B12)),"Sales Executive",ISNUMBER(SEARCH("marketing",B12)),"Marketing Executive",OR(ISNUMBER(SEARCH("hr ",B12)),ISNUMBER(SEARCH("recruit",B12)),ISNUMBER(SEARCH("human resource",B12))),"HR / Recruiter",OR(ISNUMBER(SEARCH("account",B12)),ISNUMBER(SEARCH("finance",B12)),ISNUMBER(SEARCH("tax",B12)),ISNUMBER(SEARCH("audit",B12))),"Accountant / Finance",OR(ISNUMBER(SEARCH("customer service",B12)),ISNUMBER(SEARCH("customer support",B12)),ISNUMBER(SEARCH("customer care",B12)),ISNUMBER(SEARCH("voice process",B12)),ISNUMBER(SEARCH("bpo",B12))),"Customer Support",ISNUMBER(SEARCH("engineer",B12)),"Engineer (Technical)",ISNUMBER(SEARCH("manager",B12)),"Manager",OR(ISNUMBER(SEARCH("teacher",B12)),ISNUMBER(SEARCH("trainer",B12)),ISNUMBER(SEARCH("faculty",B12))),"Teacher / Trainer",OR(ISNUMBER(SEARCH("doctor",B12)),ISNUMBER(SEARCH("nurse",B12)),ISNUMBER(SEARCH("medical",B12)),ISNUMBER(SEARCH("pharma",B12)),ISNUMBER(SEARCH("clinical",B12))),"Healthcare",TRUE,"Other")</f>
        <v/>
      </c>
      <c r="B24">
        <f>IF(PROPER(TRIM(Raw_Data!D119))="Bangalore","Bengaluru",IF(PROPER(TRIM(Raw_Data!D119))="Gurgaon","Gurugram",IF(OR(PROPER(TRIM(Raw_Data!D119))="New Delhi",PROPER(TRIM(Raw_Data!D119))="Delhi"),"Delhi",PROPER(TRIM(Raw_Data!D119)))))</f>
        <v/>
      </c>
      <c r="C24">
        <f>IF(TRIM(Raw_Data!F119&amp;"")="","Not Specified",Raw_Data!F119)</f>
        <v/>
      </c>
      <c r="D24">
        <f>Raw_Data!H119</f>
        <v/>
      </c>
      <c r="E24">
        <f>Raw_Data!E119</f>
        <v/>
      </c>
    </row>
    <row r="25">
      <c r="A25">
        <f>_xlfn.IFS(ISNUMBER(SEARCH("data analy",B120)),"Data Analyst",ISNUMBER(SEARCH("business analy",B120)),"Business Analyst",OR(ISNUMBER(SEARCH("developer",B120)),ISNUMBER(SEARCH("software engineer",B120)),ISNUMBER(SEARCH("programmer",B120))),"Software Developer",ISNUMBER(SEARCH("business development",B120)),"Business Development",ISNUMBER(SEARCH("sales",B120)),"Sales Executive",ISNUMBER(SEARCH("marketing",B120)),"Marketing Executive",OR(ISNUMBER(SEARCH("hr ",B120)),ISNUMBER(SEARCH("recruit",B120)),ISNUMBER(SEARCH("human resource",B120))),"HR / Recruiter",OR(ISNUMBER(SEARCH("account",B120)),ISNUMBER(SEARCH("finance",B120)),ISNUMBER(SEARCH("tax",B120)),ISNUMBER(SEARCH("audit",B120))),"Accountant / Finance",OR(ISNUMBER(SEARCH("customer service",B120)),ISNUMBER(SEARCH("customer support",B120)),ISNUMBER(SEARCH("customer care",B120)),ISNUMBER(SEARCH("voice process",B120)),ISNUMBER(SEARCH("bpo",B120))),"Customer Support",ISNUMBER(SEARCH("engineer",B120)),"Engineer (Technical)",ISNUMBER(SEARCH("manager",B120)),"Manager",OR(ISNUMBER(SEARCH("teacher",B120)),ISNUMBER(SEARCH("trainer",B120)),ISNUMBER(SEARCH("faculty",B120))),"Teacher / Trainer",OR(ISNUMBER(SEARCH("doctor",B120)),ISNUMBER(SEARCH("nurse",B120)),ISNUMBER(SEARCH("medical",B120)),ISNUMBER(SEARCH("pharma",B120)),ISNUMBER(SEARCH("clinical",B120))),"Healthcare",TRUE,"Other")</f>
        <v/>
      </c>
      <c r="B25">
        <f>IF(PROPER(TRIM(Raw_Data!D12))="Bangalore","Bengaluru",IF(PROPER(TRIM(Raw_Data!D12))="Gurgaon","Gurugram",IF(OR(PROPER(TRIM(Raw_Data!D12))="New Delhi",PROPER(TRIM(Raw_Data!D12))="Delhi"),"Delhi",PROPER(TRIM(Raw_Data!D12)))))</f>
        <v/>
      </c>
      <c r="C25">
        <f>IF(TRIM(Raw_Data!F12&amp;"")="","Not Specified",Raw_Data!F12)</f>
        <v/>
      </c>
      <c r="D25">
        <f>Raw_Data!H12</f>
        <v/>
      </c>
      <c r="E25">
        <f>Raw_Data!E12</f>
        <v/>
      </c>
    </row>
    <row r="26">
      <c r="A26">
        <f>_xlfn.IFS(ISNUMBER(SEARCH("data analy",B121)),"Data Analyst",ISNUMBER(SEARCH("business analy",B121)),"Business Analyst",OR(ISNUMBER(SEARCH("developer",B121)),ISNUMBER(SEARCH("software engineer",B121)),ISNUMBER(SEARCH("programmer",B121))),"Software Developer",ISNUMBER(SEARCH("business development",B121)),"Business Development",ISNUMBER(SEARCH("sales",B121)),"Sales Executive",ISNUMBER(SEARCH("marketing",B121)),"Marketing Executive",OR(ISNUMBER(SEARCH("hr ",B121)),ISNUMBER(SEARCH("recruit",B121)),ISNUMBER(SEARCH("human resource",B121))),"HR / Recruiter",OR(ISNUMBER(SEARCH("account",B121)),ISNUMBER(SEARCH("finance",B121)),ISNUMBER(SEARCH("tax",B121)),ISNUMBER(SEARCH("audit",B121))),"Accountant / Finance",OR(ISNUMBER(SEARCH("customer service",B121)),ISNUMBER(SEARCH("customer support",B121)),ISNUMBER(SEARCH("customer care",B121)),ISNUMBER(SEARCH("voice process",B121)),ISNUMBER(SEARCH("bpo",B121))),"Customer Support",ISNUMBER(SEARCH("engineer",B121)),"Engineer (Technical)",ISNUMBER(SEARCH("manager",B121)),"Manager",OR(ISNUMBER(SEARCH("teacher",B121)),ISNUMBER(SEARCH("trainer",B121)),ISNUMBER(SEARCH("faculty",B121))),"Teacher / Trainer",OR(ISNUMBER(SEARCH("doctor",B121)),ISNUMBER(SEARCH("nurse",B121)),ISNUMBER(SEARCH("medical",B121)),ISNUMBER(SEARCH("pharma",B121)),ISNUMBER(SEARCH("clinical",B121))),"Healthcare",TRUE,"Other")</f>
        <v/>
      </c>
      <c r="B26">
        <f>IF(PROPER(TRIM(Raw_Data!D120))="Bangalore","Bengaluru",IF(PROPER(TRIM(Raw_Data!D120))="Gurgaon","Gurugram",IF(OR(PROPER(TRIM(Raw_Data!D120))="New Delhi",PROPER(TRIM(Raw_Data!D120))="Delhi"),"Delhi",PROPER(TRIM(Raw_Data!D120)))))</f>
        <v/>
      </c>
      <c r="C26">
        <f>IF(TRIM(Raw_Data!F120&amp;"")="","Not Specified",Raw_Data!F120)</f>
        <v/>
      </c>
      <c r="D26">
        <f>Raw_Data!H120</f>
        <v/>
      </c>
      <c r="E26">
        <f>Raw_Data!E120</f>
        <v/>
      </c>
    </row>
    <row r="27">
      <c r="A27">
        <f>_xlfn.IFS(ISNUMBER(SEARCH("data analy",B122)),"Data Analyst",ISNUMBER(SEARCH("business analy",B122)),"Business Analyst",OR(ISNUMBER(SEARCH("developer",B122)),ISNUMBER(SEARCH("software engineer",B122)),ISNUMBER(SEARCH("programmer",B122))),"Software Developer",ISNUMBER(SEARCH("business development",B122)),"Business Development",ISNUMBER(SEARCH("sales",B122)),"Sales Executive",ISNUMBER(SEARCH("marketing",B122)),"Marketing Executive",OR(ISNUMBER(SEARCH("hr ",B122)),ISNUMBER(SEARCH("recruit",B122)),ISNUMBER(SEARCH("human resource",B122))),"HR / Recruiter",OR(ISNUMBER(SEARCH("account",B122)),ISNUMBER(SEARCH("finance",B122)),ISNUMBER(SEARCH("tax",B122)),ISNUMBER(SEARCH("audit",B122))),"Accountant / Finance",OR(ISNUMBER(SEARCH("customer service",B122)),ISNUMBER(SEARCH("customer support",B122)),ISNUMBER(SEARCH("customer care",B122)),ISNUMBER(SEARCH("voice process",B122)),ISNUMBER(SEARCH("bpo",B122))),"Customer Support",ISNUMBER(SEARCH("engineer",B122)),"Engineer (Technical)",ISNUMBER(SEARCH("manager",B122)),"Manager",OR(ISNUMBER(SEARCH("teacher",B122)),ISNUMBER(SEARCH("trainer",B122)),ISNUMBER(SEARCH("faculty",B122))),"Teacher / Trainer",OR(ISNUMBER(SEARCH("doctor",B122)),ISNUMBER(SEARCH("nurse",B122)),ISNUMBER(SEARCH("medical",B122)),ISNUMBER(SEARCH("pharma",B122)),ISNUMBER(SEARCH("clinical",B122))),"Healthcare",TRUE,"Other")</f>
        <v/>
      </c>
      <c r="B27">
        <f>IF(PROPER(TRIM(Raw_Data!D121))="Bangalore","Bengaluru",IF(PROPER(TRIM(Raw_Data!D121))="Gurgaon","Gurugram",IF(OR(PROPER(TRIM(Raw_Data!D121))="New Delhi",PROPER(TRIM(Raw_Data!D121))="Delhi"),"Delhi",PROPER(TRIM(Raw_Data!D121)))))</f>
        <v/>
      </c>
      <c r="C27">
        <f>IF(TRIM(Raw_Data!F121&amp;"")="","Not Specified",Raw_Data!F121)</f>
        <v/>
      </c>
      <c r="D27">
        <f>Raw_Data!H121</f>
        <v/>
      </c>
      <c r="E27">
        <f>Raw_Data!E121</f>
        <v/>
      </c>
    </row>
    <row r="28">
      <c r="A28">
        <f>_xlfn.IFS(ISNUMBER(SEARCH("data analy",B123)),"Data Analyst",ISNUMBER(SEARCH("business analy",B123)),"Business Analyst",OR(ISNUMBER(SEARCH("developer",B123)),ISNUMBER(SEARCH("software engineer",B123)),ISNUMBER(SEARCH("programmer",B123))),"Software Developer",ISNUMBER(SEARCH("business development",B123)),"Business Development",ISNUMBER(SEARCH("sales",B123)),"Sales Executive",ISNUMBER(SEARCH("marketing",B123)),"Marketing Executive",OR(ISNUMBER(SEARCH("hr ",B123)),ISNUMBER(SEARCH("recruit",B123)),ISNUMBER(SEARCH("human resource",B123))),"HR / Recruiter",OR(ISNUMBER(SEARCH("account",B123)),ISNUMBER(SEARCH("finance",B123)),ISNUMBER(SEARCH("tax",B123)),ISNUMBER(SEARCH("audit",B123))),"Accountant / Finance",OR(ISNUMBER(SEARCH("customer service",B123)),ISNUMBER(SEARCH("customer support",B123)),ISNUMBER(SEARCH("customer care",B123)),ISNUMBER(SEARCH("voice process",B123)),ISNUMBER(SEARCH("bpo",B123))),"Customer Support",ISNUMBER(SEARCH("engineer",B123)),"Engineer (Technical)",ISNUMBER(SEARCH("manager",B123)),"Manager",OR(ISNUMBER(SEARCH("teacher",B123)),ISNUMBER(SEARCH("trainer",B123)),ISNUMBER(SEARCH("faculty",B123))),"Teacher / Trainer",OR(ISNUMBER(SEARCH("doctor",B123)),ISNUMBER(SEARCH("nurse",B123)),ISNUMBER(SEARCH("medical",B123)),ISNUMBER(SEARCH("pharma",B123)),ISNUMBER(SEARCH("clinical",B123))),"Healthcare",TRUE,"Other")</f>
        <v/>
      </c>
      <c r="B28">
        <f>IF(PROPER(TRIM(Raw_Data!D122))="Bangalore","Bengaluru",IF(PROPER(TRIM(Raw_Data!D122))="Gurgaon","Gurugram",IF(OR(PROPER(TRIM(Raw_Data!D122))="New Delhi",PROPER(TRIM(Raw_Data!D122))="Delhi"),"Delhi",PROPER(TRIM(Raw_Data!D122)))))</f>
        <v/>
      </c>
      <c r="C28">
        <f>IF(TRIM(Raw_Data!F122&amp;"")="","Not Specified",Raw_Data!F122)</f>
        <v/>
      </c>
      <c r="D28">
        <f>Raw_Data!H122</f>
        <v/>
      </c>
      <c r="E28">
        <f>Raw_Data!E122</f>
        <v/>
      </c>
    </row>
    <row r="29">
      <c r="A29">
        <f>_xlfn.IFS(ISNUMBER(SEARCH("data analy",B124)),"Data Analyst",ISNUMBER(SEARCH("business analy",B124)),"Business Analyst",OR(ISNUMBER(SEARCH("developer",B124)),ISNUMBER(SEARCH("software engineer",B124)),ISNUMBER(SEARCH("programmer",B124))),"Software Developer",ISNUMBER(SEARCH("business development",B124)),"Business Development",ISNUMBER(SEARCH("sales",B124)),"Sales Executive",ISNUMBER(SEARCH("marketing",B124)),"Marketing Executive",OR(ISNUMBER(SEARCH("hr ",B124)),ISNUMBER(SEARCH("recruit",B124)),ISNUMBER(SEARCH("human resource",B124))),"HR / Recruiter",OR(ISNUMBER(SEARCH("account",B124)),ISNUMBER(SEARCH("finance",B124)),ISNUMBER(SEARCH("tax",B124)),ISNUMBER(SEARCH("audit",B124))),"Accountant / Finance",OR(ISNUMBER(SEARCH("customer service",B124)),ISNUMBER(SEARCH("customer support",B124)),ISNUMBER(SEARCH("customer care",B124)),ISNUMBER(SEARCH("voice process",B124)),ISNUMBER(SEARCH("bpo",B124))),"Customer Support",ISNUMBER(SEARCH("engineer",B124)),"Engineer (Technical)",ISNUMBER(SEARCH("manager",B124)),"Manager",OR(ISNUMBER(SEARCH("teacher",B124)),ISNUMBER(SEARCH("trainer",B124)),ISNUMBER(SEARCH("faculty",B124))),"Teacher / Trainer",OR(ISNUMBER(SEARCH("doctor",B124)),ISNUMBER(SEARCH("nurse",B124)),ISNUMBER(SEARCH("medical",B124)),ISNUMBER(SEARCH("pharma",B124)),ISNUMBER(SEARCH("clinical",B124))),"Healthcare",TRUE,"Other")</f>
        <v/>
      </c>
      <c r="B29">
        <f>IF(PROPER(TRIM(Raw_Data!D123))="Bangalore","Bengaluru",IF(PROPER(TRIM(Raw_Data!D123))="Gurgaon","Gurugram",IF(OR(PROPER(TRIM(Raw_Data!D123))="New Delhi",PROPER(TRIM(Raw_Data!D123))="Delhi"),"Delhi",PROPER(TRIM(Raw_Data!D123)))))</f>
        <v/>
      </c>
      <c r="C29">
        <f>IF(TRIM(Raw_Data!F123&amp;"")="","Not Specified",Raw_Data!F123)</f>
        <v/>
      </c>
      <c r="D29">
        <f>Raw_Data!H123</f>
        <v/>
      </c>
      <c r="E29">
        <f>Raw_Data!E123</f>
        <v/>
      </c>
    </row>
    <row r="30">
      <c r="A30">
        <f>_xlfn.IFS(ISNUMBER(SEARCH("data analy",B125)),"Data Analyst",ISNUMBER(SEARCH("business analy",B125)),"Business Analyst",OR(ISNUMBER(SEARCH("developer",B125)),ISNUMBER(SEARCH("software engineer",B125)),ISNUMBER(SEARCH("programmer",B125))),"Software Developer",ISNUMBER(SEARCH("business development",B125)),"Business Development",ISNUMBER(SEARCH("sales",B125)),"Sales Executive",ISNUMBER(SEARCH("marketing",B125)),"Marketing Executive",OR(ISNUMBER(SEARCH("hr ",B125)),ISNUMBER(SEARCH("recruit",B125)),ISNUMBER(SEARCH("human resource",B125))),"HR / Recruiter",OR(ISNUMBER(SEARCH("account",B125)),ISNUMBER(SEARCH("finance",B125)),ISNUMBER(SEARCH("tax",B125)),ISNUMBER(SEARCH("audit",B125))),"Accountant / Finance",OR(ISNUMBER(SEARCH("customer service",B125)),ISNUMBER(SEARCH("customer support",B125)),ISNUMBER(SEARCH("customer care",B125)),ISNUMBER(SEARCH("voice process",B125)),ISNUMBER(SEARCH("bpo",B125))),"Customer Support",ISNUMBER(SEARCH("engineer",B125)),"Engineer (Technical)",ISNUMBER(SEARCH("manager",B125)),"Manager",OR(ISNUMBER(SEARCH("teacher",B125)),ISNUMBER(SEARCH("trainer",B125)),ISNUMBER(SEARCH("faculty",B125))),"Teacher / Trainer",OR(ISNUMBER(SEARCH("doctor",B125)),ISNUMBER(SEARCH("nurse",B125)),ISNUMBER(SEARCH("medical",B125)),ISNUMBER(SEARCH("pharma",B125)),ISNUMBER(SEARCH("clinical",B125))),"Healthcare",TRUE,"Other")</f>
        <v/>
      </c>
      <c r="B30">
        <f>IF(PROPER(TRIM(Raw_Data!D124))="Bangalore","Bengaluru",IF(PROPER(TRIM(Raw_Data!D124))="Gurgaon","Gurugram",IF(OR(PROPER(TRIM(Raw_Data!D124))="New Delhi",PROPER(TRIM(Raw_Data!D124))="Delhi"),"Delhi",PROPER(TRIM(Raw_Data!D124)))))</f>
        <v/>
      </c>
      <c r="C30">
        <f>IF(TRIM(Raw_Data!F124&amp;"")="","Not Specified",Raw_Data!F124)</f>
        <v/>
      </c>
      <c r="D30">
        <f>Raw_Data!H124</f>
        <v/>
      </c>
      <c r="E30">
        <f>Raw_Data!E124</f>
        <v/>
      </c>
    </row>
    <row r="31">
      <c r="A31">
        <f>_xlfn.IFS(ISNUMBER(SEARCH("data analy",B126)),"Data Analyst",ISNUMBER(SEARCH("business analy",B126)),"Business Analyst",OR(ISNUMBER(SEARCH("developer",B126)),ISNUMBER(SEARCH("software engineer",B126)),ISNUMBER(SEARCH("programmer",B126))),"Software Developer",ISNUMBER(SEARCH("business development",B126)),"Business Development",ISNUMBER(SEARCH("sales",B126)),"Sales Executive",ISNUMBER(SEARCH("marketing",B126)),"Marketing Executive",OR(ISNUMBER(SEARCH("hr ",B126)),ISNUMBER(SEARCH("recruit",B126)),ISNUMBER(SEARCH("human resource",B126))),"HR / Recruiter",OR(ISNUMBER(SEARCH("account",B126)),ISNUMBER(SEARCH("finance",B126)),ISNUMBER(SEARCH("tax",B126)),ISNUMBER(SEARCH("audit",B126))),"Accountant / Finance",OR(ISNUMBER(SEARCH("customer service",B126)),ISNUMBER(SEARCH("customer support",B126)),ISNUMBER(SEARCH("customer care",B126)),ISNUMBER(SEARCH("voice process",B126)),ISNUMBER(SEARCH("bpo",B126))),"Customer Support",ISNUMBER(SEARCH("engineer",B126)),"Engineer (Technical)",ISNUMBER(SEARCH("manager",B126)),"Manager",OR(ISNUMBER(SEARCH("teacher",B126)),ISNUMBER(SEARCH("trainer",B126)),ISNUMBER(SEARCH("faculty",B126))),"Teacher / Trainer",OR(ISNUMBER(SEARCH("doctor",B126)),ISNUMBER(SEARCH("nurse",B126)),ISNUMBER(SEARCH("medical",B126)),ISNUMBER(SEARCH("pharma",B126)),ISNUMBER(SEARCH("clinical",B126))),"Healthcare",TRUE,"Other")</f>
        <v/>
      </c>
      <c r="B31">
        <f>IF(PROPER(TRIM(Raw_Data!D125))="Bangalore","Bengaluru",IF(PROPER(TRIM(Raw_Data!D125))="Gurgaon","Gurugram",IF(OR(PROPER(TRIM(Raw_Data!D125))="New Delhi",PROPER(TRIM(Raw_Data!D125))="Delhi"),"Delhi",PROPER(TRIM(Raw_Data!D125)))))</f>
        <v/>
      </c>
      <c r="C31">
        <f>IF(TRIM(Raw_Data!F125&amp;"")="","Not Specified",Raw_Data!F125)</f>
        <v/>
      </c>
      <c r="D31">
        <f>Raw_Data!H125</f>
        <v/>
      </c>
      <c r="E31">
        <f>Raw_Data!E125</f>
        <v/>
      </c>
    </row>
    <row r="32">
      <c r="A32">
        <f>_xlfn.IFS(ISNUMBER(SEARCH("data analy",B127)),"Data Analyst",ISNUMBER(SEARCH("business analy",B127)),"Business Analyst",OR(ISNUMBER(SEARCH("developer",B127)),ISNUMBER(SEARCH("software engineer",B127)),ISNUMBER(SEARCH("programmer",B127))),"Software Developer",ISNUMBER(SEARCH("business development",B127)),"Business Development",ISNUMBER(SEARCH("sales",B127)),"Sales Executive",ISNUMBER(SEARCH("marketing",B127)),"Marketing Executive",OR(ISNUMBER(SEARCH("hr ",B127)),ISNUMBER(SEARCH("recruit",B127)),ISNUMBER(SEARCH("human resource",B127))),"HR / Recruiter",OR(ISNUMBER(SEARCH("account",B127)),ISNUMBER(SEARCH("finance",B127)),ISNUMBER(SEARCH("tax",B127)),ISNUMBER(SEARCH("audit",B127))),"Accountant / Finance",OR(ISNUMBER(SEARCH("customer service",B127)),ISNUMBER(SEARCH("customer support",B127)),ISNUMBER(SEARCH("customer care",B127)),ISNUMBER(SEARCH("voice process",B127)),ISNUMBER(SEARCH("bpo",B127))),"Customer Support",ISNUMBER(SEARCH("engineer",B127)),"Engineer (Technical)",ISNUMBER(SEARCH("manager",B127)),"Manager",OR(ISNUMBER(SEARCH("teacher",B127)),ISNUMBER(SEARCH("trainer",B127)),ISNUMBER(SEARCH("faculty",B127))),"Teacher / Trainer",OR(ISNUMBER(SEARCH("doctor",B127)),ISNUMBER(SEARCH("nurse",B127)),ISNUMBER(SEARCH("medical",B127)),ISNUMBER(SEARCH("pharma",B127)),ISNUMBER(SEARCH("clinical",B127))),"Healthcare",TRUE,"Other")</f>
        <v/>
      </c>
      <c r="B32">
        <f>IF(PROPER(TRIM(Raw_Data!D126))="Bangalore","Bengaluru",IF(PROPER(TRIM(Raw_Data!D126))="Gurgaon","Gurugram",IF(OR(PROPER(TRIM(Raw_Data!D126))="New Delhi",PROPER(TRIM(Raw_Data!D126))="Delhi"),"Delhi",PROPER(TRIM(Raw_Data!D126)))))</f>
        <v/>
      </c>
      <c r="C32">
        <f>IF(TRIM(Raw_Data!F126&amp;"")="","Not Specified",Raw_Data!F126)</f>
        <v/>
      </c>
      <c r="D32">
        <f>Raw_Data!H126</f>
        <v/>
      </c>
      <c r="E32">
        <f>Raw_Data!E126</f>
        <v/>
      </c>
    </row>
    <row r="33">
      <c r="A33">
        <f>_xlfn.IFS(ISNUMBER(SEARCH("data analy",B128)),"Data Analyst",ISNUMBER(SEARCH("business analy",B128)),"Business Analyst",OR(ISNUMBER(SEARCH("developer",B128)),ISNUMBER(SEARCH("software engineer",B128)),ISNUMBER(SEARCH("programmer",B128))),"Software Developer",ISNUMBER(SEARCH("business development",B128)),"Business Development",ISNUMBER(SEARCH("sales",B128)),"Sales Executive",ISNUMBER(SEARCH("marketing",B128)),"Marketing Executive",OR(ISNUMBER(SEARCH("hr ",B128)),ISNUMBER(SEARCH("recruit",B128)),ISNUMBER(SEARCH("human resource",B128))),"HR / Recruiter",OR(ISNUMBER(SEARCH("account",B128)),ISNUMBER(SEARCH("finance",B128)),ISNUMBER(SEARCH("tax",B128)),ISNUMBER(SEARCH("audit",B128))),"Accountant / Finance",OR(ISNUMBER(SEARCH("customer service",B128)),ISNUMBER(SEARCH("customer support",B128)),ISNUMBER(SEARCH("customer care",B128)),ISNUMBER(SEARCH("voice process",B128)),ISNUMBER(SEARCH("bpo",B128))),"Customer Support",ISNUMBER(SEARCH("engineer",B128)),"Engineer (Technical)",ISNUMBER(SEARCH("manager",B128)),"Manager",OR(ISNUMBER(SEARCH("teacher",B128)),ISNUMBER(SEARCH("trainer",B128)),ISNUMBER(SEARCH("faculty",B128))),"Teacher / Trainer",OR(ISNUMBER(SEARCH("doctor",B128)),ISNUMBER(SEARCH("nurse",B128)),ISNUMBER(SEARCH("medical",B128)),ISNUMBER(SEARCH("pharma",B128)),ISNUMBER(SEARCH("clinical",B128))),"Healthcare",TRUE,"Other")</f>
        <v/>
      </c>
      <c r="B33">
        <f>IF(PROPER(TRIM(Raw_Data!D127))="Bangalore","Bengaluru",IF(PROPER(TRIM(Raw_Data!D127))="Gurgaon","Gurugram",IF(OR(PROPER(TRIM(Raw_Data!D127))="New Delhi",PROPER(TRIM(Raw_Data!D127))="Delhi"),"Delhi",PROPER(TRIM(Raw_Data!D127)))))</f>
        <v/>
      </c>
      <c r="C33">
        <f>IF(TRIM(Raw_Data!F127&amp;"")="","Not Specified",Raw_Data!F127)</f>
        <v/>
      </c>
      <c r="D33">
        <f>Raw_Data!H127</f>
        <v/>
      </c>
      <c r="E33">
        <f>Raw_Data!E127</f>
        <v/>
      </c>
    </row>
    <row r="34">
      <c r="A34">
        <f>_xlfn.IFS(ISNUMBER(SEARCH("data analy",B129)),"Data Analyst",ISNUMBER(SEARCH("business analy",B129)),"Business Analyst",OR(ISNUMBER(SEARCH("developer",B129)),ISNUMBER(SEARCH("software engineer",B129)),ISNUMBER(SEARCH("programmer",B129))),"Software Developer",ISNUMBER(SEARCH("business development",B129)),"Business Development",ISNUMBER(SEARCH("sales",B129)),"Sales Executive",ISNUMBER(SEARCH("marketing",B129)),"Marketing Executive",OR(ISNUMBER(SEARCH("hr ",B129)),ISNUMBER(SEARCH("recruit",B129)),ISNUMBER(SEARCH("human resource",B129))),"HR / Recruiter",OR(ISNUMBER(SEARCH("account",B129)),ISNUMBER(SEARCH("finance",B129)),ISNUMBER(SEARCH("tax",B129)),ISNUMBER(SEARCH("audit",B129))),"Accountant / Finance",OR(ISNUMBER(SEARCH("customer service",B129)),ISNUMBER(SEARCH("customer support",B129)),ISNUMBER(SEARCH("customer care",B129)),ISNUMBER(SEARCH("voice process",B129)),ISNUMBER(SEARCH("bpo",B129))),"Customer Support",ISNUMBER(SEARCH("engineer",B129)),"Engineer (Technical)",ISNUMBER(SEARCH("manager",B129)),"Manager",OR(ISNUMBER(SEARCH("teacher",B129)),ISNUMBER(SEARCH("trainer",B129)),ISNUMBER(SEARCH("faculty",B129))),"Teacher / Trainer",OR(ISNUMBER(SEARCH("doctor",B129)),ISNUMBER(SEARCH("nurse",B129)),ISNUMBER(SEARCH("medical",B129)),ISNUMBER(SEARCH("pharma",B129)),ISNUMBER(SEARCH("clinical",B129))),"Healthcare",TRUE,"Other")</f>
        <v/>
      </c>
      <c r="B34">
        <f>IF(PROPER(TRIM(Raw_Data!D128))="Bangalore","Bengaluru",IF(PROPER(TRIM(Raw_Data!D128))="Gurgaon","Gurugram",IF(OR(PROPER(TRIM(Raw_Data!D128))="New Delhi",PROPER(TRIM(Raw_Data!D128))="Delhi"),"Delhi",PROPER(TRIM(Raw_Data!D128)))))</f>
        <v/>
      </c>
      <c r="C34">
        <f>IF(TRIM(Raw_Data!F128&amp;"")="","Not Specified",Raw_Data!F128)</f>
        <v/>
      </c>
      <c r="D34">
        <f>Raw_Data!H128</f>
        <v/>
      </c>
      <c r="E34">
        <f>Raw_Data!E128</f>
        <v/>
      </c>
    </row>
    <row r="35">
      <c r="A35">
        <f>_xlfn.IFS(ISNUMBER(SEARCH("data analy",B13)),"Data Analyst",ISNUMBER(SEARCH("business analy",B13)),"Business Analyst",OR(ISNUMBER(SEARCH("developer",B13)),ISNUMBER(SEARCH("software engineer",B13)),ISNUMBER(SEARCH("programmer",B13))),"Software Developer",ISNUMBER(SEARCH("business development",B13)),"Business Development",ISNUMBER(SEARCH("sales",B13)),"Sales Executive",ISNUMBER(SEARCH("marketing",B13)),"Marketing Executive",OR(ISNUMBER(SEARCH("hr ",B13)),ISNUMBER(SEARCH("recruit",B13)),ISNUMBER(SEARCH("human resource",B13))),"HR / Recruiter",OR(ISNUMBER(SEARCH("account",B13)),ISNUMBER(SEARCH("finance",B13)),ISNUMBER(SEARCH("tax",B13)),ISNUMBER(SEARCH("audit",B13))),"Accountant / Finance",OR(ISNUMBER(SEARCH("customer service",B13)),ISNUMBER(SEARCH("customer support",B13)),ISNUMBER(SEARCH("customer care",B13)),ISNUMBER(SEARCH("voice process",B13)),ISNUMBER(SEARCH("bpo",B13))),"Customer Support",ISNUMBER(SEARCH("engineer",B13)),"Engineer (Technical)",ISNUMBER(SEARCH("manager",B13)),"Manager",OR(ISNUMBER(SEARCH("teacher",B13)),ISNUMBER(SEARCH("trainer",B13)),ISNUMBER(SEARCH("faculty",B13))),"Teacher / Trainer",OR(ISNUMBER(SEARCH("doctor",B13)),ISNUMBER(SEARCH("nurse",B13)),ISNUMBER(SEARCH("medical",B13)),ISNUMBER(SEARCH("pharma",B13)),ISNUMBER(SEARCH("clinical",B13))),"Healthcare",TRUE,"Other")</f>
        <v/>
      </c>
      <c r="B35">
        <f>IF(PROPER(TRIM(Raw_Data!D129))="Bangalore","Bengaluru",IF(PROPER(TRIM(Raw_Data!D129))="Gurgaon","Gurugram",IF(OR(PROPER(TRIM(Raw_Data!D129))="New Delhi",PROPER(TRIM(Raw_Data!D129))="Delhi"),"Delhi",PROPER(TRIM(Raw_Data!D129)))))</f>
        <v/>
      </c>
      <c r="C35">
        <f>IF(TRIM(Raw_Data!F129&amp;"")="","Not Specified",Raw_Data!F129)</f>
        <v/>
      </c>
      <c r="D35">
        <f>Raw_Data!H129</f>
        <v/>
      </c>
      <c r="E35">
        <f>Raw_Data!E129</f>
        <v/>
      </c>
    </row>
    <row r="36">
      <c r="A36">
        <f>_xlfn.IFS(ISNUMBER(SEARCH("data analy",B130)),"Data Analyst",ISNUMBER(SEARCH("business analy",B130)),"Business Analyst",OR(ISNUMBER(SEARCH("developer",B130)),ISNUMBER(SEARCH("software engineer",B130)),ISNUMBER(SEARCH("programmer",B130))),"Software Developer",ISNUMBER(SEARCH("business development",B130)),"Business Development",ISNUMBER(SEARCH("sales",B130)),"Sales Executive",ISNUMBER(SEARCH("marketing",B130)),"Marketing Executive",OR(ISNUMBER(SEARCH("hr ",B130)),ISNUMBER(SEARCH("recruit",B130)),ISNUMBER(SEARCH("human resource",B130))),"HR / Recruiter",OR(ISNUMBER(SEARCH("account",B130)),ISNUMBER(SEARCH("finance",B130)),ISNUMBER(SEARCH("tax",B130)),ISNUMBER(SEARCH("audit",B130))),"Accountant / Finance",OR(ISNUMBER(SEARCH("customer service",B130)),ISNUMBER(SEARCH("customer support",B130)),ISNUMBER(SEARCH("customer care",B130)),ISNUMBER(SEARCH("voice process",B130)),ISNUMBER(SEARCH("bpo",B130))),"Customer Support",ISNUMBER(SEARCH("engineer",B130)),"Engineer (Technical)",ISNUMBER(SEARCH("manager",B130)),"Manager",OR(ISNUMBER(SEARCH("teacher",B130)),ISNUMBER(SEARCH("trainer",B130)),ISNUMBER(SEARCH("faculty",B130))),"Teacher / Trainer",OR(ISNUMBER(SEARCH("doctor",B130)),ISNUMBER(SEARCH("nurse",B130)),ISNUMBER(SEARCH("medical",B130)),ISNUMBER(SEARCH("pharma",B130)),ISNUMBER(SEARCH("clinical",B130))),"Healthcare",TRUE,"Other")</f>
        <v/>
      </c>
      <c r="B36">
        <f>IF(PROPER(TRIM(Raw_Data!D13))="Bangalore","Bengaluru",IF(PROPER(TRIM(Raw_Data!D13))="Gurgaon","Gurugram",IF(OR(PROPER(TRIM(Raw_Data!D13))="New Delhi",PROPER(TRIM(Raw_Data!D13))="Delhi"),"Delhi",PROPER(TRIM(Raw_Data!D13)))))</f>
        <v/>
      </c>
      <c r="C36">
        <f>IF(TRIM(Raw_Data!F13&amp;"")="","Not Specified",Raw_Data!F13)</f>
        <v/>
      </c>
      <c r="D36">
        <f>Raw_Data!H13</f>
        <v/>
      </c>
      <c r="E36">
        <f>Raw_Data!E13</f>
        <v/>
      </c>
    </row>
    <row r="37">
      <c r="A37">
        <f>_xlfn.IFS(ISNUMBER(SEARCH("data analy",B131)),"Data Analyst",ISNUMBER(SEARCH("business analy",B131)),"Business Analyst",OR(ISNUMBER(SEARCH("developer",B131)),ISNUMBER(SEARCH("software engineer",B131)),ISNUMBER(SEARCH("programmer",B131))),"Software Developer",ISNUMBER(SEARCH("business development",B131)),"Business Development",ISNUMBER(SEARCH("sales",B131)),"Sales Executive",ISNUMBER(SEARCH("marketing",B131)),"Marketing Executive",OR(ISNUMBER(SEARCH("hr ",B131)),ISNUMBER(SEARCH("recruit",B131)),ISNUMBER(SEARCH("human resource",B131))),"HR / Recruiter",OR(ISNUMBER(SEARCH("account",B131)),ISNUMBER(SEARCH("finance",B131)),ISNUMBER(SEARCH("tax",B131)),ISNUMBER(SEARCH("audit",B131))),"Accountant / Finance",OR(ISNUMBER(SEARCH("customer service",B131)),ISNUMBER(SEARCH("customer support",B131)),ISNUMBER(SEARCH("customer care",B131)),ISNUMBER(SEARCH("voice process",B131)),ISNUMBER(SEARCH("bpo",B131))),"Customer Support",ISNUMBER(SEARCH("engineer",B131)),"Engineer (Technical)",ISNUMBER(SEARCH("manager",B131)),"Manager",OR(ISNUMBER(SEARCH("teacher",B131)),ISNUMBER(SEARCH("trainer",B131)),ISNUMBER(SEARCH("faculty",B131))),"Teacher / Trainer",OR(ISNUMBER(SEARCH("doctor",B131)),ISNUMBER(SEARCH("nurse",B131)),ISNUMBER(SEARCH("medical",B131)),ISNUMBER(SEARCH("pharma",B131)),ISNUMBER(SEARCH("clinical",B131))),"Healthcare",TRUE,"Other")</f>
        <v/>
      </c>
      <c r="B37">
        <f>IF(PROPER(TRIM(Raw_Data!D130))="Bangalore","Bengaluru",IF(PROPER(TRIM(Raw_Data!D130))="Gurgaon","Gurugram",IF(OR(PROPER(TRIM(Raw_Data!D130))="New Delhi",PROPER(TRIM(Raw_Data!D130))="Delhi"),"Delhi",PROPER(TRIM(Raw_Data!D130)))))</f>
        <v/>
      </c>
      <c r="C37">
        <f>IF(TRIM(Raw_Data!F130&amp;"")="","Not Specified",Raw_Data!F130)</f>
        <v/>
      </c>
      <c r="D37">
        <f>Raw_Data!H130</f>
        <v/>
      </c>
      <c r="E37">
        <f>Raw_Data!E130</f>
        <v/>
      </c>
    </row>
    <row r="38">
      <c r="A38">
        <f>_xlfn.IFS(ISNUMBER(SEARCH("data analy",B132)),"Data Analyst",ISNUMBER(SEARCH("business analy",B132)),"Business Analyst",OR(ISNUMBER(SEARCH("developer",B132)),ISNUMBER(SEARCH("software engineer",B132)),ISNUMBER(SEARCH("programmer",B132))),"Software Developer",ISNUMBER(SEARCH("business development",B132)),"Business Development",ISNUMBER(SEARCH("sales",B132)),"Sales Executive",ISNUMBER(SEARCH("marketing",B132)),"Marketing Executive",OR(ISNUMBER(SEARCH("hr ",B132)),ISNUMBER(SEARCH("recruit",B132)),ISNUMBER(SEARCH("human resource",B132))),"HR / Recruiter",OR(ISNUMBER(SEARCH("account",B132)),ISNUMBER(SEARCH("finance",B132)),ISNUMBER(SEARCH("tax",B132)),ISNUMBER(SEARCH("audit",B132))),"Accountant / Finance",OR(ISNUMBER(SEARCH("customer service",B132)),ISNUMBER(SEARCH("customer support",B132)),ISNUMBER(SEARCH("customer care",B132)),ISNUMBER(SEARCH("voice process",B132)),ISNUMBER(SEARCH("bpo",B132))),"Customer Support",ISNUMBER(SEARCH("engineer",B132)),"Engineer (Technical)",ISNUMBER(SEARCH("manager",B132)),"Manager",OR(ISNUMBER(SEARCH("teacher",B132)),ISNUMBER(SEARCH("trainer",B132)),ISNUMBER(SEARCH("faculty",B132))),"Teacher / Trainer",OR(ISNUMBER(SEARCH("doctor",B132)),ISNUMBER(SEARCH("nurse",B132)),ISNUMBER(SEARCH("medical",B132)),ISNUMBER(SEARCH("pharma",B132)),ISNUMBER(SEARCH("clinical",B132))),"Healthcare",TRUE,"Other")</f>
        <v/>
      </c>
      <c r="B38">
        <f>IF(PROPER(TRIM(Raw_Data!D131))="Bangalore","Bengaluru",IF(PROPER(TRIM(Raw_Data!D131))="Gurgaon","Gurugram",IF(OR(PROPER(TRIM(Raw_Data!D131))="New Delhi",PROPER(TRIM(Raw_Data!D131))="Delhi"),"Delhi",PROPER(TRIM(Raw_Data!D131)))))</f>
        <v/>
      </c>
      <c r="C38">
        <f>IF(TRIM(Raw_Data!F131&amp;"")="","Not Specified",Raw_Data!F131)</f>
        <v/>
      </c>
      <c r="D38">
        <f>Raw_Data!H131</f>
        <v/>
      </c>
      <c r="E38">
        <f>Raw_Data!E131</f>
        <v/>
      </c>
    </row>
    <row r="39">
      <c r="A39">
        <f>_xlfn.IFS(ISNUMBER(SEARCH("data analy",B133)),"Data Analyst",ISNUMBER(SEARCH("business analy",B133)),"Business Analyst",OR(ISNUMBER(SEARCH("developer",B133)),ISNUMBER(SEARCH("software engineer",B133)),ISNUMBER(SEARCH("programmer",B133))),"Software Developer",ISNUMBER(SEARCH("business development",B133)),"Business Development",ISNUMBER(SEARCH("sales",B133)),"Sales Executive",ISNUMBER(SEARCH("marketing",B133)),"Marketing Executive",OR(ISNUMBER(SEARCH("hr ",B133)),ISNUMBER(SEARCH("recruit",B133)),ISNUMBER(SEARCH("human resource",B133))),"HR / Recruiter",OR(ISNUMBER(SEARCH("account",B133)),ISNUMBER(SEARCH("finance",B133)),ISNUMBER(SEARCH("tax",B133)),ISNUMBER(SEARCH("audit",B133))),"Accountant / Finance",OR(ISNUMBER(SEARCH("customer service",B133)),ISNUMBER(SEARCH("customer support",B133)),ISNUMBER(SEARCH("customer care",B133)),ISNUMBER(SEARCH("voice process",B133)),ISNUMBER(SEARCH("bpo",B133))),"Customer Support",ISNUMBER(SEARCH("engineer",B133)),"Engineer (Technical)",ISNUMBER(SEARCH("manager",B133)),"Manager",OR(ISNUMBER(SEARCH("teacher",B133)),ISNUMBER(SEARCH("trainer",B133)),ISNUMBER(SEARCH("faculty",B133))),"Teacher / Trainer",OR(ISNUMBER(SEARCH("doctor",B133)),ISNUMBER(SEARCH("nurse",B133)),ISNUMBER(SEARCH("medical",B133)),ISNUMBER(SEARCH("pharma",B133)),ISNUMBER(SEARCH("clinical",B133))),"Healthcare",TRUE,"Other")</f>
        <v/>
      </c>
      <c r="B39">
        <f>IF(PROPER(TRIM(Raw_Data!D132))="Bangalore","Bengaluru",IF(PROPER(TRIM(Raw_Data!D132))="Gurgaon","Gurugram",IF(OR(PROPER(TRIM(Raw_Data!D132))="New Delhi",PROPER(TRIM(Raw_Data!D132))="Delhi"),"Delhi",PROPER(TRIM(Raw_Data!D132)))))</f>
        <v/>
      </c>
      <c r="C39">
        <f>IF(TRIM(Raw_Data!F132&amp;"")="","Not Specified",Raw_Data!F132)</f>
        <v/>
      </c>
      <c r="D39">
        <f>Raw_Data!H132</f>
        <v/>
      </c>
      <c r="E39">
        <f>Raw_Data!E132</f>
        <v/>
      </c>
    </row>
    <row r="40">
      <c r="A40">
        <f>_xlfn.IFS(ISNUMBER(SEARCH("data analy",B134)),"Data Analyst",ISNUMBER(SEARCH("business analy",B134)),"Business Analyst",OR(ISNUMBER(SEARCH("developer",B134)),ISNUMBER(SEARCH("software engineer",B134)),ISNUMBER(SEARCH("programmer",B134))),"Software Developer",ISNUMBER(SEARCH("business development",B134)),"Business Development",ISNUMBER(SEARCH("sales",B134)),"Sales Executive",ISNUMBER(SEARCH("marketing",B134)),"Marketing Executive",OR(ISNUMBER(SEARCH("hr ",B134)),ISNUMBER(SEARCH("recruit",B134)),ISNUMBER(SEARCH("human resource",B134))),"HR / Recruiter",OR(ISNUMBER(SEARCH("account",B134)),ISNUMBER(SEARCH("finance",B134)),ISNUMBER(SEARCH("tax",B134)),ISNUMBER(SEARCH("audit",B134))),"Accountant / Finance",OR(ISNUMBER(SEARCH("customer service",B134)),ISNUMBER(SEARCH("customer support",B134)),ISNUMBER(SEARCH("customer care",B134)),ISNUMBER(SEARCH("voice process",B134)),ISNUMBER(SEARCH("bpo",B134))),"Customer Support",ISNUMBER(SEARCH("engineer",B134)),"Engineer (Technical)",ISNUMBER(SEARCH("manager",B134)),"Manager",OR(ISNUMBER(SEARCH("teacher",B134)),ISNUMBER(SEARCH("trainer",B134)),ISNUMBER(SEARCH("faculty",B134))),"Teacher / Trainer",OR(ISNUMBER(SEARCH("doctor",B134)),ISNUMBER(SEARCH("nurse",B134)),ISNUMBER(SEARCH("medical",B134)),ISNUMBER(SEARCH("pharma",B134)),ISNUMBER(SEARCH("clinical",B134))),"Healthcare",TRUE,"Other")</f>
        <v/>
      </c>
      <c r="B40">
        <f>IF(PROPER(TRIM(Raw_Data!D133))="Bangalore","Bengaluru",IF(PROPER(TRIM(Raw_Data!D133))="Gurgaon","Gurugram",IF(OR(PROPER(TRIM(Raw_Data!D133))="New Delhi",PROPER(TRIM(Raw_Data!D133))="Delhi"),"Delhi",PROPER(TRIM(Raw_Data!D133)))))</f>
        <v/>
      </c>
      <c r="C40">
        <f>IF(TRIM(Raw_Data!F133&amp;"")="","Not Specified",Raw_Data!F133)</f>
        <v/>
      </c>
      <c r="D40">
        <f>Raw_Data!H133</f>
        <v/>
      </c>
      <c r="E40">
        <f>Raw_Data!E133</f>
        <v/>
      </c>
    </row>
    <row r="41">
      <c r="A41">
        <f>_xlfn.IFS(ISNUMBER(SEARCH("data analy",B135)),"Data Analyst",ISNUMBER(SEARCH("business analy",B135)),"Business Analyst",OR(ISNUMBER(SEARCH("developer",B135)),ISNUMBER(SEARCH("software engineer",B135)),ISNUMBER(SEARCH("programmer",B135))),"Software Developer",ISNUMBER(SEARCH("business development",B135)),"Business Development",ISNUMBER(SEARCH("sales",B135)),"Sales Executive",ISNUMBER(SEARCH("marketing",B135)),"Marketing Executive",OR(ISNUMBER(SEARCH("hr ",B135)),ISNUMBER(SEARCH("recruit",B135)),ISNUMBER(SEARCH("human resource",B135))),"HR / Recruiter",OR(ISNUMBER(SEARCH("account",B135)),ISNUMBER(SEARCH("finance",B135)),ISNUMBER(SEARCH("tax",B135)),ISNUMBER(SEARCH("audit",B135))),"Accountant / Finance",OR(ISNUMBER(SEARCH("customer service",B135)),ISNUMBER(SEARCH("customer support",B135)),ISNUMBER(SEARCH("customer care",B135)),ISNUMBER(SEARCH("voice process",B135)),ISNUMBER(SEARCH("bpo",B135))),"Customer Support",ISNUMBER(SEARCH("engineer",B135)),"Engineer (Technical)",ISNUMBER(SEARCH("manager",B135)),"Manager",OR(ISNUMBER(SEARCH("teacher",B135)),ISNUMBER(SEARCH("trainer",B135)),ISNUMBER(SEARCH("faculty",B135))),"Teacher / Trainer",OR(ISNUMBER(SEARCH("doctor",B135)),ISNUMBER(SEARCH("nurse",B135)),ISNUMBER(SEARCH("medical",B135)),ISNUMBER(SEARCH("pharma",B135)),ISNUMBER(SEARCH("clinical",B135))),"Healthcare",TRUE,"Other")</f>
        <v/>
      </c>
      <c r="B41">
        <f>IF(PROPER(TRIM(Raw_Data!D134))="Bangalore","Bengaluru",IF(PROPER(TRIM(Raw_Data!D134))="Gurgaon","Gurugram",IF(OR(PROPER(TRIM(Raw_Data!D134))="New Delhi",PROPER(TRIM(Raw_Data!D134))="Delhi"),"Delhi",PROPER(TRIM(Raw_Data!D134)))))</f>
        <v/>
      </c>
      <c r="C41">
        <f>IF(TRIM(Raw_Data!F134&amp;"")="","Not Specified",Raw_Data!F134)</f>
        <v/>
      </c>
      <c r="D41">
        <f>Raw_Data!H134</f>
        <v/>
      </c>
      <c r="E41">
        <f>Raw_Data!E134</f>
        <v/>
      </c>
    </row>
    <row r="42">
      <c r="A42">
        <f>_xlfn.IFS(ISNUMBER(SEARCH("data analy",B136)),"Data Analyst",ISNUMBER(SEARCH("business analy",B136)),"Business Analyst",OR(ISNUMBER(SEARCH("developer",B136)),ISNUMBER(SEARCH("software engineer",B136)),ISNUMBER(SEARCH("programmer",B136))),"Software Developer",ISNUMBER(SEARCH("business development",B136)),"Business Development",ISNUMBER(SEARCH("sales",B136)),"Sales Executive",ISNUMBER(SEARCH("marketing",B136)),"Marketing Executive",OR(ISNUMBER(SEARCH("hr ",B136)),ISNUMBER(SEARCH("recruit",B136)),ISNUMBER(SEARCH("human resource",B136))),"HR / Recruiter",OR(ISNUMBER(SEARCH("account",B136)),ISNUMBER(SEARCH("finance",B136)),ISNUMBER(SEARCH("tax",B136)),ISNUMBER(SEARCH("audit",B136))),"Accountant / Finance",OR(ISNUMBER(SEARCH("customer service",B136)),ISNUMBER(SEARCH("customer support",B136)),ISNUMBER(SEARCH("customer care",B136)),ISNUMBER(SEARCH("voice process",B136)),ISNUMBER(SEARCH("bpo",B136))),"Customer Support",ISNUMBER(SEARCH("engineer",B136)),"Engineer (Technical)",ISNUMBER(SEARCH("manager",B136)),"Manager",OR(ISNUMBER(SEARCH("teacher",B136)),ISNUMBER(SEARCH("trainer",B136)),ISNUMBER(SEARCH("faculty",B136))),"Teacher / Trainer",OR(ISNUMBER(SEARCH("doctor",B136)),ISNUMBER(SEARCH("nurse",B136)),ISNUMBER(SEARCH("medical",B136)),ISNUMBER(SEARCH("pharma",B136)),ISNUMBER(SEARCH("clinical",B136))),"Healthcare",TRUE,"Other")</f>
        <v/>
      </c>
      <c r="B42">
        <f>IF(PROPER(TRIM(Raw_Data!D135))="Bangalore","Bengaluru",IF(PROPER(TRIM(Raw_Data!D135))="Gurgaon","Gurugram",IF(OR(PROPER(TRIM(Raw_Data!D135))="New Delhi",PROPER(TRIM(Raw_Data!D135))="Delhi"),"Delhi",PROPER(TRIM(Raw_Data!D135)))))</f>
        <v/>
      </c>
      <c r="C42">
        <f>IF(TRIM(Raw_Data!F135&amp;"")="","Not Specified",Raw_Data!F135)</f>
        <v/>
      </c>
      <c r="D42">
        <f>Raw_Data!H135</f>
        <v/>
      </c>
      <c r="E42">
        <f>Raw_Data!E135</f>
        <v/>
      </c>
    </row>
    <row r="43">
      <c r="A43">
        <f>_xlfn.IFS(ISNUMBER(SEARCH("data analy",B137)),"Data Analyst",ISNUMBER(SEARCH("business analy",B137)),"Business Analyst",OR(ISNUMBER(SEARCH("developer",B137)),ISNUMBER(SEARCH("software engineer",B137)),ISNUMBER(SEARCH("programmer",B137))),"Software Developer",ISNUMBER(SEARCH("business development",B137)),"Business Development",ISNUMBER(SEARCH("sales",B137)),"Sales Executive",ISNUMBER(SEARCH("marketing",B137)),"Marketing Executive",OR(ISNUMBER(SEARCH("hr ",B137)),ISNUMBER(SEARCH("recruit",B137)),ISNUMBER(SEARCH("human resource",B137))),"HR / Recruiter",OR(ISNUMBER(SEARCH("account",B137)),ISNUMBER(SEARCH("finance",B137)),ISNUMBER(SEARCH("tax",B137)),ISNUMBER(SEARCH("audit",B137))),"Accountant / Finance",OR(ISNUMBER(SEARCH("customer service",B137)),ISNUMBER(SEARCH("customer support",B137)),ISNUMBER(SEARCH("customer care",B137)),ISNUMBER(SEARCH("voice process",B137)),ISNUMBER(SEARCH("bpo",B137))),"Customer Support",ISNUMBER(SEARCH("engineer",B137)),"Engineer (Technical)",ISNUMBER(SEARCH("manager",B137)),"Manager",OR(ISNUMBER(SEARCH("teacher",B137)),ISNUMBER(SEARCH("trainer",B137)),ISNUMBER(SEARCH("faculty",B137))),"Teacher / Trainer",OR(ISNUMBER(SEARCH("doctor",B137)),ISNUMBER(SEARCH("nurse",B137)),ISNUMBER(SEARCH("medical",B137)),ISNUMBER(SEARCH("pharma",B137)),ISNUMBER(SEARCH("clinical",B137))),"Healthcare",TRUE,"Other")</f>
        <v/>
      </c>
      <c r="B43">
        <f>IF(PROPER(TRIM(Raw_Data!D136))="Bangalore","Bengaluru",IF(PROPER(TRIM(Raw_Data!D136))="Gurgaon","Gurugram",IF(OR(PROPER(TRIM(Raw_Data!D136))="New Delhi",PROPER(TRIM(Raw_Data!D136))="Delhi"),"Delhi",PROPER(TRIM(Raw_Data!D136)))))</f>
        <v/>
      </c>
      <c r="C43">
        <f>IF(TRIM(Raw_Data!F136&amp;"")="","Not Specified",Raw_Data!F136)</f>
        <v/>
      </c>
      <c r="D43">
        <f>Raw_Data!H136</f>
        <v/>
      </c>
      <c r="E43">
        <f>Raw_Data!E136</f>
        <v/>
      </c>
    </row>
    <row r="44">
      <c r="A44">
        <f>_xlfn.IFS(ISNUMBER(SEARCH("data analy",B138)),"Data Analyst",ISNUMBER(SEARCH("business analy",B138)),"Business Analyst",OR(ISNUMBER(SEARCH("developer",B138)),ISNUMBER(SEARCH("software engineer",B138)),ISNUMBER(SEARCH("programmer",B138))),"Software Developer",ISNUMBER(SEARCH("business development",B138)),"Business Development",ISNUMBER(SEARCH("sales",B138)),"Sales Executive",ISNUMBER(SEARCH("marketing",B138)),"Marketing Executive",OR(ISNUMBER(SEARCH("hr ",B138)),ISNUMBER(SEARCH("recruit",B138)),ISNUMBER(SEARCH("human resource",B138))),"HR / Recruiter",OR(ISNUMBER(SEARCH("account",B138)),ISNUMBER(SEARCH("finance",B138)),ISNUMBER(SEARCH("tax",B138)),ISNUMBER(SEARCH("audit",B138))),"Accountant / Finance",OR(ISNUMBER(SEARCH("customer service",B138)),ISNUMBER(SEARCH("customer support",B138)),ISNUMBER(SEARCH("customer care",B138)),ISNUMBER(SEARCH("voice process",B138)),ISNUMBER(SEARCH("bpo",B138))),"Customer Support",ISNUMBER(SEARCH("engineer",B138)),"Engineer (Technical)",ISNUMBER(SEARCH("manager",B138)),"Manager",OR(ISNUMBER(SEARCH("teacher",B138)),ISNUMBER(SEARCH("trainer",B138)),ISNUMBER(SEARCH("faculty",B138))),"Teacher / Trainer",OR(ISNUMBER(SEARCH("doctor",B138)),ISNUMBER(SEARCH("nurse",B138)),ISNUMBER(SEARCH("medical",B138)),ISNUMBER(SEARCH("pharma",B138)),ISNUMBER(SEARCH("clinical",B138))),"Healthcare",TRUE,"Other")</f>
        <v/>
      </c>
      <c r="B44">
        <f>IF(PROPER(TRIM(Raw_Data!D137))="Bangalore","Bengaluru",IF(PROPER(TRIM(Raw_Data!D137))="Gurgaon","Gurugram",IF(OR(PROPER(TRIM(Raw_Data!D137))="New Delhi",PROPER(TRIM(Raw_Data!D137))="Delhi"),"Delhi",PROPER(TRIM(Raw_Data!D137)))))</f>
        <v/>
      </c>
      <c r="C44">
        <f>IF(TRIM(Raw_Data!F137&amp;"")="","Not Specified",Raw_Data!F137)</f>
        <v/>
      </c>
      <c r="D44">
        <f>Raw_Data!H137</f>
        <v/>
      </c>
      <c r="E44">
        <f>Raw_Data!E137</f>
        <v/>
      </c>
    </row>
    <row r="45">
      <c r="A45">
        <f>_xlfn.IFS(ISNUMBER(SEARCH("data analy",B139)),"Data Analyst",ISNUMBER(SEARCH("business analy",B139)),"Business Analyst",OR(ISNUMBER(SEARCH("developer",B139)),ISNUMBER(SEARCH("software engineer",B139)),ISNUMBER(SEARCH("programmer",B139))),"Software Developer",ISNUMBER(SEARCH("business development",B139)),"Business Development",ISNUMBER(SEARCH("sales",B139)),"Sales Executive",ISNUMBER(SEARCH("marketing",B139)),"Marketing Executive",OR(ISNUMBER(SEARCH("hr ",B139)),ISNUMBER(SEARCH("recruit",B139)),ISNUMBER(SEARCH("human resource",B139))),"HR / Recruiter",OR(ISNUMBER(SEARCH("account",B139)),ISNUMBER(SEARCH("finance",B139)),ISNUMBER(SEARCH("tax",B139)),ISNUMBER(SEARCH("audit",B139))),"Accountant / Finance",OR(ISNUMBER(SEARCH("customer service",B139)),ISNUMBER(SEARCH("customer support",B139)),ISNUMBER(SEARCH("customer care",B139)),ISNUMBER(SEARCH("voice process",B139)),ISNUMBER(SEARCH("bpo",B139))),"Customer Support",ISNUMBER(SEARCH("engineer",B139)),"Engineer (Technical)",ISNUMBER(SEARCH("manager",B139)),"Manager",OR(ISNUMBER(SEARCH("teacher",B139)),ISNUMBER(SEARCH("trainer",B139)),ISNUMBER(SEARCH("faculty",B139))),"Teacher / Trainer",OR(ISNUMBER(SEARCH("doctor",B139)),ISNUMBER(SEARCH("nurse",B139)),ISNUMBER(SEARCH("medical",B139)),ISNUMBER(SEARCH("pharma",B139)),ISNUMBER(SEARCH("clinical",B139))),"Healthcare",TRUE,"Other")</f>
        <v/>
      </c>
      <c r="B45">
        <f>IF(PROPER(TRIM(Raw_Data!D138))="Bangalore","Bengaluru",IF(PROPER(TRIM(Raw_Data!D138))="Gurgaon","Gurugram",IF(OR(PROPER(TRIM(Raw_Data!D138))="New Delhi",PROPER(TRIM(Raw_Data!D138))="Delhi"),"Delhi",PROPER(TRIM(Raw_Data!D138)))))</f>
        <v/>
      </c>
      <c r="C45">
        <f>IF(TRIM(Raw_Data!F138&amp;"")="","Not Specified",Raw_Data!F138)</f>
        <v/>
      </c>
      <c r="D45">
        <f>Raw_Data!H138</f>
        <v/>
      </c>
      <c r="E45">
        <f>Raw_Data!E138</f>
        <v/>
      </c>
    </row>
    <row r="46">
      <c r="A46">
        <f>_xlfn.IFS(ISNUMBER(SEARCH("data analy",B14)),"Data Analyst",ISNUMBER(SEARCH("business analy",B14)),"Business Analyst",OR(ISNUMBER(SEARCH("developer",B14)),ISNUMBER(SEARCH("software engineer",B14)),ISNUMBER(SEARCH("programmer",B14))),"Software Developer",ISNUMBER(SEARCH("business development",B14)),"Business Development",ISNUMBER(SEARCH("sales",B14)),"Sales Executive",ISNUMBER(SEARCH("marketing",B14)),"Marketing Executive",OR(ISNUMBER(SEARCH("hr ",B14)),ISNUMBER(SEARCH("recruit",B14)),ISNUMBER(SEARCH("human resource",B14))),"HR / Recruiter",OR(ISNUMBER(SEARCH("account",B14)),ISNUMBER(SEARCH("finance",B14)),ISNUMBER(SEARCH("tax",B14)),ISNUMBER(SEARCH("audit",B14))),"Accountant / Finance",OR(ISNUMBER(SEARCH("customer service",B14)),ISNUMBER(SEARCH("customer support",B14)),ISNUMBER(SEARCH("customer care",B14)),ISNUMBER(SEARCH("voice process",B14)),ISNUMBER(SEARCH("bpo",B14))),"Customer Support",ISNUMBER(SEARCH("engineer",B14)),"Engineer (Technical)",ISNUMBER(SEARCH("manager",B14)),"Manager",OR(ISNUMBER(SEARCH("teacher",B14)),ISNUMBER(SEARCH("trainer",B14)),ISNUMBER(SEARCH("faculty",B14))),"Teacher / Trainer",OR(ISNUMBER(SEARCH("doctor",B14)),ISNUMBER(SEARCH("nurse",B14)),ISNUMBER(SEARCH("medical",B14)),ISNUMBER(SEARCH("pharma",B14)),ISNUMBER(SEARCH("clinical",B14))),"Healthcare",TRUE,"Other")</f>
        <v/>
      </c>
      <c r="B46">
        <f>IF(PROPER(TRIM(Raw_Data!D139))="Bangalore","Bengaluru",IF(PROPER(TRIM(Raw_Data!D139))="Gurgaon","Gurugram",IF(OR(PROPER(TRIM(Raw_Data!D139))="New Delhi",PROPER(TRIM(Raw_Data!D139))="Delhi"),"Delhi",PROPER(TRIM(Raw_Data!D139)))))</f>
        <v/>
      </c>
      <c r="C46">
        <f>IF(TRIM(Raw_Data!F139&amp;"")="","Not Specified",Raw_Data!F139)</f>
        <v/>
      </c>
      <c r="D46">
        <f>Raw_Data!H139</f>
        <v/>
      </c>
      <c r="E46">
        <f>Raw_Data!E139</f>
        <v/>
      </c>
    </row>
    <row r="47">
      <c r="A47">
        <f>_xlfn.IFS(ISNUMBER(SEARCH("data analy",B140)),"Data Analyst",ISNUMBER(SEARCH("business analy",B140)),"Business Analyst",OR(ISNUMBER(SEARCH("developer",B140)),ISNUMBER(SEARCH("software engineer",B140)),ISNUMBER(SEARCH("programmer",B140))),"Software Developer",ISNUMBER(SEARCH("business development",B140)),"Business Development",ISNUMBER(SEARCH("sales",B140)),"Sales Executive",ISNUMBER(SEARCH("marketing",B140)),"Marketing Executive",OR(ISNUMBER(SEARCH("hr ",B140)),ISNUMBER(SEARCH("recruit",B140)),ISNUMBER(SEARCH("human resource",B140))),"HR / Recruiter",OR(ISNUMBER(SEARCH("account",B140)),ISNUMBER(SEARCH("finance",B140)),ISNUMBER(SEARCH("tax",B140)),ISNUMBER(SEARCH("audit",B140))),"Accountant / Finance",OR(ISNUMBER(SEARCH("customer service",B140)),ISNUMBER(SEARCH("customer support",B140)),ISNUMBER(SEARCH("customer care",B140)),ISNUMBER(SEARCH("voice process",B140)),ISNUMBER(SEARCH("bpo",B140))),"Customer Support",ISNUMBER(SEARCH("engineer",B140)),"Engineer (Technical)",ISNUMBER(SEARCH("manager",B140)),"Manager",OR(ISNUMBER(SEARCH("teacher",B140)),ISNUMBER(SEARCH("trainer",B140)),ISNUMBER(SEARCH("faculty",B140))),"Teacher / Trainer",OR(ISNUMBER(SEARCH("doctor",B140)),ISNUMBER(SEARCH("nurse",B140)),ISNUMBER(SEARCH("medical",B140)),ISNUMBER(SEARCH("pharma",B140)),ISNUMBER(SEARCH("clinical",B140))),"Healthcare",TRUE,"Other")</f>
        <v/>
      </c>
      <c r="B47">
        <f>IF(PROPER(TRIM(Raw_Data!D14))="Bangalore","Bengaluru",IF(PROPER(TRIM(Raw_Data!D14))="Gurgaon","Gurugram",IF(OR(PROPER(TRIM(Raw_Data!D14))="New Delhi",PROPER(TRIM(Raw_Data!D14))="Delhi"),"Delhi",PROPER(TRIM(Raw_Data!D14)))))</f>
        <v/>
      </c>
      <c r="C47">
        <f>IF(TRIM(Raw_Data!F14&amp;"")="","Not Specified",Raw_Data!F14)</f>
        <v/>
      </c>
      <c r="D47">
        <f>Raw_Data!H14</f>
        <v/>
      </c>
      <c r="E47">
        <f>Raw_Data!E14</f>
        <v/>
      </c>
    </row>
    <row r="48">
      <c r="A48">
        <f>_xlfn.IFS(ISNUMBER(SEARCH("data analy",B141)),"Data Analyst",ISNUMBER(SEARCH("business analy",B141)),"Business Analyst",OR(ISNUMBER(SEARCH("developer",B141)),ISNUMBER(SEARCH("software engineer",B141)),ISNUMBER(SEARCH("programmer",B141))),"Software Developer",ISNUMBER(SEARCH("business development",B141)),"Business Development",ISNUMBER(SEARCH("sales",B141)),"Sales Executive",ISNUMBER(SEARCH("marketing",B141)),"Marketing Executive",OR(ISNUMBER(SEARCH("hr ",B141)),ISNUMBER(SEARCH("recruit",B141)),ISNUMBER(SEARCH("human resource",B141))),"HR / Recruiter",OR(ISNUMBER(SEARCH("account",B141)),ISNUMBER(SEARCH("finance",B141)),ISNUMBER(SEARCH("tax",B141)),ISNUMBER(SEARCH("audit",B141))),"Accountant / Finance",OR(ISNUMBER(SEARCH("customer service",B141)),ISNUMBER(SEARCH("customer support",B141)),ISNUMBER(SEARCH("customer care",B141)),ISNUMBER(SEARCH("voice process",B141)),ISNUMBER(SEARCH("bpo",B141))),"Customer Support",ISNUMBER(SEARCH("engineer",B141)),"Engineer (Technical)",ISNUMBER(SEARCH("manager",B141)),"Manager",OR(ISNUMBER(SEARCH("teacher",B141)),ISNUMBER(SEARCH("trainer",B141)),ISNUMBER(SEARCH("faculty",B141))),"Teacher / Trainer",OR(ISNUMBER(SEARCH("doctor",B141)),ISNUMBER(SEARCH("nurse",B141)),ISNUMBER(SEARCH("medical",B141)),ISNUMBER(SEARCH("pharma",B141)),ISNUMBER(SEARCH("clinical",B141))),"Healthcare",TRUE,"Other")</f>
        <v/>
      </c>
      <c r="B48">
        <f>IF(PROPER(TRIM(Raw_Data!D140))="Bangalore","Bengaluru",IF(PROPER(TRIM(Raw_Data!D140))="Gurgaon","Gurugram",IF(OR(PROPER(TRIM(Raw_Data!D140))="New Delhi",PROPER(TRIM(Raw_Data!D140))="Delhi"),"Delhi",PROPER(TRIM(Raw_Data!D140)))))</f>
        <v/>
      </c>
      <c r="C48">
        <f>IF(TRIM(Raw_Data!F140&amp;"")="","Not Specified",Raw_Data!F140)</f>
        <v/>
      </c>
      <c r="D48">
        <f>Raw_Data!H140</f>
        <v/>
      </c>
      <c r="E48">
        <f>Raw_Data!E140</f>
        <v/>
      </c>
    </row>
    <row r="49">
      <c r="A49">
        <f>_xlfn.IFS(ISNUMBER(SEARCH("data analy",B142)),"Data Analyst",ISNUMBER(SEARCH("business analy",B142)),"Business Analyst",OR(ISNUMBER(SEARCH("developer",B142)),ISNUMBER(SEARCH("software engineer",B142)),ISNUMBER(SEARCH("programmer",B142))),"Software Developer",ISNUMBER(SEARCH("business development",B142)),"Business Development",ISNUMBER(SEARCH("sales",B142)),"Sales Executive",ISNUMBER(SEARCH("marketing",B142)),"Marketing Executive",OR(ISNUMBER(SEARCH("hr ",B142)),ISNUMBER(SEARCH("recruit",B142)),ISNUMBER(SEARCH("human resource",B142))),"HR / Recruiter",OR(ISNUMBER(SEARCH("account",B142)),ISNUMBER(SEARCH("finance",B142)),ISNUMBER(SEARCH("tax",B142)),ISNUMBER(SEARCH("audit",B142))),"Accountant / Finance",OR(ISNUMBER(SEARCH("customer service",B142)),ISNUMBER(SEARCH("customer support",B142)),ISNUMBER(SEARCH("customer care",B142)),ISNUMBER(SEARCH("voice process",B142)),ISNUMBER(SEARCH("bpo",B142))),"Customer Support",ISNUMBER(SEARCH("engineer",B142)),"Engineer (Technical)",ISNUMBER(SEARCH("manager",B142)),"Manager",OR(ISNUMBER(SEARCH("teacher",B142)),ISNUMBER(SEARCH("trainer",B142)),ISNUMBER(SEARCH("faculty",B142))),"Teacher / Trainer",OR(ISNUMBER(SEARCH("doctor",B142)),ISNUMBER(SEARCH("nurse",B142)),ISNUMBER(SEARCH("medical",B142)),ISNUMBER(SEARCH("pharma",B142)),ISNUMBER(SEARCH("clinical",B142))),"Healthcare",TRUE,"Other")</f>
        <v/>
      </c>
      <c r="B49">
        <f>IF(PROPER(TRIM(Raw_Data!D141))="Bangalore","Bengaluru",IF(PROPER(TRIM(Raw_Data!D141))="Gurgaon","Gurugram",IF(OR(PROPER(TRIM(Raw_Data!D141))="New Delhi",PROPER(TRIM(Raw_Data!D141))="Delhi"),"Delhi",PROPER(TRIM(Raw_Data!D141)))))</f>
        <v/>
      </c>
      <c r="C49">
        <f>IF(TRIM(Raw_Data!F141&amp;"")="","Not Specified",Raw_Data!F141)</f>
        <v/>
      </c>
      <c r="D49">
        <f>Raw_Data!H141</f>
        <v/>
      </c>
      <c r="E49">
        <f>Raw_Data!E141</f>
        <v/>
      </c>
    </row>
    <row r="50">
      <c r="A50">
        <f>_xlfn.IFS(ISNUMBER(SEARCH("data analy",B143)),"Data Analyst",ISNUMBER(SEARCH("business analy",B143)),"Business Analyst",OR(ISNUMBER(SEARCH("developer",B143)),ISNUMBER(SEARCH("software engineer",B143)),ISNUMBER(SEARCH("programmer",B143))),"Software Developer",ISNUMBER(SEARCH("business development",B143)),"Business Development",ISNUMBER(SEARCH("sales",B143)),"Sales Executive",ISNUMBER(SEARCH("marketing",B143)),"Marketing Executive",OR(ISNUMBER(SEARCH("hr ",B143)),ISNUMBER(SEARCH("recruit",B143)),ISNUMBER(SEARCH("human resource",B143))),"HR / Recruiter",OR(ISNUMBER(SEARCH("account",B143)),ISNUMBER(SEARCH("finance",B143)),ISNUMBER(SEARCH("tax",B143)),ISNUMBER(SEARCH("audit",B143))),"Accountant / Finance",OR(ISNUMBER(SEARCH("customer service",B143)),ISNUMBER(SEARCH("customer support",B143)),ISNUMBER(SEARCH("customer care",B143)),ISNUMBER(SEARCH("voice process",B143)),ISNUMBER(SEARCH("bpo",B143))),"Customer Support",ISNUMBER(SEARCH("engineer",B143)),"Engineer (Technical)",ISNUMBER(SEARCH("manager",B143)),"Manager",OR(ISNUMBER(SEARCH("teacher",B143)),ISNUMBER(SEARCH("trainer",B143)),ISNUMBER(SEARCH("faculty",B143))),"Teacher / Trainer",OR(ISNUMBER(SEARCH("doctor",B143)),ISNUMBER(SEARCH("nurse",B143)),ISNUMBER(SEARCH("medical",B143)),ISNUMBER(SEARCH("pharma",B143)),ISNUMBER(SEARCH("clinical",B143))),"Healthcare",TRUE,"Other")</f>
        <v/>
      </c>
      <c r="B50">
        <f>IF(PROPER(TRIM(Raw_Data!D142))="Bangalore","Bengaluru",IF(PROPER(TRIM(Raw_Data!D142))="Gurgaon","Gurugram",IF(OR(PROPER(TRIM(Raw_Data!D142))="New Delhi",PROPER(TRIM(Raw_Data!D142))="Delhi"),"Delhi",PROPER(TRIM(Raw_Data!D142)))))</f>
        <v/>
      </c>
      <c r="C50">
        <f>IF(TRIM(Raw_Data!F142&amp;"")="","Not Specified",Raw_Data!F142)</f>
        <v/>
      </c>
      <c r="D50">
        <f>Raw_Data!H142</f>
        <v/>
      </c>
      <c r="E50">
        <f>Raw_Data!E142</f>
        <v/>
      </c>
    </row>
    <row r="51">
      <c r="A51">
        <f>_xlfn.IFS(ISNUMBER(SEARCH("data analy",B144)),"Data Analyst",ISNUMBER(SEARCH("business analy",B144)),"Business Analyst",OR(ISNUMBER(SEARCH("developer",B144)),ISNUMBER(SEARCH("software engineer",B144)),ISNUMBER(SEARCH("programmer",B144))),"Software Developer",ISNUMBER(SEARCH("business development",B144)),"Business Development",ISNUMBER(SEARCH("sales",B144)),"Sales Executive",ISNUMBER(SEARCH("marketing",B144)),"Marketing Executive",OR(ISNUMBER(SEARCH("hr ",B144)),ISNUMBER(SEARCH("recruit",B144)),ISNUMBER(SEARCH("human resource",B144))),"HR / Recruiter",OR(ISNUMBER(SEARCH("account",B144)),ISNUMBER(SEARCH("finance",B144)),ISNUMBER(SEARCH("tax",B144)),ISNUMBER(SEARCH("audit",B144))),"Accountant / Finance",OR(ISNUMBER(SEARCH("customer service",B144)),ISNUMBER(SEARCH("customer support",B144)),ISNUMBER(SEARCH("customer care",B144)),ISNUMBER(SEARCH("voice process",B144)),ISNUMBER(SEARCH("bpo",B144))),"Customer Support",ISNUMBER(SEARCH("engineer",B144)),"Engineer (Technical)",ISNUMBER(SEARCH("manager",B144)),"Manager",OR(ISNUMBER(SEARCH("teacher",B144)),ISNUMBER(SEARCH("trainer",B144)),ISNUMBER(SEARCH("faculty",B144))),"Teacher / Trainer",OR(ISNUMBER(SEARCH("doctor",B144)),ISNUMBER(SEARCH("nurse",B144)),ISNUMBER(SEARCH("medical",B144)),ISNUMBER(SEARCH("pharma",B144)),ISNUMBER(SEARCH("clinical",B144))),"Healthcare",TRUE,"Other")</f>
        <v/>
      </c>
      <c r="B51">
        <f>IF(PROPER(TRIM(Raw_Data!D143))="Bangalore","Bengaluru",IF(PROPER(TRIM(Raw_Data!D143))="Gurgaon","Gurugram",IF(OR(PROPER(TRIM(Raw_Data!D143))="New Delhi",PROPER(TRIM(Raw_Data!D143))="Delhi"),"Delhi",PROPER(TRIM(Raw_Data!D143)))))</f>
        <v/>
      </c>
      <c r="C51">
        <f>IF(TRIM(Raw_Data!F143&amp;"")="","Not Specified",Raw_Data!F143)</f>
        <v/>
      </c>
      <c r="D51">
        <f>Raw_Data!H143</f>
        <v/>
      </c>
      <c r="E51">
        <f>Raw_Data!E143</f>
        <v/>
      </c>
    </row>
    <row r="52">
      <c r="A52">
        <f>_xlfn.IFS(ISNUMBER(SEARCH("data analy",B145)),"Data Analyst",ISNUMBER(SEARCH("business analy",B145)),"Business Analyst",OR(ISNUMBER(SEARCH("developer",B145)),ISNUMBER(SEARCH("software engineer",B145)),ISNUMBER(SEARCH("programmer",B145))),"Software Developer",ISNUMBER(SEARCH("business development",B145)),"Business Development",ISNUMBER(SEARCH("sales",B145)),"Sales Executive",ISNUMBER(SEARCH("marketing",B145)),"Marketing Executive",OR(ISNUMBER(SEARCH("hr ",B145)),ISNUMBER(SEARCH("recruit",B145)),ISNUMBER(SEARCH("human resource",B145))),"HR / Recruiter",OR(ISNUMBER(SEARCH("account",B145)),ISNUMBER(SEARCH("finance",B145)),ISNUMBER(SEARCH("tax",B145)),ISNUMBER(SEARCH("audit",B145))),"Accountant / Finance",OR(ISNUMBER(SEARCH("customer service",B145)),ISNUMBER(SEARCH("customer support",B145)),ISNUMBER(SEARCH("customer care",B145)),ISNUMBER(SEARCH("voice process",B145)),ISNUMBER(SEARCH("bpo",B145))),"Customer Support",ISNUMBER(SEARCH("engineer",B145)),"Engineer (Technical)",ISNUMBER(SEARCH("manager",B145)),"Manager",OR(ISNUMBER(SEARCH("teacher",B145)),ISNUMBER(SEARCH("trainer",B145)),ISNUMBER(SEARCH("faculty",B145))),"Teacher / Trainer",OR(ISNUMBER(SEARCH("doctor",B145)),ISNUMBER(SEARCH("nurse",B145)),ISNUMBER(SEARCH("medical",B145)),ISNUMBER(SEARCH("pharma",B145)),ISNUMBER(SEARCH("clinical",B145))),"Healthcare",TRUE,"Other")</f>
        <v/>
      </c>
      <c r="B52">
        <f>IF(PROPER(TRIM(Raw_Data!D144))="Bangalore","Bengaluru",IF(PROPER(TRIM(Raw_Data!D144))="Gurgaon","Gurugram",IF(OR(PROPER(TRIM(Raw_Data!D144))="New Delhi",PROPER(TRIM(Raw_Data!D144))="Delhi"),"Delhi",PROPER(TRIM(Raw_Data!D144)))))</f>
        <v/>
      </c>
      <c r="C52">
        <f>IF(TRIM(Raw_Data!F144&amp;"")="","Not Specified",Raw_Data!F144)</f>
        <v/>
      </c>
      <c r="D52">
        <f>Raw_Data!H144</f>
        <v/>
      </c>
      <c r="E52">
        <f>Raw_Data!E144</f>
        <v/>
      </c>
    </row>
    <row r="53">
      <c r="A53">
        <f>_xlfn.IFS(ISNUMBER(SEARCH("data analy",B146)),"Data Analyst",ISNUMBER(SEARCH("business analy",B146)),"Business Analyst",OR(ISNUMBER(SEARCH("developer",B146)),ISNUMBER(SEARCH("software engineer",B146)),ISNUMBER(SEARCH("programmer",B146))),"Software Developer",ISNUMBER(SEARCH("business development",B146)),"Business Development",ISNUMBER(SEARCH("sales",B146)),"Sales Executive",ISNUMBER(SEARCH("marketing",B146)),"Marketing Executive",OR(ISNUMBER(SEARCH("hr ",B146)),ISNUMBER(SEARCH("recruit",B146)),ISNUMBER(SEARCH("human resource",B146))),"HR / Recruiter",OR(ISNUMBER(SEARCH("account",B146)),ISNUMBER(SEARCH("finance",B146)),ISNUMBER(SEARCH("tax",B146)),ISNUMBER(SEARCH("audit",B146))),"Accountant / Finance",OR(ISNUMBER(SEARCH("customer service",B146)),ISNUMBER(SEARCH("customer support",B146)),ISNUMBER(SEARCH("customer care",B146)),ISNUMBER(SEARCH("voice process",B146)),ISNUMBER(SEARCH("bpo",B146))),"Customer Support",ISNUMBER(SEARCH("engineer",B146)),"Engineer (Technical)",ISNUMBER(SEARCH("manager",B146)),"Manager",OR(ISNUMBER(SEARCH("teacher",B146)),ISNUMBER(SEARCH("trainer",B146)),ISNUMBER(SEARCH("faculty",B146))),"Teacher / Trainer",OR(ISNUMBER(SEARCH("doctor",B146)),ISNUMBER(SEARCH("nurse",B146)),ISNUMBER(SEARCH("medical",B146)),ISNUMBER(SEARCH("pharma",B146)),ISNUMBER(SEARCH("clinical",B146))),"Healthcare",TRUE,"Other")</f>
        <v/>
      </c>
      <c r="B53">
        <f>IF(PROPER(TRIM(Raw_Data!D145))="Bangalore","Bengaluru",IF(PROPER(TRIM(Raw_Data!D145))="Gurgaon","Gurugram",IF(OR(PROPER(TRIM(Raw_Data!D145))="New Delhi",PROPER(TRIM(Raw_Data!D145))="Delhi"),"Delhi",PROPER(TRIM(Raw_Data!D145)))))</f>
        <v/>
      </c>
      <c r="C53">
        <f>IF(TRIM(Raw_Data!F145&amp;"")="","Not Specified",Raw_Data!F145)</f>
        <v/>
      </c>
      <c r="D53">
        <f>Raw_Data!H145</f>
        <v/>
      </c>
      <c r="E53">
        <f>Raw_Data!E145</f>
        <v/>
      </c>
    </row>
    <row r="54">
      <c r="A54">
        <f>_xlfn.IFS(ISNUMBER(SEARCH("data analy",B147)),"Data Analyst",ISNUMBER(SEARCH("business analy",B147)),"Business Analyst",OR(ISNUMBER(SEARCH("developer",B147)),ISNUMBER(SEARCH("software engineer",B147)),ISNUMBER(SEARCH("programmer",B147))),"Software Developer",ISNUMBER(SEARCH("business development",B147)),"Business Development",ISNUMBER(SEARCH("sales",B147)),"Sales Executive",ISNUMBER(SEARCH("marketing",B147)),"Marketing Executive",OR(ISNUMBER(SEARCH("hr ",B147)),ISNUMBER(SEARCH("recruit",B147)),ISNUMBER(SEARCH("human resource",B147))),"HR / Recruiter",OR(ISNUMBER(SEARCH("account",B147)),ISNUMBER(SEARCH("finance",B147)),ISNUMBER(SEARCH("tax",B147)),ISNUMBER(SEARCH("audit",B147))),"Accountant / Finance",OR(ISNUMBER(SEARCH("customer service",B147)),ISNUMBER(SEARCH("customer support",B147)),ISNUMBER(SEARCH("customer care",B147)),ISNUMBER(SEARCH("voice process",B147)),ISNUMBER(SEARCH("bpo",B147))),"Customer Support",ISNUMBER(SEARCH("engineer",B147)),"Engineer (Technical)",ISNUMBER(SEARCH("manager",B147)),"Manager",OR(ISNUMBER(SEARCH("teacher",B147)),ISNUMBER(SEARCH("trainer",B147)),ISNUMBER(SEARCH("faculty",B147))),"Teacher / Trainer",OR(ISNUMBER(SEARCH("doctor",B147)),ISNUMBER(SEARCH("nurse",B147)),ISNUMBER(SEARCH("medical",B147)),ISNUMBER(SEARCH("pharma",B147)),ISNUMBER(SEARCH("clinical",B147))),"Healthcare",TRUE,"Other")</f>
        <v/>
      </c>
      <c r="B54">
        <f>IF(PROPER(TRIM(Raw_Data!D146))="Bangalore","Bengaluru",IF(PROPER(TRIM(Raw_Data!D146))="Gurgaon","Gurugram",IF(OR(PROPER(TRIM(Raw_Data!D146))="New Delhi",PROPER(TRIM(Raw_Data!D146))="Delhi"),"Delhi",PROPER(TRIM(Raw_Data!D146)))))</f>
        <v/>
      </c>
      <c r="C54">
        <f>IF(TRIM(Raw_Data!F146&amp;"")="","Not Specified",Raw_Data!F146)</f>
        <v/>
      </c>
      <c r="D54">
        <f>Raw_Data!H146</f>
        <v/>
      </c>
      <c r="E54">
        <f>Raw_Data!E146</f>
        <v/>
      </c>
    </row>
    <row r="55">
      <c r="A55">
        <f>_xlfn.IFS(ISNUMBER(SEARCH("data analy",B148)),"Data Analyst",ISNUMBER(SEARCH("business analy",B148)),"Business Analyst",OR(ISNUMBER(SEARCH("developer",B148)),ISNUMBER(SEARCH("software engineer",B148)),ISNUMBER(SEARCH("programmer",B148))),"Software Developer",ISNUMBER(SEARCH("business development",B148)),"Business Development",ISNUMBER(SEARCH("sales",B148)),"Sales Executive",ISNUMBER(SEARCH("marketing",B148)),"Marketing Executive",OR(ISNUMBER(SEARCH("hr ",B148)),ISNUMBER(SEARCH("recruit",B148)),ISNUMBER(SEARCH("human resource",B148))),"HR / Recruiter",OR(ISNUMBER(SEARCH("account",B148)),ISNUMBER(SEARCH("finance",B148)),ISNUMBER(SEARCH("tax",B148)),ISNUMBER(SEARCH("audit",B148))),"Accountant / Finance",OR(ISNUMBER(SEARCH("customer service",B148)),ISNUMBER(SEARCH("customer support",B148)),ISNUMBER(SEARCH("customer care",B148)),ISNUMBER(SEARCH("voice process",B148)),ISNUMBER(SEARCH("bpo",B148))),"Customer Support",ISNUMBER(SEARCH("engineer",B148)),"Engineer (Technical)",ISNUMBER(SEARCH("manager",B148)),"Manager",OR(ISNUMBER(SEARCH("teacher",B148)),ISNUMBER(SEARCH("trainer",B148)),ISNUMBER(SEARCH("faculty",B148))),"Teacher / Trainer",OR(ISNUMBER(SEARCH("doctor",B148)),ISNUMBER(SEARCH("nurse",B148)),ISNUMBER(SEARCH("medical",B148)),ISNUMBER(SEARCH("pharma",B148)),ISNUMBER(SEARCH("clinical",B148))),"Healthcare",TRUE,"Other")</f>
        <v/>
      </c>
      <c r="B55">
        <f>IF(PROPER(TRIM(Raw_Data!D147))="Bangalore","Bengaluru",IF(PROPER(TRIM(Raw_Data!D147))="Gurgaon","Gurugram",IF(OR(PROPER(TRIM(Raw_Data!D147))="New Delhi",PROPER(TRIM(Raw_Data!D147))="Delhi"),"Delhi",PROPER(TRIM(Raw_Data!D147)))))</f>
        <v/>
      </c>
      <c r="C55">
        <f>IF(TRIM(Raw_Data!F147&amp;"")="","Not Specified",Raw_Data!F147)</f>
        <v/>
      </c>
      <c r="D55">
        <f>Raw_Data!H147</f>
        <v/>
      </c>
      <c r="E55">
        <f>Raw_Data!E147</f>
        <v/>
      </c>
    </row>
    <row r="56">
      <c r="A56">
        <f>_xlfn.IFS(ISNUMBER(SEARCH("data analy",B149)),"Data Analyst",ISNUMBER(SEARCH("business analy",B149)),"Business Analyst",OR(ISNUMBER(SEARCH("developer",B149)),ISNUMBER(SEARCH("software engineer",B149)),ISNUMBER(SEARCH("programmer",B149))),"Software Developer",ISNUMBER(SEARCH("business development",B149)),"Business Development",ISNUMBER(SEARCH("sales",B149)),"Sales Executive",ISNUMBER(SEARCH("marketing",B149)),"Marketing Executive",OR(ISNUMBER(SEARCH("hr ",B149)),ISNUMBER(SEARCH("recruit",B149)),ISNUMBER(SEARCH("human resource",B149))),"HR / Recruiter",OR(ISNUMBER(SEARCH("account",B149)),ISNUMBER(SEARCH("finance",B149)),ISNUMBER(SEARCH("tax",B149)),ISNUMBER(SEARCH("audit",B149))),"Accountant / Finance",OR(ISNUMBER(SEARCH("customer service",B149)),ISNUMBER(SEARCH("customer support",B149)),ISNUMBER(SEARCH("customer care",B149)),ISNUMBER(SEARCH("voice process",B149)),ISNUMBER(SEARCH("bpo",B149))),"Customer Support",ISNUMBER(SEARCH("engineer",B149)),"Engineer (Technical)",ISNUMBER(SEARCH("manager",B149)),"Manager",OR(ISNUMBER(SEARCH("teacher",B149)),ISNUMBER(SEARCH("trainer",B149)),ISNUMBER(SEARCH("faculty",B149))),"Teacher / Trainer",OR(ISNUMBER(SEARCH("doctor",B149)),ISNUMBER(SEARCH("nurse",B149)),ISNUMBER(SEARCH("medical",B149)),ISNUMBER(SEARCH("pharma",B149)),ISNUMBER(SEARCH("clinical",B149))),"Healthcare",TRUE,"Other")</f>
        <v/>
      </c>
      <c r="B56">
        <f>IF(PROPER(TRIM(Raw_Data!D148))="Bangalore","Bengaluru",IF(PROPER(TRIM(Raw_Data!D148))="Gurgaon","Gurugram",IF(OR(PROPER(TRIM(Raw_Data!D148))="New Delhi",PROPER(TRIM(Raw_Data!D148))="Delhi"),"Delhi",PROPER(TRIM(Raw_Data!D148)))))</f>
        <v/>
      </c>
      <c r="C56">
        <f>IF(TRIM(Raw_Data!F148&amp;"")="","Not Specified",Raw_Data!F148)</f>
        <v/>
      </c>
      <c r="D56">
        <f>Raw_Data!H148</f>
        <v/>
      </c>
      <c r="E56">
        <f>Raw_Data!E148</f>
        <v/>
      </c>
    </row>
    <row r="57">
      <c r="A57">
        <f>_xlfn.IFS(ISNUMBER(SEARCH("data analy",B15)),"Data Analyst",ISNUMBER(SEARCH("business analy",B15)),"Business Analyst",OR(ISNUMBER(SEARCH("developer",B15)),ISNUMBER(SEARCH("software engineer",B15)),ISNUMBER(SEARCH("programmer",B15))),"Software Developer",ISNUMBER(SEARCH("business development",B15)),"Business Development",ISNUMBER(SEARCH("sales",B15)),"Sales Executive",ISNUMBER(SEARCH("marketing",B15)),"Marketing Executive",OR(ISNUMBER(SEARCH("hr ",B15)),ISNUMBER(SEARCH("recruit",B15)),ISNUMBER(SEARCH("human resource",B15))),"HR / Recruiter",OR(ISNUMBER(SEARCH("account",B15)),ISNUMBER(SEARCH("finance",B15)),ISNUMBER(SEARCH("tax",B15)),ISNUMBER(SEARCH("audit",B15))),"Accountant / Finance",OR(ISNUMBER(SEARCH("customer service",B15)),ISNUMBER(SEARCH("customer support",B15)),ISNUMBER(SEARCH("customer care",B15)),ISNUMBER(SEARCH("voice process",B15)),ISNUMBER(SEARCH("bpo",B15))),"Customer Support",ISNUMBER(SEARCH("engineer",B15)),"Engineer (Technical)",ISNUMBER(SEARCH("manager",B15)),"Manager",OR(ISNUMBER(SEARCH("teacher",B15)),ISNUMBER(SEARCH("trainer",B15)),ISNUMBER(SEARCH("faculty",B15))),"Teacher / Trainer",OR(ISNUMBER(SEARCH("doctor",B15)),ISNUMBER(SEARCH("nurse",B15)),ISNUMBER(SEARCH("medical",B15)),ISNUMBER(SEARCH("pharma",B15)),ISNUMBER(SEARCH("clinical",B15))),"Healthcare",TRUE,"Other")</f>
        <v/>
      </c>
      <c r="B57">
        <f>IF(PROPER(TRIM(Raw_Data!D149))="Bangalore","Bengaluru",IF(PROPER(TRIM(Raw_Data!D149))="Gurgaon","Gurugram",IF(OR(PROPER(TRIM(Raw_Data!D149))="New Delhi",PROPER(TRIM(Raw_Data!D149))="Delhi"),"Delhi",PROPER(TRIM(Raw_Data!D149)))))</f>
        <v/>
      </c>
      <c r="C57">
        <f>IF(TRIM(Raw_Data!F149&amp;"")="","Not Specified",Raw_Data!F149)</f>
        <v/>
      </c>
      <c r="D57">
        <f>Raw_Data!H149</f>
        <v/>
      </c>
      <c r="E57">
        <f>Raw_Data!E149</f>
        <v/>
      </c>
    </row>
    <row r="58">
      <c r="A58">
        <f>_xlfn.IFS(ISNUMBER(SEARCH("data analy",B150)),"Data Analyst",ISNUMBER(SEARCH("business analy",B150)),"Business Analyst",OR(ISNUMBER(SEARCH("developer",B150)),ISNUMBER(SEARCH("software engineer",B150)),ISNUMBER(SEARCH("programmer",B150))),"Software Developer",ISNUMBER(SEARCH("business development",B150)),"Business Development",ISNUMBER(SEARCH("sales",B150)),"Sales Executive",ISNUMBER(SEARCH("marketing",B150)),"Marketing Executive",OR(ISNUMBER(SEARCH("hr ",B150)),ISNUMBER(SEARCH("recruit",B150)),ISNUMBER(SEARCH("human resource",B150))),"HR / Recruiter",OR(ISNUMBER(SEARCH("account",B150)),ISNUMBER(SEARCH("finance",B150)),ISNUMBER(SEARCH("tax",B150)),ISNUMBER(SEARCH("audit",B150))),"Accountant / Finance",OR(ISNUMBER(SEARCH("customer service",B150)),ISNUMBER(SEARCH("customer support",B150)),ISNUMBER(SEARCH("customer care",B150)),ISNUMBER(SEARCH("voice process",B150)),ISNUMBER(SEARCH("bpo",B150))),"Customer Support",ISNUMBER(SEARCH("engineer",B150)),"Engineer (Technical)",ISNUMBER(SEARCH("manager",B150)),"Manager",OR(ISNUMBER(SEARCH("teacher",B150)),ISNUMBER(SEARCH("trainer",B150)),ISNUMBER(SEARCH("faculty",B150))),"Teacher / Trainer",OR(ISNUMBER(SEARCH("doctor",B150)),ISNUMBER(SEARCH("nurse",B150)),ISNUMBER(SEARCH("medical",B150)),ISNUMBER(SEARCH("pharma",B150)),ISNUMBER(SEARCH("clinical",B150))),"Healthcare",TRUE,"Other")</f>
        <v/>
      </c>
      <c r="B58">
        <f>IF(PROPER(TRIM(Raw_Data!D15))="Bangalore","Bengaluru",IF(PROPER(TRIM(Raw_Data!D15))="Gurgaon","Gurugram",IF(OR(PROPER(TRIM(Raw_Data!D15))="New Delhi",PROPER(TRIM(Raw_Data!D15))="Delhi"),"Delhi",PROPER(TRIM(Raw_Data!D15)))))</f>
        <v/>
      </c>
      <c r="C58">
        <f>IF(TRIM(Raw_Data!F15&amp;"")="","Not Specified",Raw_Data!F15)</f>
        <v/>
      </c>
      <c r="D58">
        <f>Raw_Data!H15</f>
        <v/>
      </c>
      <c r="E58">
        <f>Raw_Data!E15</f>
        <v/>
      </c>
    </row>
    <row r="59">
      <c r="A59">
        <f>_xlfn.IFS(ISNUMBER(SEARCH("data analy",B151)),"Data Analyst",ISNUMBER(SEARCH("business analy",B151)),"Business Analyst",OR(ISNUMBER(SEARCH("developer",B151)),ISNUMBER(SEARCH("software engineer",B151)),ISNUMBER(SEARCH("programmer",B151))),"Software Developer",ISNUMBER(SEARCH("business development",B151)),"Business Development",ISNUMBER(SEARCH("sales",B151)),"Sales Executive",ISNUMBER(SEARCH("marketing",B151)),"Marketing Executive",OR(ISNUMBER(SEARCH("hr ",B151)),ISNUMBER(SEARCH("recruit",B151)),ISNUMBER(SEARCH("human resource",B151))),"HR / Recruiter",OR(ISNUMBER(SEARCH("account",B151)),ISNUMBER(SEARCH("finance",B151)),ISNUMBER(SEARCH("tax",B151)),ISNUMBER(SEARCH("audit",B151))),"Accountant / Finance",OR(ISNUMBER(SEARCH("customer service",B151)),ISNUMBER(SEARCH("customer support",B151)),ISNUMBER(SEARCH("customer care",B151)),ISNUMBER(SEARCH("voice process",B151)),ISNUMBER(SEARCH("bpo",B151))),"Customer Support",ISNUMBER(SEARCH("engineer",B151)),"Engineer (Technical)",ISNUMBER(SEARCH("manager",B151)),"Manager",OR(ISNUMBER(SEARCH("teacher",B151)),ISNUMBER(SEARCH("trainer",B151)),ISNUMBER(SEARCH("faculty",B151))),"Teacher / Trainer",OR(ISNUMBER(SEARCH("doctor",B151)),ISNUMBER(SEARCH("nurse",B151)),ISNUMBER(SEARCH("medical",B151)),ISNUMBER(SEARCH("pharma",B151)),ISNUMBER(SEARCH("clinical",B151))),"Healthcare",TRUE,"Other")</f>
        <v/>
      </c>
      <c r="B59">
        <f>IF(PROPER(TRIM(Raw_Data!D150))="Bangalore","Bengaluru",IF(PROPER(TRIM(Raw_Data!D150))="Gurgaon","Gurugram",IF(OR(PROPER(TRIM(Raw_Data!D150))="New Delhi",PROPER(TRIM(Raw_Data!D150))="Delhi"),"Delhi",PROPER(TRIM(Raw_Data!D150)))))</f>
        <v/>
      </c>
      <c r="C59">
        <f>IF(TRIM(Raw_Data!F150&amp;"")="","Not Specified",Raw_Data!F150)</f>
        <v/>
      </c>
      <c r="D59">
        <f>Raw_Data!H150</f>
        <v/>
      </c>
      <c r="E59">
        <f>Raw_Data!E150</f>
        <v/>
      </c>
    </row>
    <row r="60">
      <c r="A60">
        <f>_xlfn.IFS(ISNUMBER(SEARCH("data analy",B152)),"Data Analyst",ISNUMBER(SEARCH("business analy",B152)),"Business Analyst",OR(ISNUMBER(SEARCH("developer",B152)),ISNUMBER(SEARCH("software engineer",B152)),ISNUMBER(SEARCH("programmer",B152))),"Software Developer",ISNUMBER(SEARCH("business development",B152)),"Business Development",ISNUMBER(SEARCH("sales",B152)),"Sales Executive",ISNUMBER(SEARCH("marketing",B152)),"Marketing Executive",OR(ISNUMBER(SEARCH("hr ",B152)),ISNUMBER(SEARCH("recruit",B152)),ISNUMBER(SEARCH("human resource",B152))),"HR / Recruiter",OR(ISNUMBER(SEARCH("account",B152)),ISNUMBER(SEARCH("finance",B152)),ISNUMBER(SEARCH("tax",B152)),ISNUMBER(SEARCH("audit",B152))),"Accountant / Finance",OR(ISNUMBER(SEARCH("customer service",B152)),ISNUMBER(SEARCH("customer support",B152)),ISNUMBER(SEARCH("customer care",B152)),ISNUMBER(SEARCH("voice process",B152)),ISNUMBER(SEARCH("bpo",B152))),"Customer Support",ISNUMBER(SEARCH("engineer",B152)),"Engineer (Technical)",ISNUMBER(SEARCH("manager",B152)),"Manager",OR(ISNUMBER(SEARCH("teacher",B152)),ISNUMBER(SEARCH("trainer",B152)),ISNUMBER(SEARCH("faculty",B152))),"Teacher / Trainer",OR(ISNUMBER(SEARCH("doctor",B152)),ISNUMBER(SEARCH("nurse",B152)),ISNUMBER(SEARCH("medical",B152)),ISNUMBER(SEARCH("pharma",B152)),ISNUMBER(SEARCH("clinical",B152))),"Healthcare",TRUE,"Other")</f>
        <v/>
      </c>
      <c r="B60">
        <f>IF(PROPER(TRIM(Raw_Data!D151))="Bangalore","Bengaluru",IF(PROPER(TRIM(Raw_Data!D151))="Gurgaon","Gurugram",IF(OR(PROPER(TRIM(Raw_Data!D151))="New Delhi",PROPER(TRIM(Raw_Data!D151))="Delhi"),"Delhi",PROPER(TRIM(Raw_Data!D151)))))</f>
        <v/>
      </c>
      <c r="C60">
        <f>IF(TRIM(Raw_Data!F151&amp;"")="","Not Specified",Raw_Data!F151)</f>
        <v/>
      </c>
      <c r="D60">
        <f>Raw_Data!H151</f>
        <v/>
      </c>
      <c r="E60">
        <f>Raw_Data!E151</f>
        <v/>
      </c>
    </row>
    <row r="61">
      <c r="A61">
        <f>_xlfn.IFS(ISNUMBER(SEARCH("data analy",B153)),"Data Analyst",ISNUMBER(SEARCH("business analy",B153)),"Business Analyst",OR(ISNUMBER(SEARCH("developer",B153)),ISNUMBER(SEARCH("software engineer",B153)),ISNUMBER(SEARCH("programmer",B153))),"Software Developer",ISNUMBER(SEARCH("business development",B153)),"Business Development",ISNUMBER(SEARCH("sales",B153)),"Sales Executive",ISNUMBER(SEARCH("marketing",B153)),"Marketing Executive",OR(ISNUMBER(SEARCH("hr ",B153)),ISNUMBER(SEARCH("recruit",B153)),ISNUMBER(SEARCH("human resource",B153))),"HR / Recruiter",OR(ISNUMBER(SEARCH("account",B153)),ISNUMBER(SEARCH("finance",B153)),ISNUMBER(SEARCH("tax",B153)),ISNUMBER(SEARCH("audit",B153))),"Accountant / Finance",OR(ISNUMBER(SEARCH("customer service",B153)),ISNUMBER(SEARCH("customer support",B153)),ISNUMBER(SEARCH("customer care",B153)),ISNUMBER(SEARCH("voice process",B153)),ISNUMBER(SEARCH("bpo",B153))),"Customer Support",ISNUMBER(SEARCH("engineer",B153)),"Engineer (Technical)",ISNUMBER(SEARCH("manager",B153)),"Manager",OR(ISNUMBER(SEARCH("teacher",B153)),ISNUMBER(SEARCH("trainer",B153)),ISNUMBER(SEARCH("faculty",B153))),"Teacher / Trainer",OR(ISNUMBER(SEARCH("doctor",B153)),ISNUMBER(SEARCH("nurse",B153)),ISNUMBER(SEARCH("medical",B153)),ISNUMBER(SEARCH("pharma",B153)),ISNUMBER(SEARCH("clinical",B153))),"Healthcare",TRUE,"Other")</f>
        <v/>
      </c>
      <c r="B61">
        <f>IF(PROPER(TRIM(Raw_Data!D152))="Bangalore","Bengaluru",IF(PROPER(TRIM(Raw_Data!D152))="Gurgaon","Gurugram",IF(OR(PROPER(TRIM(Raw_Data!D152))="New Delhi",PROPER(TRIM(Raw_Data!D152))="Delhi"),"Delhi",PROPER(TRIM(Raw_Data!D152)))))</f>
        <v/>
      </c>
      <c r="C61">
        <f>IF(TRIM(Raw_Data!F152&amp;"")="","Not Specified",Raw_Data!F152)</f>
        <v/>
      </c>
      <c r="D61">
        <f>Raw_Data!H152</f>
        <v/>
      </c>
      <c r="E61">
        <f>Raw_Data!E152</f>
        <v/>
      </c>
    </row>
    <row r="62">
      <c r="A62">
        <f>_xlfn.IFS(ISNUMBER(SEARCH("data analy",B154)),"Data Analyst",ISNUMBER(SEARCH("business analy",B154)),"Business Analyst",OR(ISNUMBER(SEARCH("developer",B154)),ISNUMBER(SEARCH("software engineer",B154)),ISNUMBER(SEARCH("programmer",B154))),"Software Developer",ISNUMBER(SEARCH("business development",B154)),"Business Development",ISNUMBER(SEARCH("sales",B154)),"Sales Executive",ISNUMBER(SEARCH("marketing",B154)),"Marketing Executive",OR(ISNUMBER(SEARCH("hr ",B154)),ISNUMBER(SEARCH("recruit",B154)),ISNUMBER(SEARCH("human resource",B154))),"HR / Recruiter",OR(ISNUMBER(SEARCH("account",B154)),ISNUMBER(SEARCH("finance",B154)),ISNUMBER(SEARCH("tax",B154)),ISNUMBER(SEARCH("audit",B154))),"Accountant / Finance",OR(ISNUMBER(SEARCH("customer service",B154)),ISNUMBER(SEARCH("customer support",B154)),ISNUMBER(SEARCH("customer care",B154)),ISNUMBER(SEARCH("voice process",B154)),ISNUMBER(SEARCH("bpo",B154))),"Customer Support",ISNUMBER(SEARCH("engineer",B154)),"Engineer (Technical)",ISNUMBER(SEARCH("manager",B154)),"Manager",OR(ISNUMBER(SEARCH("teacher",B154)),ISNUMBER(SEARCH("trainer",B154)),ISNUMBER(SEARCH("faculty",B154))),"Teacher / Trainer",OR(ISNUMBER(SEARCH("doctor",B154)),ISNUMBER(SEARCH("nurse",B154)),ISNUMBER(SEARCH("medical",B154)),ISNUMBER(SEARCH("pharma",B154)),ISNUMBER(SEARCH("clinical",B154))),"Healthcare",TRUE,"Other")</f>
        <v/>
      </c>
      <c r="B62">
        <f>IF(PROPER(TRIM(Raw_Data!D153))="Bangalore","Bengaluru",IF(PROPER(TRIM(Raw_Data!D153))="Gurgaon","Gurugram",IF(OR(PROPER(TRIM(Raw_Data!D153))="New Delhi",PROPER(TRIM(Raw_Data!D153))="Delhi"),"Delhi",PROPER(TRIM(Raw_Data!D153)))))</f>
        <v/>
      </c>
      <c r="C62">
        <f>IF(TRIM(Raw_Data!F153&amp;"")="","Not Specified",Raw_Data!F153)</f>
        <v/>
      </c>
      <c r="D62">
        <f>Raw_Data!H153</f>
        <v/>
      </c>
      <c r="E62">
        <f>Raw_Data!E153</f>
        <v/>
      </c>
    </row>
    <row r="63">
      <c r="A63">
        <f>_xlfn.IFS(ISNUMBER(SEARCH("data analy",B155)),"Data Analyst",ISNUMBER(SEARCH("business analy",B155)),"Business Analyst",OR(ISNUMBER(SEARCH("developer",B155)),ISNUMBER(SEARCH("software engineer",B155)),ISNUMBER(SEARCH("programmer",B155))),"Software Developer",ISNUMBER(SEARCH("business development",B155)),"Business Development",ISNUMBER(SEARCH("sales",B155)),"Sales Executive",ISNUMBER(SEARCH("marketing",B155)),"Marketing Executive",OR(ISNUMBER(SEARCH("hr ",B155)),ISNUMBER(SEARCH("recruit",B155)),ISNUMBER(SEARCH("human resource",B155))),"HR / Recruiter",OR(ISNUMBER(SEARCH("account",B155)),ISNUMBER(SEARCH("finance",B155)),ISNUMBER(SEARCH("tax",B155)),ISNUMBER(SEARCH("audit",B155))),"Accountant / Finance",OR(ISNUMBER(SEARCH("customer service",B155)),ISNUMBER(SEARCH("customer support",B155)),ISNUMBER(SEARCH("customer care",B155)),ISNUMBER(SEARCH("voice process",B155)),ISNUMBER(SEARCH("bpo",B155))),"Customer Support",ISNUMBER(SEARCH("engineer",B155)),"Engineer (Technical)",ISNUMBER(SEARCH("manager",B155)),"Manager",OR(ISNUMBER(SEARCH("teacher",B155)),ISNUMBER(SEARCH("trainer",B155)),ISNUMBER(SEARCH("faculty",B155))),"Teacher / Trainer",OR(ISNUMBER(SEARCH("doctor",B155)),ISNUMBER(SEARCH("nurse",B155)),ISNUMBER(SEARCH("medical",B155)),ISNUMBER(SEARCH("pharma",B155)),ISNUMBER(SEARCH("clinical",B155))),"Healthcare",TRUE,"Other")</f>
        <v/>
      </c>
      <c r="B63">
        <f>IF(PROPER(TRIM(Raw_Data!D154))="Bangalore","Bengaluru",IF(PROPER(TRIM(Raw_Data!D154))="Gurgaon","Gurugram",IF(OR(PROPER(TRIM(Raw_Data!D154))="New Delhi",PROPER(TRIM(Raw_Data!D154))="Delhi"),"Delhi",PROPER(TRIM(Raw_Data!D154)))))</f>
        <v/>
      </c>
      <c r="C63">
        <f>IF(TRIM(Raw_Data!F154&amp;"")="","Not Specified",Raw_Data!F154)</f>
        <v/>
      </c>
      <c r="D63">
        <f>Raw_Data!H154</f>
        <v/>
      </c>
      <c r="E63">
        <f>Raw_Data!E154</f>
        <v/>
      </c>
    </row>
    <row r="64">
      <c r="A64">
        <f>_xlfn.IFS(ISNUMBER(SEARCH("data analy",B156)),"Data Analyst",ISNUMBER(SEARCH("business analy",B156)),"Business Analyst",OR(ISNUMBER(SEARCH("developer",B156)),ISNUMBER(SEARCH("software engineer",B156)),ISNUMBER(SEARCH("programmer",B156))),"Software Developer",ISNUMBER(SEARCH("business development",B156)),"Business Development",ISNUMBER(SEARCH("sales",B156)),"Sales Executive",ISNUMBER(SEARCH("marketing",B156)),"Marketing Executive",OR(ISNUMBER(SEARCH("hr ",B156)),ISNUMBER(SEARCH("recruit",B156)),ISNUMBER(SEARCH("human resource",B156))),"HR / Recruiter",OR(ISNUMBER(SEARCH("account",B156)),ISNUMBER(SEARCH("finance",B156)),ISNUMBER(SEARCH("tax",B156)),ISNUMBER(SEARCH("audit",B156))),"Accountant / Finance",OR(ISNUMBER(SEARCH("customer service",B156)),ISNUMBER(SEARCH("customer support",B156)),ISNUMBER(SEARCH("customer care",B156)),ISNUMBER(SEARCH("voice process",B156)),ISNUMBER(SEARCH("bpo",B156))),"Customer Support",ISNUMBER(SEARCH("engineer",B156)),"Engineer (Technical)",ISNUMBER(SEARCH("manager",B156)),"Manager",OR(ISNUMBER(SEARCH("teacher",B156)),ISNUMBER(SEARCH("trainer",B156)),ISNUMBER(SEARCH("faculty",B156))),"Teacher / Trainer",OR(ISNUMBER(SEARCH("doctor",B156)),ISNUMBER(SEARCH("nurse",B156)),ISNUMBER(SEARCH("medical",B156)),ISNUMBER(SEARCH("pharma",B156)),ISNUMBER(SEARCH("clinical",B156))),"Healthcare",TRUE,"Other")</f>
        <v/>
      </c>
      <c r="B64">
        <f>IF(PROPER(TRIM(Raw_Data!D155))="Bangalore","Bengaluru",IF(PROPER(TRIM(Raw_Data!D155))="Gurgaon","Gurugram",IF(OR(PROPER(TRIM(Raw_Data!D155))="New Delhi",PROPER(TRIM(Raw_Data!D155))="Delhi"),"Delhi",PROPER(TRIM(Raw_Data!D155)))))</f>
        <v/>
      </c>
      <c r="C64">
        <f>IF(TRIM(Raw_Data!F155&amp;"")="","Not Specified",Raw_Data!F155)</f>
        <v/>
      </c>
      <c r="D64">
        <f>Raw_Data!H155</f>
        <v/>
      </c>
      <c r="E64">
        <f>Raw_Data!E155</f>
        <v/>
      </c>
    </row>
    <row r="65">
      <c r="A65">
        <f>_xlfn.IFS(ISNUMBER(SEARCH("data analy",B157)),"Data Analyst",ISNUMBER(SEARCH("business analy",B157)),"Business Analyst",OR(ISNUMBER(SEARCH("developer",B157)),ISNUMBER(SEARCH("software engineer",B157)),ISNUMBER(SEARCH("programmer",B157))),"Software Developer",ISNUMBER(SEARCH("business development",B157)),"Business Development",ISNUMBER(SEARCH("sales",B157)),"Sales Executive",ISNUMBER(SEARCH("marketing",B157)),"Marketing Executive",OR(ISNUMBER(SEARCH("hr ",B157)),ISNUMBER(SEARCH("recruit",B157)),ISNUMBER(SEARCH("human resource",B157))),"HR / Recruiter",OR(ISNUMBER(SEARCH("account",B157)),ISNUMBER(SEARCH("finance",B157)),ISNUMBER(SEARCH("tax",B157)),ISNUMBER(SEARCH("audit",B157))),"Accountant / Finance",OR(ISNUMBER(SEARCH("customer service",B157)),ISNUMBER(SEARCH("customer support",B157)),ISNUMBER(SEARCH("customer care",B157)),ISNUMBER(SEARCH("voice process",B157)),ISNUMBER(SEARCH("bpo",B157))),"Customer Support",ISNUMBER(SEARCH("engineer",B157)),"Engineer (Technical)",ISNUMBER(SEARCH("manager",B157)),"Manager",OR(ISNUMBER(SEARCH("teacher",B157)),ISNUMBER(SEARCH("trainer",B157)),ISNUMBER(SEARCH("faculty",B157))),"Teacher / Trainer",OR(ISNUMBER(SEARCH("doctor",B157)),ISNUMBER(SEARCH("nurse",B157)),ISNUMBER(SEARCH("medical",B157)),ISNUMBER(SEARCH("pharma",B157)),ISNUMBER(SEARCH("clinical",B157))),"Healthcare",TRUE,"Other")</f>
        <v/>
      </c>
      <c r="B65">
        <f>IF(PROPER(TRIM(Raw_Data!D156))="Bangalore","Bengaluru",IF(PROPER(TRIM(Raw_Data!D156))="Gurgaon","Gurugram",IF(OR(PROPER(TRIM(Raw_Data!D156))="New Delhi",PROPER(TRIM(Raw_Data!D156))="Delhi"),"Delhi",PROPER(TRIM(Raw_Data!D156)))))</f>
        <v/>
      </c>
      <c r="C65">
        <f>IF(TRIM(Raw_Data!F156&amp;"")="","Not Specified",Raw_Data!F156)</f>
        <v/>
      </c>
      <c r="D65">
        <f>Raw_Data!H156</f>
        <v/>
      </c>
      <c r="E65">
        <f>Raw_Data!E156</f>
        <v/>
      </c>
    </row>
    <row r="66">
      <c r="A66">
        <f>_xlfn.IFS(ISNUMBER(SEARCH("data analy",B158)),"Data Analyst",ISNUMBER(SEARCH("business analy",B158)),"Business Analyst",OR(ISNUMBER(SEARCH("developer",B158)),ISNUMBER(SEARCH("software engineer",B158)),ISNUMBER(SEARCH("programmer",B158))),"Software Developer",ISNUMBER(SEARCH("business development",B158)),"Business Development",ISNUMBER(SEARCH("sales",B158)),"Sales Executive",ISNUMBER(SEARCH("marketing",B158)),"Marketing Executive",OR(ISNUMBER(SEARCH("hr ",B158)),ISNUMBER(SEARCH("recruit",B158)),ISNUMBER(SEARCH("human resource",B158))),"HR / Recruiter",OR(ISNUMBER(SEARCH("account",B158)),ISNUMBER(SEARCH("finance",B158)),ISNUMBER(SEARCH("tax",B158)),ISNUMBER(SEARCH("audit",B158))),"Accountant / Finance",OR(ISNUMBER(SEARCH("customer service",B158)),ISNUMBER(SEARCH("customer support",B158)),ISNUMBER(SEARCH("customer care",B158)),ISNUMBER(SEARCH("voice process",B158)),ISNUMBER(SEARCH("bpo",B158))),"Customer Support",ISNUMBER(SEARCH("engineer",B158)),"Engineer (Technical)",ISNUMBER(SEARCH("manager",B158)),"Manager",OR(ISNUMBER(SEARCH("teacher",B158)),ISNUMBER(SEARCH("trainer",B158)),ISNUMBER(SEARCH("faculty",B158))),"Teacher / Trainer",OR(ISNUMBER(SEARCH("doctor",B158)),ISNUMBER(SEARCH("nurse",B158)),ISNUMBER(SEARCH("medical",B158)),ISNUMBER(SEARCH("pharma",B158)),ISNUMBER(SEARCH("clinical",B158))),"Healthcare",TRUE,"Other")</f>
        <v/>
      </c>
      <c r="B66">
        <f>IF(PROPER(TRIM(Raw_Data!D157))="Bangalore","Bengaluru",IF(PROPER(TRIM(Raw_Data!D157))="Gurgaon","Gurugram",IF(OR(PROPER(TRIM(Raw_Data!D157))="New Delhi",PROPER(TRIM(Raw_Data!D157))="Delhi"),"Delhi",PROPER(TRIM(Raw_Data!D157)))))</f>
        <v/>
      </c>
      <c r="C66">
        <f>IF(TRIM(Raw_Data!F157&amp;"")="","Not Specified",Raw_Data!F157)</f>
        <v/>
      </c>
      <c r="D66">
        <f>Raw_Data!H157</f>
        <v/>
      </c>
      <c r="E66">
        <f>Raw_Data!E157</f>
        <v/>
      </c>
    </row>
    <row r="67">
      <c r="A67">
        <f>_xlfn.IFS(ISNUMBER(SEARCH("data analy",B159)),"Data Analyst",ISNUMBER(SEARCH("business analy",B159)),"Business Analyst",OR(ISNUMBER(SEARCH("developer",B159)),ISNUMBER(SEARCH("software engineer",B159)),ISNUMBER(SEARCH("programmer",B159))),"Software Developer",ISNUMBER(SEARCH("business development",B159)),"Business Development",ISNUMBER(SEARCH("sales",B159)),"Sales Executive",ISNUMBER(SEARCH("marketing",B159)),"Marketing Executive",OR(ISNUMBER(SEARCH("hr ",B159)),ISNUMBER(SEARCH("recruit",B159)),ISNUMBER(SEARCH("human resource",B159))),"HR / Recruiter",OR(ISNUMBER(SEARCH("account",B159)),ISNUMBER(SEARCH("finance",B159)),ISNUMBER(SEARCH("tax",B159)),ISNUMBER(SEARCH("audit",B159))),"Accountant / Finance",OR(ISNUMBER(SEARCH("customer service",B159)),ISNUMBER(SEARCH("customer support",B159)),ISNUMBER(SEARCH("customer care",B159)),ISNUMBER(SEARCH("voice process",B159)),ISNUMBER(SEARCH("bpo",B159))),"Customer Support",ISNUMBER(SEARCH("engineer",B159)),"Engineer (Technical)",ISNUMBER(SEARCH("manager",B159)),"Manager",OR(ISNUMBER(SEARCH("teacher",B159)),ISNUMBER(SEARCH("trainer",B159)),ISNUMBER(SEARCH("faculty",B159))),"Teacher / Trainer",OR(ISNUMBER(SEARCH("doctor",B159)),ISNUMBER(SEARCH("nurse",B159)),ISNUMBER(SEARCH("medical",B159)),ISNUMBER(SEARCH("pharma",B159)),ISNUMBER(SEARCH("clinical",B159))),"Healthcare",TRUE,"Other")</f>
        <v/>
      </c>
      <c r="B67">
        <f>IF(PROPER(TRIM(Raw_Data!D158))="Bangalore","Bengaluru",IF(PROPER(TRIM(Raw_Data!D158))="Gurgaon","Gurugram",IF(OR(PROPER(TRIM(Raw_Data!D158))="New Delhi",PROPER(TRIM(Raw_Data!D158))="Delhi"),"Delhi",PROPER(TRIM(Raw_Data!D158)))))</f>
        <v/>
      </c>
      <c r="C67">
        <f>IF(TRIM(Raw_Data!F158&amp;"")="","Not Specified",Raw_Data!F158)</f>
        <v/>
      </c>
      <c r="D67">
        <f>Raw_Data!H158</f>
        <v/>
      </c>
      <c r="E67">
        <f>Raw_Data!E158</f>
        <v/>
      </c>
    </row>
    <row r="68">
      <c r="A68">
        <f>_xlfn.IFS(ISNUMBER(SEARCH("data analy",B16)),"Data Analyst",ISNUMBER(SEARCH("business analy",B16)),"Business Analyst",OR(ISNUMBER(SEARCH("developer",B16)),ISNUMBER(SEARCH("software engineer",B16)),ISNUMBER(SEARCH("programmer",B16))),"Software Developer",ISNUMBER(SEARCH("business development",B16)),"Business Development",ISNUMBER(SEARCH("sales",B16)),"Sales Executive",ISNUMBER(SEARCH("marketing",B16)),"Marketing Executive",OR(ISNUMBER(SEARCH("hr ",B16)),ISNUMBER(SEARCH("recruit",B16)),ISNUMBER(SEARCH("human resource",B16))),"HR / Recruiter",OR(ISNUMBER(SEARCH("account",B16)),ISNUMBER(SEARCH("finance",B16)),ISNUMBER(SEARCH("tax",B16)),ISNUMBER(SEARCH("audit",B16))),"Accountant / Finance",OR(ISNUMBER(SEARCH("customer service",B16)),ISNUMBER(SEARCH("customer support",B16)),ISNUMBER(SEARCH("customer care",B16)),ISNUMBER(SEARCH("voice process",B16)),ISNUMBER(SEARCH("bpo",B16))),"Customer Support",ISNUMBER(SEARCH("engineer",B16)),"Engineer (Technical)",ISNUMBER(SEARCH("manager",B16)),"Manager",OR(ISNUMBER(SEARCH("teacher",B16)),ISNUMBER(SEARCH("trainer",B16)),ISNUMBER(SEARCH("faculty",B16))),"Teacher / Trainer",OR(ISNUMBER(SEARCH("doctor",B16)),ISNUMBER(SEARCH("nurse",B16)),ISNUMBER(SEARCH("medical",B16)),ISNUMBER(SEARCH("pharma",B16)),ISNUMBER(SEARCH("clinical",B16))),"Healthcare",TRUE,"Other")</f>
        <v/>
      </c>
      <c r="B68">
        <f>IF(PROPER(TRIM(Raw_Data!D159))="Bangalore","Bengaluru",IF(PROPER(TRIM(Raw_Data!D159))="Gurgaon","Gurugram",IF(OR(PROPER(TRIM(Raw_Data!D159))="New Delhi",PROPER(TRIM(Raw_Data!D159))="Delhi"),"Delhi",PROPER(TRIM(Raw_Data!D159)))))</f>
        <v/>
      </c>
      <c r="C68">
        <f>IF(TRIM(Raw_Data!F159&amp;"")="","Not Specified",Raw_Data!F159)</f>
        <v/>
      </c>
      <c r="D68">
        <f>Raw_Data!H159</f>
        <v/>
      </c>
      <c r="E68">
        <f>Raw_Data!E159</f>
        <v/>
      </c>
    </row>
    <row r="69">
      <c r="A69">
        <f>_xlfn.IFS(ISNUMBER(SEARCH("data analy",B160)),"Data Analyst",ISNUMBER(SEARCH("business analy",B160)),"Business Analyst",OR(ISNUMBER(SEARCH("developer",B160)),ISNUMBER(SEARCH("software engineer",B160)),ISNUMBER(SEARCH("programmer",B160))),"Software Developer",ISNUMBER(SEARCH("business development",B160)),"Business Development",ISNUMBER(SEARCH("sales",B160)),"Sales Executive",ISNUMBER(SEARCH("marketing",B160)),"Marketing Executive",OR(ISNUMBER(SEARCH("hr ",B160)),ISNUMBER(SEARCH("recruit",B160)),ISNUMBER(SEARCH("human resource",B160))),"HR / Recruiter",OR(ISNUMBER(SEARCH("account",B160)),ISNUMBER(SEARCH("finance",B160)),ISNUMBER(SEARCH("tax",B160)),ISNUMBER(SEARCH("audit",B160))),"Accountant / Finance",OR(ISNUMBER(SEARCH("customer service",B160)),ISNUMBER(SEARCH("customer support",B160)),ISNUMBER(SEARCH("customer care",B160)),ISNUMBER(SEARCH("voice process",B160)),ISNUMBER(SEARCH("bpo",B160))),"Customer Support",ISNUMBER(SEARCH("engineer",B160)),"Engineer (Technical)",ISNUMBER(SEARCH("manager",B160)),"Manager",OR(ISNUMBER(SEARCH("teacher",B160)),ISNUMBER(SEARCH("trainer",B160)),ISNUMBER(SEARCH("faculty",B160))),"Teacher / Trainer",OR(ISNUMBER(SEARCH("doctor",B160)),ISNUMBER(SEARCH("nurse",B160)),ISNUMBER(SEARCH("medical",B160)),ISNUMBER(SEARCH("pharma",B160)),ISNUMBER(SEARCH("clinical",B160))),"Healthcare",TRUE,"Other")</f>
        <v/>
      </c>
      <c r="B69">
        <f>IF(PROPER(TRIM(Raw_Data!D16))="Bangalore","Bengaluru",IF(PROPER(TRIM(Raw_Data!D16))="Gurgaon","Gurugram",IF(OR(PROPER(TRIM(Raw_Data!D16))="New Delhi",PROPER(TRIM(Raw_Data!D16))="Delhi"),"Delhi",PROPER(TRIM(Raw_Data!D16)))))</f>
        <v/>
      </c>
      <c r="C69">
        <f>IF(TRIM(Raw_Data!F16&amp;"")="","Not Specified",Raw_Data!F16)</f>
        <v/>
      </c>
      <c r="D69">
        <f>Raw_Data!H16</f>
        <v/>
      </c>
      <c r="E69">
        <f>Raw_Data!E16</f>
        <v/>
      </c>
    </row>
    <row r="70">
      <c r="A70">
        <f>_xlfn.IFS(ISNUMBER(SEARCH("data analy",B161)),"Data Analyst",ISNUMBER(SEARCH("business analy",B161)),"Business Analyst",OR(ISNUMBER(SEARCH("developer",B161)),ISNUMBER(SEARCH("software engineer",B161)),ISNUMBER(SEARCH("programmer",B161))),"Software Developer",ISNUMBER(SEARCH("business development",B161)),"Business Development",ISNUMBER(SEARCH("sales",B161)),"Sales Executive",ISNUMBER(SEARCH("marketing",B161)),"Marketing Executive",OR(ISNUMBER(SEARCH("hr ",B161)),ISNUMBER(SEARCH("recruit",B161)),ISNUMBER(SEARCH("human resource",B161))),"HR / Recruiter",OR(ISNUMBER(SEARCH("account",B161)),ISNUMBER(SEARCH("finance",B161)),ISNUMBER(SEARCH("tax",B161)),ISNUMBER(SEARCH("audit",B161))),"Accountant / Finance",OR(ISNUMBER(SEARCH("customer service",B161)),ISNUMBER(SEARCH("customer support",B161)),ISNUMBER(SEARCH("customer care",B161)),ISNUMBER(SEARCH("voice process",B161)),ISNUMBER(SEARCH("bpo",B161))),"Customer Support",ISNUMBER(SEARCH("engineer",B161)),"Engineer (Technical)",ISNUMBER(SEARCH("manager",B161)),"Manager",OR(ISNUMBER(SEARCH("teacher",B161)),ISNUMBER(SEARCH("trainer",B161)),ISNUMBER(SEARCH("faculty",B161))),"Teacher / Trainer",OR(ISNUMBER(SEARCH("doctor",B161)),ISNUMBER(SEARCH("nurse",B161)),ISNUMBER(SEARCH("medical",B161)),ISNUMBER(SEARCH("pharma",B161)),ISNUMBER(SEARCH("clinical",B161))),"Healthcare",TRUE,"Other")</f>
        <v/>
      </c>
      <c r="B70">
        <f>IF(PROPER(TRIM(Raw_Data!D160))="Bangalore","Bengaluru",IF(PROPER(TRIM(Raw_Data!D160))="Gurgaon","Gurugram",IF(OR(PROPER(TRIM(Raw_Data!D160))="New Delhi",PROPER(TRIM(Raw_Data!D160))="Delhi"),"Delhi",PROPER(TRIM(Raw_Data!D160)))))</f>
        <v/>
      </c>
      <c r="C70">
        <f>IF(TRIM(Raw_Data!F160&amp;"")="","Not Specified",Raw_Data!F160)</f>
        <v/>
      </c>
      <c r="D70">
        <f>Raw_Data!H160</f>
        <v/>
      </c>
      <c r="E70">
        <f>Raw_Data!E160</f>
        <v/>
      </c>
    </row>
    <row r="71">
      <c r="A71">
        <f>_xlfn.IFS(ISNUMBER(SEARCH("data analy",B162)),"Data Analyst",ISNUMBER(SEARCH("business analy",B162)),"Business Analyst",OR(ISNUMBER(SEARCH("developer",B162)),ISNUMBER(SEARCH("software engineer",B162)),ISNUMBER(SEARCH("programmer",B162))),"Software Developer",ISNUMBER(SEARCH("business development",B162)),"Business Development",ISNUMBER(SEARCH("sales",B162)),"Sales Executive",ISNUMBER(SEARCH("marketing",B162)),"Marketing Executive",OR(ISNUMBER(SEARCH("hr ",B162)),ISNUMBER(SEARCH("recruit",B162)),ISNUMBER(SEARCH("human resource",B162))),"HR / Recruiter",OR(ISNUMBER(SEARCH("account",B162)),ISNUMBER(SEARCH("finance",B162)),ISNUMBER(SEARCH("tax",B162)),ISNUMBER(SEARCH("audit",B162))),"Accountant / Finance",OR(ISNUMBER(SEARCH("customer service",B162)),ISNUMBER(SEARCH("customer support",B162)),ISNUMBER(SEARCH("customer care",B162)),ISNUMBER(SEARCH("voice process",B162)),ISNUMBER(SEARCH("bpo",B162))),"Customer Support",ISNUMBER(SEARCH("engineer",B162)),"Engineer (Technical)",ISNUMBER(SEARCH("manager",B162)),"Manager",OR(ISNUMBER(SEARCH("teacher",B162)),ISNUMBER(SEARCH("trainer",B162)),ISNUMBER(SEARCH("faculty",B162))),"Teacher / Trainer",OR(ISNUMBER(SEARCH("doctor",B162)),ISNUMBER(SEARCH("nurse",B162)),ISNUMBER(SEARCH("medical",B162)),ISNUMBER(SEARCH("pharma",B162)),ISNUMBER(SEARCH("clinical",B162))),"Healthcare",TRUE,"Other")</f>
        <v/>
      </c>
      <c r="B71">
        <f>IF(PROPER(TRIM(Raw_Data!D161))="Bangalore","Bengaluru",IF(PROPER(TRIM(Raw_Data!D161))="Gurgaon","Gurugram",IF(OR(PROPER(TRIM(Raw_Data!D161))="New Delhi",PROPER(TRIM(Raw_Data!D161))="Delhi"),"Delhi",PROPER(TRIM(Raw_Data!D161)))))</f>
        <v/>
      </c>
      <c r="C71">
        <f>IF(TRIM(Raw_Data!F161&amp;"")="","Not Specified",Raw_Data!F161)</f>
        <v/>
      </c>
      <c r="D71">
        <f>Raw_Data!H161</f>
        <v/>
      </c>
      <c r="E71">
        <f>Raw_Data!E161</f>
        <v/>
      </c>
    </row>
    <row r="72">
      <c r="A72">
        <f>_xlfn.IFS(ISNUMBER(SEARCH("data analy",B163)),"Data Analyst",ISNUMBER(SEARCH("business analy",B163)),"Business Analyst",OR(ISNUMBER(SEARCH("developer",B163)),ISNUMBER(SEARCH("software engineer",B163)),ISNUMBER(SEARCH("programmer",B163))),"Software Developer",ISNUMBER(SEARCH("business development",B163)),"Business Development",ISNUMBER(SEARCH("sales",B163)),"Sales Executive",ISNUMBER(SEARCH("marketing",B163)),"Marketing Executive",OR(ISNUMBER(SEARCH("hr ",B163)),ISNUMBER(SEARCH("recruit",B163)),ISNUMBER(SEARCH("human resource",B163))),"HR / Recruiter",OR(ISNUMBER(SEARCH("account",B163)),ISNUMBER(SEARCH("finance",B163)),ISNUMBER(SEARCH("tax",B163)),ISNUMBER(SEARCH("audit",B163))),"Accountant / Finance",OR(ISNUMBER(SEARCH("customer service",B163)),ISNUMBER(SEARCH("customer support",B163)),ISNUMBER(SEARCH("customer care",B163)),ISNUMBER(SEARCH("voice process",B163)),ISNUMBER(SEARCH("bpo",B163))),"Customer Support",ISNUMBER(SEARCH("engineer",B163)),"Engineer (Technical)",ISNUMBER(SEARCH("manager",B163)),"Manager",OR(ISNUMBER(SEARCH("teacher",B163)),ISNUMBER(SEARCH("trainer",B163)),ISNUMBER(SEARCH("faculty",B163))),"Teacher / Trainer",OR(ISNUMBER(SEARCH("doctor",B163)),ISNUMBER(SEARCH("nurse",B163)),ISNUMBER(SEARCH("medical",B163)),ISNUMBER(SEARCH("pharma",B163)),ISNUMBER(SEARCH("clinical",B163))),"Healthcare",TRUE,"Other")</f>
        <v/>
      </c>
      <c r="B72">
        <f>IF(PROPER(TRIM(Raw_Data!D162))="Bangalore","Bengaluru",IF(PROPER(TRIM(Raw_Data!D162))="Gurgaon","Gurugram",IF(OR(PROPER(TRIM(Raw_Data!D162))="New Delhi",PROPER(TRIM(Raw_Data!D162))="Delhi"),"Delhi",PROPER(TRIM(Raw_Data!D162)))))</f>
        <v/>
      </c>
      <c r="C72">
        <f>IF(TRIM(Raw_Data!F162&amp;"")="","Not Specified",Raw_Data!F162)</f>
        <v/>
      </c>
      <c r="D72">
        <f>Raw_Data!H162</f>
        <v/>
      </c>
      <c r="E72">
        <f>Raw_Data!E162</f>
        <v/>
      </c>
    </row>
    <row r="73">
      <c r="A73">
        <f>_xlfn.IFS(ISNUMBER(SEARCH("data analy",B164)),"Data Analyst",ISNUMBER(SEARCH("business analy",B164)),"Business Analyst",OR(ISNUMBER(SEARCH("developer",B164)),ISNUMBER(SEARCH("software engineer",B164)),ISNUMBER(SEARCH("programmer",B164))),"Software Developer",ISNUMBER(SEARCH("business development",B164)),"Business Development",ISNUMBER(SEARCH("sales",B164)),"Sales Executive",ISNUMBER(SEARCH("marketing",B164)),"Marketing Executive",OR(ISNUMBER(SEARCH("hr ",B164)),ISNUMBER(SEARCH("recruit",B164)),ISNUMBER(SEARCH("human resource",B164))),"HR / Recruiter",OR(ISNUMBER(SEARCH("account",B164)),ISNUMBER(SEARCH("finance",B164)),ISNUMBER(SEARCH("tax",B164)),ISNUMBER(SEARCH("audit",B164))),"Accountant / Finance",OR(ISNUMBER(SEARCH("customer service",B164)),ISNUMBER(SEARCH("customer support",B164)),ISNUMBER(SEARCH("customer care",B164)),ISNUMBER(SEARCH("voice process",B164)),ISNUMBER(SEARCH("bpo",B164))),"Customer Support",ISNUMBER(SEARCH("engineer",B164)),"Engineer (Technical)",ISNUMBER(SEARCH("manager",B164)),"Manager",OR(ISNUMBER(SEARCH("teacher",B164)),ISNUMBER(SEARCH("trainer",B164)),ISNUMBER(SEARCH("faculty",B164))),"Teacher / Trainer",OR(ISNUMBER(SEARCH("doctor",B164)),ISNUMBER(SEARCH("nurse",B164)),ISNUMBER(SEARCH("medical",B164)),ISNUMBER(SEARCH("pharma",B164)),ISNUMBER(SEARCH("clinical",B164))),"Healthcare",TRUE,"Other")</f>
        <v/>
      </c>
      <c r="B73">
        <f>IF(PROPER(TRIM(Raw_Data!D163))="Bangalore","Bengaluru",IF(PROPER(TRIM(Raw_Data!D163))="Gurgaon","Gurugram",IF(OR(PROPER(TRIM(Raw_Data!D163))="New Delhi",PROPER(TRIM(Raw_Data!D163))="Delhi"),"Delhi",PROPER(TRIM(Raw_Data!D163)))))</f>
        <v/>
      </c>
      <c r="C73">
        <f>IF(TRIM(Raw_Data!F163&amp;"")="","Not Specified",Raw_Data!F163)</f>
        <v/>
      </c>
      <c r="D73">
        <f>Raw_Data!H163</f>
        <v/>
      </c>
      <c r="E73">
        <f>Raw_Data!E163</f>
        <v/>
      </c>
    </row>
    <row r="74">
      <c r="A74">
        <f>_xlfn.IFS(ISNUMBER(SEARCH("data analy",B165)),"Data Analyst",ISNUMBER(SEARCH("business analy",B165)),"Business Analyst",OR(ISNUMBER(SEARCH("developer",B165)),ISNUMBER(SEARCH("software engineer",B165)),ISNUMBER(SEARCH("programmer",B165))),"Software Developer",ISNUMBER(SEARCH("business development",B165)),"Business Development",ISNUMBER(SEARCH("sales",B165)),"Sales Executive",ISNUMBER(SEARCH("marketing",B165)),"Marketing Executive",OR(ISNUMBER(SEARCH("hr ",B165)),ISNUMBER(SEARCH("recruit",B165)),ISNUMBER(SEARCH("human resource",B165))),"HR / Recruiter",OR(ISNUMBER(SEARCH("account",B165)),ISNUMBER(SEARCH("finance",B165)),ISNUMBER(SEARCH("tax",B165)),ISNUMBER(SEARCH("audit",B165))),"Accountant / Finance",OR(ISNUMBER(SEARCH("customer service",B165)),ISNUMBER(SEARCH("customer support",B165)),ISNUMBER(SEARCH("customer care",B165)),ISNUMBER(SEARCH("voice process",B165)),ISNUMBER(SEARCH("bpo",B165))),"Customer Support",ISNUMBER(SEARCH("engineer",B165)),"Engineer (Technical)",ISNUMBER(SEARCH("manager",B165)),"Manager",OR(ISNUMBER(SEARCH("teacher",B165)),ISNUMBER(SEARCH("trainer",B165)),ISNUMBER(SEARCH("faculty",B165))),"Teacher / Trainer",OR(ISNUMBER(SEARCH("doctor",B165)),ISNUMBER(SEARCH("nurse",B165)),ISNUMBER(SEARCH("medical",B165)),ISNUMBER(SEARCH("pharma",B165)),ISNUMBER(SEARCH("clinical",B165))),"Healthcare",TRUE,"Other")</f>
        <v/>
      </c>
      <c r="B74">
        <f>IF(PROPER(TRIM(Raw_Data!D164))="Bangalore","Bengaluru",IF(PROPER(TRIM(Raw_Data!D164))="Gurgaon","Gurugram",IF(OR(PROPER(TRIM(Raw_Data!D164))="New Delhi",PROPER(TRIM(Raw_Data!D164))="Delhi"),"Delhi",PROPER(TRIM(Raw_Data!D164)))))</f>
        <v/>
      </c>
      <c r="C74">
        <f>IF(TRIM(Raw_Data!F164&amp;"")="","Not Specified",Raw_Data!F164)</f>
        <v/>
      </c>
      <c r="D74">
        <f>Raw_Data!H164</f>
        <v/>
      </c>
      <c r="E74">
        <f>Raw_Data!E164</f>
        <v/>
      </c>
    </row>
    <row r="75">
      <c r="A75">
        <f>_xlfn.IFS(ISNUMBER(SEARCH("data analy",B166)),"Data Analyst",ISNUMBER(SEARCH("business analy",B166)),"Business Analyst",OR(ISNUMBER(SEARCH("developer",B166)),ISNUMBER(SEARCH("software engineer",B166)),ISNUMBER(SEARCH("programmer",B166))),"Software Developer",ISNUMBER(SEARCH("business development",B166)),"Business Development",ISNUMBER(SEARCH("sales",B166)),"Sales Executive",ISNUMBER(SEARCH("marketing",B166)),"Marketing Executive",OR(ISNUMBER(SEARCH("hr ",B166)),ISNUMBER(SEARCH("recruit",B166)),ISNUMBER(SEARCH("human resource",B166))),"HR / Recruiter",OR(ISNUMBER(SEARCH("account",B166)),ISNUMBER(SEARCH("finance",B166)),ISNUMBER(SEARCH("tax",B166)),ISNUMBER(SEARCH("audit",B166))),"Accountant / Finance",OR(ISNUMBER(SEARCH("customer service",B166)),ISNUMBER(SEARCH("customer support",B166)),ISNUMBER(SEARCH("customer care",B166)),ISNUMBER(SEARCH("voice process",B166)),ISNUMBER(SEARCH("bpo",B166))),"Customer Support",ISNUMBER(SEARCH("engineer",B166)),"Engineer (Technical)",ISNUMBER(SEARCH("manager",B166)),"Manager",OR(ISNUMBER(SEARCH("teacher",B166)),ISNUMBER(SEARCH("trainer",B166)),ISNUMBER(SEARCH("faculty",B166))),"Teacher / Trainer",OR(ISNUMBER(SEARCH("doctor",B166)),ISNUMBER(SEARCH("nurse",B166)),ISNUMBER(SEARCH("medical",B166)),ISNUMBER(SEARCH("pharma",B166)),ISNUMBER(SEARCH("clinical",B166))),"Healthcare",TRUE,"Other")</f>
        <v/>
      </c>
      <c r="B75">
        <f>IF(PROPER(TRIM(Raw_Data!D165))="Bangalore","Bengaluru",IF(PROPER(TRIM(Raw_Data!D165))="Gurgaon","Gurugram",IF(OR(PROPER(TRIM(Raw_Data!D165))="New Delhi",PROPER(TRIM(Raw_Data!D165))="Delhi"),"Delhi",PROPER(TRIM(Raw_Data!D165)))))</f>
        <v/>
      </c>
      <c r="C75">
        <f>IF(TRIM(Raw_Data!F165&amp;"")="","Not Specified",Raw_Data!F165)</f>
        <v/>
      </c>
      <c r="D75">
        <f>Raw_Data!H165</f>
        <v/>
      </c>
      <c r="E75">
        <f>Raw_Data!E165</f>
        <v/>
      </c>
    </row>
    <row r="76">
      <c r="A76">
        <f>_xlfn.IFS(ISNUMBER(SEARCH("data analy",B167)),"Data Analyst",ISNUMBER(SEARCH("business analy",B167)),"Business Analyst",OR(ISNUMBER(SEARCH("developer",B167)),ISNUMBER(SEARCH("software engineer",B167)),ISNUMBER(SEARCH("programmer",B167))),"Software Developer",ISNUMBER(SEARCH("business development",B167)),"Business Development",ISNUMBER(SEARCH("sales",B167)),"Sales Executive",ISNUMBER(SEARCH("marketing",B167)),"Marketing Executive",OR(ISNUMBER(SEARCH("hr ",B167)),ISNUMBER(SEARCH("recruit",B167)),ISNUMBER(SEARCH("human resource",B167))),"HR / Recruiter",OR(ISNUMBER(SEARCH("account",B167)),ISNUMBER(SEARCH("finance",B167)),ISNUMBER(SEARCH("tax",B167)),ISNUMBER(SEARCH("audit",B167))),"Accountant / Finance",OR(ISNUMBER(SEARCH("customer service",B167)),ISNUMBER(SEARCH("customer support",B167)),ISNUMBER(SEARCH("customer care",B167)),ISNUMBER(SEARCH("voice process",B167)),ISNUMBER(SEARCH("bpo",B167))),"Customer Support",ISNUMBER(SEARCH("engineer",B167)),"Engineer (Technical)",ISNUMBER(SEARCH("manager",B167)),"Manager",OR(ISNUMBER(SEARCH("teacher",B167)),ISNUMBER(SEARCH("trainer",B167)),ISNUMBER(SEARCH("faculty",B167))),"Teacher / Trainer",OR(ISNUMBER(SEARCH("doctor",B167)),ISNUMBER(SEARCH("nurse",B167)),ISNUMBER(SEARCH("medical",B167)),ISNUMBER(SEARCH("pharma",B167)),ISNUMBER(SEARCH("clinical",B167))),"Healthcare",TRUE,"Other")</f>
        <v/>
      </c>
      <c r="B76">
        <f>IF(PROPER(TRIM(Raw_Data!D166))="Bangalore","Bengaluru",IF(PROPER(TRIM(Raw_Data!D166))="Gurgaon","Gurugram",IF(OR(PROPER(TRIM(Raw_Data!D166))="New Delhi",PROPER(TRIM(Raw_Data!D166))="Delhi"),"Delhi",PROPER(TRIM(Raw_Data!D166)))))</f>
        <v/>
      </c>
      <c r="C76">
        <f>IF(TRIM(Raw_Data!F166&amp;"")="","Not Specified",Raw_Data!F166)</f>
        <v/>
      </c>
      <c r="D76">
        <f>Raw_Data!H166</f>
        <v/>
      </c>
      <c r="E76">
        <f>Raw_Data!E166</f>
        <v/>
      </c>
    </row>
    <row r="77">
      <c r="A77">
        <f>_xlfn.IFS(ISNUMBER(SEARCH("data analy",B168)),"Data Analyst",ISNUMBER(SEARCH("business analy",B168)),"Business Analyst",OR(ISNUMBER(SEARCH("developer",B168)),ISNUMBER(SEARCH("software engineer",B168)),ISNUMBER(SEARCH("programmer",B168))),"Software Developer",ISNUMBER(SEARCH("business development",B168)),"Business Development",ISNUMBER(SEARCH("sales",B168)),"Sales Executive",ISNUMBER(SEARCH("marketing",B168)),"Marketing Executive",OR(ISNUMBER(SEARCH("hr ",B168)),ISNUMBER(SEARCH("recruit",B168)),ISNUMBER(SEARCH("human resource",B168))),"HR / Recruiter",OR(ISNUMBER(SEARCH("account",B168)),ISNUMBER(SEARCH("finance",B168)),ISNUMBER(SEARCH("tax",B168)),ISNUMBER(SEARCH("audit",B168))),"Accountant / Finance",OR(ISNUMBER(SEARCH("customer service",B168)),ISNUMBER(SEARCH("customer support",B168)),ISNUMBER(SEARCH("customer care",B168)),ISNUMBER(SEARCH("voice process",B168)),ISNUMBER(SEARCH("bpo",B168))),"Customer Support",ISNUMBER(SEARCH("engineer",B168)),"Engineer (Technical)",ISNUMBER(SEARCH("manager",B168)),"Manager",OR(ISNUMBER(SEARCH("teacher",B168)),ISNUMBER(SEARCH("trainer",B168)),ISNUMBER(SEARCH("faculty",B168))),"Teacher / Trainer",OR(ISNUMBER(SEARCH("doctor",B168)),ISNUMBER(SEARCH("nurse",B168)),ISNUMBER(SEARCH("medical",B168)),ISNUMBER(SEARCH("pharma",B168)),ISNUMBER(SEARCH("clinical",B168))),"Healthcare",TRUE,"Other")</f>
        <v/>
      </c>
      <c r="B77">
        <f>IF(PROPER(TRIM(Raw_Data!D167))="Bangalore","Bengaluru",IF(PROPER(TRIM(Raw_Data!D167))="Gurgaon","Gurugram",IF(OR(PROPER(TRIM(Raw_Data!D167))="New Delhi",PROPER(TRIM(Raw_Data!D167))="Delhi"),"Delhi",PROPER(TRIM(Raw_Data!D167)))))</f>
        <v/>
      </c>
      <c r="C77">
        <f>IF(TRIM(Raw_Data!F167&amp;"")="","Not Specified",Raw_Data!F167)</f>
        <v/>
      </c>
      <c r="D77">
        <f>Raw_Data!H167</f>
        <v/>
      </c>
      <c r="E77">
        <f>Raw_Data!E167</f>
        <v/>
      </c>
    </row>
    <row r="78">
      <c r="A78">
        <f>_xlfn.IFS(ISNUMBER(SEARCH("data analy",B169)),"Data Analyst",ISNUMBER(SEARCH("business analy",B169)),"Business Analyst",OR(ISNUMBER(SEARCH("developer",B169)),ISNUMBER(SEARCH("software engineer",B169)),ISNUMBER(SEARCH("programmer",B169))),"Software Developer",ISNUMBER(SEARCH("business development",B169)),"Business Development",ISNUMBER(SEARCH("sales",B169)),"Sales Executive",ISNUMBER(SEARCH("marketing",B169)),"Marketing Executive",OR(ISNUMBER(SEARCH("hr ",B169)),ISNUMBER(SEARCH("recruit",B169)),ISNUMBER(SEARCH("human resource",B169))),"HR / Recruiter",OR(ISNUMBER(SEARCH("account",B169)),ISNUMBER(SEARCH("finance",B169)),ISNUMBER(SEARCH("tax",B169)),ISNUMBER(SEARCH("audit",B169))),"Accountant / Finance",OR(ISNUMBER(SEARCH("customer service",B169)),ISNUMBER(SEARCH("customer support",B169)),ISNUMBER(SEARCH("customer care",B169)),ISNUMBER(SEARCH("voice process",B169)),ISNUMBER(SEARCH("bpo",B169))),"Customer Support",ISNUMBER(SEARCH("engineer",B169)),"Engineer (Technical)",ISNUMBER(SEARCH("manager",B169)),"Manager",OR(ISNUMBER(SEARCH("teacher",B169)),ISNUMBER(SEARCH("trainer",B169)),ISNUMBER(SEARCH("faculty",B169))),"Teacher / Trainer",OR(ISNUMBER(SEARCH("doctor",B169)),ISNUMBER(SEARCH("nurse",B169)),ISNUMBER(SEARCH("medical",B169)),ISNUMBER(SEARCH("pharma",B169)),ISNUMBER(SEARCH("clinical",B169))),"Healthcare",TRUE,"Other")</f>
        <v/>
      </c>
      <c r="B78">
        <f>IF(PROPER(TRIM(Raw_Data!D168))="Bangalore","Bengaluru",IF(PROPER(TRIM(Raw_Data!D168))="Gurgaon","Gurugram",IF(OR(PROPER(TRIM(Raw_Data!D168))="New Delhi",PROPER(TRIM(Raw_Data!D168))="Delhi"),"Delhi",PROPER(TRIM(Raw_Data!D168)))))</f>
        <v/>
      </c>
      <c r="C78">
        <f>IF(TRIM(Raw_Data!F168&amp;"")="","Not Specified",Raw_Data!F168)</f>
        <v/>
      </c>
      <c r="D78">
        <f>Raw_Data!H168</f>
        <v/>
      </c>
      <c r="E78">
        <f>Raw_Data!E168</f>
        <v/>
      </c>
    </row>
    <row r="79">
      <c r="A79">
        <f>_xlfn.IFS(ISNUMBER(SEARCH("data analy",B17)),"Data Analyst",ISNUMBER(SEARCH("business analy",B17)),"Business Analyst",OR(ISNUMBER(SEARCH("developer",B17)),ISNUMBER(SEARCH("software engineer",B17)),ISNUMBER(SEARCH("programmer",B17))),"Software Developer",ISNUMBER(SEARCH("business development",B17)),"Business Development",ISNUMBER(SEARCH("sales",B17)),"Sales Executive",ISNUMBER(SEARCH("marketing",B17)),"Marketing Executive",OR(ISNUMBER(SEARCH("hr ",B17)),ISNUMBER(SEARCH("recruit",B17)),ISNUMBER(SEARCH("human resource",B17))),"HR / Recruiter",OR(ISNUMBER(SEARCH("account",B17)),ISNUMBER(SEARCH("finance",B17)),ISNUMBER(SEARCH("tax",B17)),ISNUMBER(SEARCH("audit",B17))),"Accountant / Finance",OR(ISNUMBER(SEARCH("customer service",B17)),ISNUMBER(SEARCH("customer support",B17)),ISNUMBER(SEARCH("customer care",B17)),ISNUMBER(SEARCH("voice process",B17)),ISNUMBER(SEARCH("bpo",B17))),"Customer Support",ISNUMBER(SEARCH("engineer",B17)),"Engineer (Technical)",ISNUMBER(SEARCH("manager",B17)),"Manager",OR(ISNUMBER(SEARCH("teacher",B17)),ISNUMBER(SEARCH("trainer",B17)),ISNUMBER(SEARCH("faculty",B17))),"Teacher / Trainer",OR(ISNUMBER(SEARCH("doctor",B17)),ISNUMBER(SEARCH("nurse",B17)),ISNUMBER(SEARCH("medical",B17)),ISNUMBER(SEARCH("pharma",B17)),ISNUMBER(SEARCH("clinical",B17))),"Healthcare",TRUE,"Other")</f>
        <v/>
      </c>
      <c r="B79">
        <f>IF(PROPER(TRIM(Raw_Data!D169))="Bangalore","Bengaluru",IF(PROPER(TRIM(Raw_Data!D169))="Gurgaon","Gurugram",IF(OR(PROPER(TRIM(Raw_Data!D169))="New Delhi",PROPER(TRIM(Raw_Data!D169))="Delhi"),"Delhi",PROPER(TRIM(Raw_Data!D169)))))</f>
        <v/>
      </c>
      <c r="C79">
        <f>IF(TRIM(Raw_Data!F169&amp;"")="","Not Specified",Raw_Data!F169)</f>
        <v/>
      </c>
      <c r="D79">
        <f>Raw_Data!H169</f>
        <v/>
      </c>
      <c r="E79">
        <f>Raw_Data!E169</f>
        <v/>
      </c>
    </row>
    <row r="80">
      <c r="A80">
        <f>_xlfn.IFS(ISNUMBER(SEARCH("data analy",B170)),"Data Analyst",ISNUMBER(SEARCH("business analy",B170)),"Business Analyst",OR(ISNUMBER(SEARCH("developer",B170)),ISNUMBER(SEARCH("software engineer",B170)),ISNUMBER(SEARCH("programmer",B170))),"Software Developer",ISNUMBER(SEARCH("business development",B170)),"Business Development",ISNUMBER(SEARCH("sales",B170)),"Sales Executive",ISNUMBER(SEARCH("marketing",B170)),"Marketing Executive",OR(ISNUMBER(SEARCH("hr ",B170)),ISNUMBER(SEARCH("recruit",B170)),ISNUMBER(SEARCH("human resource",B170))),"HR / Recruiter",OR(ISNUMBER(SEARCH("account",B170)),ISNUMBER(SEARCH("finance",B170)),ISNUMBER(SEARCH("tax",B170)),ISNUMBER(SEARCH("audit",B170))),"Accountant / Finance",OR(ISNUMBER(SEARCH("customer service",B170)),ISNUMBER(SEARCH("customer support",B170)),ISNUMBER(SEARCH("customer care",B170)),ISNUMBER(SEARCH("voice process",B170)),ISNUMBER(SEARCH("bpo",B170))),"Customer Support",ISNUMBER(SEARCH("engineer",B170)),"Engineer (Technical)",ISNUMBER(SEARCH("manager",B170)),"Manager",OR(ISNUMBER(SEARCH("teacher",B170)),ISNUMBER(SEARCH("trainer",B170)),ISNUMBER(SEARCH("faculty",B170))),"Teacher / Trainer",OR(ISNUMBER(SEARCH("doctor",B170)),ISNUMBER(SEARCH("nurse",B170)),ISNUMBER(SEARCH("medical",B170)),ISNUMBER(SEARCH("pharma",B170)),ISNUMBER(SEARCH("clinical",B170))),"Healthcare",TRUE,"Other")</f>
        <v/>
      </c>
      <c r="B80">
        <f>IF(PROPER(TRIM(Raw_Data!D17))="Bangalore","Bengaluru",IF(PROPER(TRIM(Raw_Data!D17))="Gurgaon","Gurugram",IF(OR(PROPER(TRIM(Raw_Data!D17))="New Delhi",PROPER(TRIM(Raw_Data!D17))="Delhi"),"Delhi",PROPER(TRIM(Raw_Data!D17)))))</f>
        <v/>
      </c>
      <c r="C80">
        <f>IF(TRIM(Raw_Data!F17&amp;"")="","Not Specified",Raw_Data!F17)</f>
        <v/>
      </c>
      <c r="D80">
        <f>Raw_Data!H17</f>
        <v/>
      </c>
      <c r="E80">
        <f>Raw_Data!E17</f>
        <v/>
      </c>
    </row>
    <row r="81">
      <c r="A81">
        <f>_xlfn.IFS(ISNUMBER(SEARCH("data analy",B171)),"Data Analyst",ISNUMBER(SEARCH("business analy",B171)),"Business Analyst",OR(ISNUMBER(SEARCH("developer",B171)),ISNUMBER(SEARCH("software engineer",B171)),ISNUMBER(SEARCH("programmer",B171))),"Software Developer",ISNUMBER(SEARCH("business development",B171)),"Business Development",ISNUMBER(SEARCH("sales",B171)),"Sales Executive",ISNUMBER(SEARCH("marketing",B171)),"Marketing Executive",OR(ISNUMBER(SEARCH("hr ",B171)),ISNUMBER(SEARCH("recruit",B171)),ISNUMBER(SEARCH("human resource",B171))),"HR / Recruiter",OR(ISNUMBER(SEARCH("account",B171)),ISNUMBER(SEARCH("finance",B171)),ISNUMBER(SEARCH("tax",B171)),ISNUMBER(SEARCH("audit",B171))),"Accountant / Finance",OR(ISNUMBER(SEARCH("customer service",B171)),ISNUMBER(SEARCH("customer support",B171)),ISNUMBER(SEARCH("customer care",B171)),ISNUMBER(SEARCH("voice process",B171)),ISNUMBER(SEARCH("bpo",B171))),"Customer Support",ISNUMBER(SEARCH("engineer",B171)),"Engineer (Technical)",ISNUMBER(SEARCH("manager",B171)),"Manager",OR(ISNUMBER(SEARCH("teacher",B171)),ISNUMBER(SEARCH("trainer",B171)),ISNUMBER(SEARCH("faculty",B171))),"Teacher / Trainer",OR(ISNUMBER(SEARCH("doctor",B171)),ISNUMBER(SEARCH("nurse",B171)),ISNUMBER(SEARCH("medical",B171)),ISNUMBER(SEARCH("pharma",B171)),ISNUMBER(SEARCH("clinical",B171))),"Healthcare",TRUE,"Other")</f>
        <v/>
      </c>
      <c r="B81">
        <f>IF(PROPER(TRIM(Raw_Data!D170))="Bangalore","Bengaluru",IF(PROPER(TRIM(Raw_Data!D170))="Gurgaon","Gurugram",IF(OR(PROPER(TRIM(Raw_Data!D170))="New Delhi",PROPER(TRIM(Raw_Data!D170))="Delhi"),"Delhi",PROPER(TRIM(Raw_Data!D170)))))</f>
        <v/>
      </c>
      <c r="C81">
        <f>IF(TRIM(Raw_Data!F170&amp;"")="","Not Specified",Raw_Data!F170)</f>
        <v/>
      </c>
      <c r="D81">
        <f>Raw_Data!H170</f>
        <v/>
      </c>
      <c r="E81">
        <f>Raw_Data!E170</f>
        <v/>
      </c>
    </row>
    <row r="82">
      <c r="A82">
        <f>_xlfn.IFS(ISNUMBER(SEARCH("data analy",B172)),"Data Analyst",ISNUMBER(SEARCH("business analy",B172)),"Business Analyst",OR(ISNUMBER(SEARCH("developer",B172)),ISNUMBER(SEARCH("software engineer",B172)),ISNUMBER(SEARCH("programmer",B172))),"Software Developer",ISNUMBER(SEARCH("business development",B172)),"Business Development",ISNUMBER(SEARCH("sales",B172)),"Sales Executive",ISNUMBER(SEARCH("marketing",B172)),"Marketing Executive",OR(ISNUMBER(SEARCH("hr ",B172)),ISNUMBER(SEARCH("recruit",B172)),ISNUMBER(SEARCH("human resource",B172))),"HR / Recruiter",OR(ISNUMBER(SEARCH("account",B172)),ISNUMBER(SEARCH("finance",B172)),ISNUMBER(SEARCH("tax",B172)),ISNUMBER(SEARCH("audit",B172))),"Accountant / Finance",OR(ISNUMBER(SEARCH("customer service",B172)),ISNUMBER(SEARCH("customer support",B172)),ISNUMBER(SEARCH("customer care",B172)),ISNUMBER(SEARCH("voice process",B172)),ISNUMBER(SEARCH("bpo",B172))),"Customer Support",ISNUMBER(SEARCH("engineer",B172)),"Engineer (Technical)",ISNUMBER(SEARCH("manager",B172)),"Manager",OR(ISNUMBER(SEARCH("teacher",B172)),ISNUMBER(SEARCH("trainer",B172)),ISNUMBER(SEARCH("faculty",B172))),"Teacher / Trainer",OR(ISNUMBER(SEARCH("doctor",B172)),ISNUMBER(SEARCH("nurse",B172)),ISNUMBER(SEARCH("medical",B172)),ISNUMBER(SEARCH("pharma",B172)),ISNUMBER(SEARCH("clinical",B172))),"Healthcare",TRUE,"Other")</f>
        <v/>
      </c>
      <c r="B82">
        <f>IF(PROPER(TRIM(Raw_Data!D171))="Bangalore","Bengaluru",IF(PROPER(TRIM(Raw_Data!D171))="Gurgaon","Gurugram",IF(OR(PROPER(TRIM(Raw_Data!D171))="New Delhi",PROPER(TRIM(Raw_Data!D171))="Delhi"),"Delhi",PROPER(TRIM(Raw_Data!D171)))))</f>
        <v/>
      </c>
      <c r="C82">
        <f>IF(TRIM(Raw_Data!F171&amp;"")="","Not Specified",Raw_Data!F171)</f>
        <v/>
      </c>
      <c r="D82">
        <f>Raw_Data!H171</f>
        <v/>
      </c>
      <c r="E82">
        <f>Raw_Data!E171</f>
        <v/>
      </c>
    </row>
    <row r="83">
      <c r="A83">
        <f>_xlfn.IFS(ISNUMBER(SEARCH("data analy",B173)),"Data Analyst",ISNUMBER(SEARCH("business analy",B173)),"Business Analyst",OR(ISNUMBER(SEARCH("developer",B173)),ISNUMBER(SEARCH("software engineer",B173)),ISNUMBER(SEARCH("programmer",B173))),"Software Developer",ISNUMBER(SEARCH("business development",B173)),"Business Development",ISNUMBER(SEARCH("sales",B173)),"Sales Executive",ISNUMBER(SEARCH("marketing",B173)),"Marketing Executive",OR(ISNUMBER(SEARCH("hr ",B173)),ISNUMBER(SEARCH("recruit",B173)),ISNUMBER(SEARCH("human resource",B173))),"HR / Recruiter",OR(ISNUMBER(SEARCH("account",B173)),ISNUMBER(SEARCH("finance",B173)),ISNUMBER(SEARCH("tax",B173)),ISNUMBER(SEARCH("audit",B173))),"Accountant / Finance",OR(ISNUMBER(SEARCH("customer service",B173)),ISNUMBER(SEARCH("customer support",B173)),ISNUMBER(SEARCH("customer care",B173)),ISNUMBER(SEARCH("voice process",B173)),ISNUMBER(SEARCH("bpo",B173))),"Customer Support",ISNUMBER(SEARCH("engineer",B173)),"Engineer (Technical)",ISNUMBER(SEARCH("manager",B173)),"Manager",OR(ISNUMBER(SEARCH("teacher",B173)),ISNUMBER(SEARCH("trainer",B173)),ISNUMBER(SEARCH("faculty",B173))),"Teacher / Trainer",OR(ISNUMBER(SEARCH("doctor",B173)),ISNUMBER(SEARCH("nurse",B173)),ISNUMBER(SEARCH("medical",B173)),ISNUMBER(SEARCH("pharma",B173)),ISNUMBER(SEARCH("clinical",B173))),"Healthcare",TRUE,"Other")</f>
        <v/>
      </c>
      <c r="B83">
        <f>IF(PROPER(TRIM(Raw_Data!D172))="Bangalore","Bengaluru",IF(PROPER(TRIM(Raw_Data!D172))="Gurgaon","Gurugram",IF(OR(PROPER(TRIM(Raw_Data!D172))="New Delhi",PROPER(TRIM(Raw_Data!D172))="Delhi"),"Delhi",PROPER(TRIM(Raw_Data!D172)))))</f>
        <v/>
      </c>
      <c r="C83">
        <f>IF(TRIM(Raw_Data!F172&amp;"")="","Not Specified",Raw_Data!F172)</f>
        <v/>
      </c>
      <c r="D83">
        <f>Raw_Data!H172</f>
        <v/>
      </c>
      <c r="E83">
        <f>Raw_Data!E172</f>
        <v/>
      </c>
    </row>
    <row r="84">
      <c r="A84">
        <f>_xlfn.IFS(ISNUMBER(SEARCH("data analy",B174)),"Data Analyst",ISNUMBER(SEARCH("business analy",B174)),"Business Analyst",OR(ISNUMBER(SEARCH("developer",B174)),ISNUMBER(SEARCH("software engineer",B174)),ISNUMBER(SEARCH("programmer",B174))),"Software Developer",ISNUMBER(SEARCH("business development",B174)),"Business Development",ISNUMBER(SEARCH("sales",B174)),"Sales Executive",ISNUMBER(SEARCH("marketing",B174)),"Marketing Executive",OR(ISNUMBER(SEARCH("hr ",B174)),ISNUMBER(SEARCH("recruit",B174)),ISNUMBER(SEARCH("human resource",B174))),"HR / Recruiter",OR(ISNUMBER(SEARCH("account",B174)),ISNUMBER(SEARCH("finance",B174)),ISNUMBER(SEARCH("tax",B174)),ISNUMBER(SEARCH("audit",B174))),"Accountant / Finance",OR(ISNUMBER(SEARCH("customer service",B174)),ISNUMBER(SEARCH("customer support",B174)),ISNUMBER(SEARCH("customer care",B174)),ISNUMBER(SEARCH("voice process",B174)),ISNUMBER(SEARCH("bpo",B174))),"Customer Support",ISNUMBER(SEARCH("engineer",B174)),"Engineer (Technical)",ISNUMBER(SEARCH("manager",B174)),"Manager",OR(ISNUMBER(SEARCH("teacher",B174)),ISNUMBER(SEARCH("trainer",B174)),ISNUMBER(SEARCH("faculty",B174))),"Teacher / Trainer",OR(ISNUMBER(SEARCH("doctor",B174)),ISNUMBER(SEARCH("nurse",B174)),ISNUMBER(SEARCH("medical",B174)),ISNUMBER(SEARCH("pharma",B174)),ISNUMBER(SEARCH("clinical",B174))),"Healthcare",TRUE,"Other")</f>
        <v/>
      </c>
      <c r="B84">
        <f>IF(PROPER(TRIM(Raw_Data!D173))="Bangalore","Bengaluru",IF(PROPER(TRIM(Raw_Data!D173))="Gurgaon","Gurugram",IF(OR(PROPER(TRIM(Raw_Data!D173))="New Delhi",PROPER(TRIM(Raw_Data!D173))="Delhi"),"Delhi",PROPER(TRIM(Raw_Data!D173)))))</f>
        <v/>
      </c>
      <c r="C84">
        <f>IF(TRIM(Raw_Data!F173&amp;"")="","Not Specified",Raw_Data!F173)</f>
        <v/>
      </c>
      <c r="D84">
        <f>Raw_Data!H173</f>
        <v/>
      </c>
      <c r="E84">
        <f>Raw_Data!E173</f>
        <v/>
      </c>
    </row>
    <row r="85">
      <c r="A85">
        <f>_xlfn.IFS(ISNUMBER(SEARCH("data analy",B175)),"Data Analyst",ISNUMBER(SEARCH("business analy",B175)),"Business Analyst",OR(ISNUMBER(SEARCH("developer",B175)),ISNUMBER(SEARCH("software engineer",B175)),ISNUMBER(SEARCH("programmer",B175))),"Software Developer",ISNUMBER(SEARCH("business development",B175)),"Business Development",ISNUMBER(SEARCH("sales",B175)),"Sales Executive",ISNUMBER(SEARCH("marketing",B175)),"Marketing Executive",OR(ISNUMBER(SEARCH("hr ",B175)),ISNUMBER(SEARCH("recruit",B175)),ISNUMBER(SEARCH("human resource",B175))),"HR / Recruiter",OR(ISNUMBER(SEARCH("account",B175)),ISNUMBER(SEARCH("finance",B175)),ISNUMBER(SEARCH("tax",B175)),ISNUMBER(SEARCH("audit",B175))),"Accountant / Finance",OR(ISNUMBER(SEARCH("customer service",B175)),ISNUMBER(SEARCH("customer support",B175)),ISNUMBER(SEARCH("customer care",B175)),ISNUMBER(SEARCH("voice process",B175)),ISNUMBER(SEARCH("bpo",B175))),"Customer Support",ISNUMBER(SEARCH("engineer",B175)),"Engineer (Technical)",ISNUMBER(SEARCH("manager",B175)),"Manager",OR(ISNUMBER(SEARCH("teacher",B175)),ISNUMBER(SEARCH("trainer",B175)),ISNUMBER(SEARCH("faculty",B175))),"Teacher / Trainer",OR(ISNUMBER(SEARCH("doctor",B175)),ISNUMBER(SEARCH("nurse",B175)),ISNUMBER(SEARCH("medical",B175)),ISNUMBER(SEARCH("pharma",B175)),ISNUMBER(SEARCH("clinical",B175))),"Healthcare",TRUE,"Other")</f>
        <v/>
      </c>
      <c r="B85">
        <f>IF(PROPER(TRIM(Raw_Data!D174))="Bangalore","Bengaluru",IF(PROPER(TRIM(Raw_Data!D174))="Gurgaon","Gurugram",IF(OR(PROPER(TRIM(Raw_Data!D174))="New Delhi",PROPER(TRIM(Raw_Data!D174))="Delhi"),"Delhi",PROPER(TRIM(Raw_Data!D174)))))</f>
        <v/>
      </c>
      <c r="C85">
        <f>IF(TRIM(Raw_Data!F174&amp;"")="","Not Specified",Raw_Data!F174)</f>
        <v/>
      </c>
      <c r="D85">
        <f>Raw_Data!H174</f>
        <v/>
      </c>
      <c r="E85">
        <f>Raw_Data!E174</f>
        <v/>
      </c>
    </row>
    <row r="86">
      <c r="A86">
        <f>_xlfn.IFS(ISNUMBER(SEARCH("data analy",B176)),"Data Analyst",ISNUMBER(SEARCH("business analy",B176)),"Business Analyst",OR(ISNUMBER(SEARCH("developer",B176)),ISNUMBER(SEARCH("software engineer",B176)),ISNUMBER(SEARCH("programmer",B176))),"Software Developer",ISNUMBER(SEARCH("business development",B176)),"Business Development",ISNUMBER(SEARCH("sales",B176)),"Sales Executive",ISNUMBER(SEARCH("marketing",B176)),"Marketing Executive",OR(ISNUMBER(SEARCH("hr ",B176)),ISNUMBER(SEARCH("recruit",B176)),ISNUMBER(SEARCH("human resource",B176))),"HR / Recruiter",OR(ISNUMBER(SEARCH("account",B176)),ISNUMBER(SEARCH("finance",B176)),ISNUMBER(SEARCH("tax",B176)),ISNUMBER(SEARCH("audit",B176))),"Accountant / Finance",OR(ISNUMBER(SEARCH("customer service",B176)),ISNUMBER(SEARCH("customer support",B176)),ISNUMBER(SEARCH("customer care",B176)),ISNUMBER(SEARCH("voice process",B176)),ISNUMBER(SEARCH("bpo",B176))),"Customer Support",ISNUMBER(SEARCH("engineer",B176)),"Engineer (Technical)",ISNUMBER(SEARCH("manager",B176)),"Manager",OR(ISNUMBER(SEARCH("teacher",B176)),ISNUMBER(SEARCH("trainer",B176)),ISNUMBER(SEARCH("faculty",B176))),"Teacher / Trainer",OR(ISNUMBER(SEARCH("doctor",B176)),ISNUMBER(SEARCH("nurse",B176)),ISNUMBER(SEARCH("medical",B176)),ISNUMBER(SEARCH("pharma",B176)),ISNUMBER(SEARCH("clinical",B176))),"Healthcare",TRUE,"Other")</f>
        <v/>
      </c>
      <c r="B86">
        <f>IF(PROPER(TRIM(Raw_Data!D175))="Bangalore","Bengaluru",IF(PROPER(TRIM(Raw_Data!D175))="Gurgaon","Gurugram",IF(OR(PROPER(TRIM(Raw_Data!D175))="New Delhi",PROPER(TRIM(Raw_Data!D175))="Delhi"),"Delhi",PROPER(TRIM(Raw_Data!D175)))))</f>
        <v/>
      </c>
      <c r="C86">
        <f>IF(TRIM(Raw_Data!F175&amp;"")="","Not Specified",Raw_Data!F175)</f>
        <v/>
      </c>
      <c r="D86">
        <f>Raw_Data!H175</f>
        <v/>
      </c>
      <c r="E86">
        <f>Raw_Data!E175</f>
        <v/>
      </c>
    </row>
    <row r="87">
      <c r="A87">
        <f>_xlfn.IFS(ISNUMBER(SEARCH("data analy",B177)),"Data Analyst",ISNUMBER(SEARCH("business analy",B177)),"Business Analyst",OR(ISNUMBER(SEARCH("developer",B177)),ISNUMBER(SEARCH("software engineer",B177)),ISNUMBER(SEARCH("programmer",B177))),"Software Developer",ISNUMBER(SEARCH("business development",B177)),"Business Development",ISNUMBER(SEARCH("sales",B177)),"Sales Executive",ISNUMBER(SEARCH("marketing",B177)),"Marketing Executive",OR(ISNUMBER(SEARCH("hr ",B177)),ISNUMBER(SEARCH("recruit",B177)),ISNUMBER(SEARCH("human resource",B177))),"HR / Recruiter",OR(ISNUMBER(SEARCH("account",B177)),ISNUMBER(SEARCH("finance",B177)),ISNUMBER(SEARCH("tax",B177)),ISNUMBER(SEARCH("audit",B177))),"Accountant / Finance",OR(ISNUMBER(SEARCH("customer service",B177)),ISNUMBER(SEARCH("customer support",B177)),ISNUMBER(SEARCH("customer care",B177)),ISNUMBER(SEARCH("voice process",B177)),ISNUMBER(SEARCH("bpo",B177))),"Customer Support",ISNUMBER(SEARCH("engineer",B177)),"Engineer (Technical)",ISNUMBER(SEARCH("manager",B177)),"Manager",OR(ISNUMBER(SEARCH("teacher",B177)),ISNUMBER(SEARCH("trainer",B177)),ISNUMBER(SEARCH("faculty",B177))),"Teacher / Trainer",OR(ISNUMBER(SEARCH("doctor",B177)),ISNUMBER(SEARCH("nurse",B177)),ISNUMBER(SEARCH("medical",B177)),ISNUMBER(SEARCH("pharma",B177)),ISNUMBER(SEARCH("clinical",B177))),"Healthcare",TRUE,"Other")</f>
        <v/>
      </c>
      <c r="B87">
        <f>IF(PROPER(TRIM(Raw_Data!D176))="Bangalore","Bengaluru",IF(PROPER(TRIM(Raw_Data!D176))="Gurgaon","Gurugram",IF(OR(PROPER(TRIM(Raw_Data!D176))="New Delhi",PROPER(TRIM(Raw_Data!D176))="Delhi"),"Delhi",PROPER(TRIM(Raw_Data!D176)))))</f>
        <v/>
      </c>
      <c r="C87">
        <f>IF(TRIM(Raw_Data!F176&amp;"")="","Not Specified",Raw_Data!F176)</f>
        <v/>
      </c>
      <c r="D87">
        <f>Raw_Data!H176</f>
        <v/>
      </c>
      <c r="E87">
        <f>Raw_Data!E176</f>
        <v/>
      </c>
    </row>
    <row r="88">
      <c r="A88">
        <f>_xlfn.IFS(ISNUMBER(SEARCH("data analy",B178)),"Data Analyst",ISNUMBER(SEARCH("business analy",B178)),"Business Analyst",OR(ISNUMBER(SEARCH("developer",B178)),ISNUMBER(SEARCH("software engineer",B178)),ISNUMBER(SEARCH("programmer",B178))),"Software Developer",ISNUMBER(SEARCH("business development",B178)),"Business Development",ISNUMBER(SEARCH("sales",B178)),"Sales Executive",ISNUMBER(SEARCH("marketing",B178)),"Marketing Executive",OR(ISNUMBER(SEARCH("hr ",B178)),ISNUMBER(SEARCH("recruit",B178)),ISNUMBER(SEARCH("human resource",B178))),"HR / Recruiter",OR(ISNUMBER(SEARCH("account",B178)),ISNUMBER(SEARCH("finance",B178)),ISNUMBER(SEARCH("tax",B178)),ISNUMBER(SEARCH("audit",B178))),"Accountant / Finance",OR(ISNUMBER(SEARCH("customer service",B178)),ISNUMBER(SEARCH("customer support",B178)),ISNUMBER(SEARCH("customer care",B178)),ISNUMBER(SEARCH("voice process",B178)),ISNUMBER(SEARCH("bpo",B178))),"Customer Support",ISNUMBER(SEARCH("engineer",B178)),"Engineer (Technical)",ISNUMBER(SEARCH("manager",B178)),"Manager",OR(ISNUMBER(SEARCH("teacher",B178)),ISNUMBER(SEARCH("trainer",B178)),ISNUMBER(SEARCH("faculty",B178))),"Teacher / Trainer",OR(ISNUMBER(SEARCH("doctor",B178)),ISNUMBER(SEARCH("nurse",B178)),ISNUMBER(SEARCH("medical",B178)),ISNUMBER(SEARCH("pharma",B178)),ISNUMBER(SEARCH("clinical",B178))),"Healthcare",TRUE,"Other")</f>
        <v/>
      </c>
      <c r="B88">
        <f>IF(PROPER(TRIM(Raw_Data!D177))="Bangalore","Bengaluru",IF(PROPER(TRIM(Raw_Data!D177))="Gurgaon","Gurugram",IF(OR(PROPER(TRIM(Raw_Data!D177))="New Delhi",PROPER(TRIM(Raw_Data!D177))="Delhi"),"Delhi",PROPER(TRIM(Raw_Data!D177)))))</f>
        <v/>
      </c>
      <c r="C88">
        <f>IF(TRIM(Raw_Data!F177&amp;"")="","Not Specified",Raw_Data!F177)</f>
        <v/>
      </c>
      <c r="D88">
        <f>Raw_Data!H177</f>
        <v/>
      </c>
      <c r="E88">
        <f>Raw_Data!E177</f>
        <v/>
      </c>
    </row>
    <row r="89">
      <c r="A89">
        <f>_xlfn.IFS(ISNUMBER(SEARCH("data analy",B179)),"Data Analyst",ISNUMBER(SEARCH("business analy",B179)),"Business Analyst",OR(ISNUMBER(SEARCH("developer",B179)),ISNUMBER(SEARCH("software engineer",B179)),ISNUMBER(SEARCH("programmer",B179))),"Software Developer",ISNUMBER(SEARCH("business development",B179)),"Business Development",ISNUMBER(SEARCH("sales",B179)),"Sales Executive",ISNUMBER(SEARCH("marketing",B179)),"Marketing Executive",OR(ISNUMBER(SEARCH("hr ",B179)),ISNUMBER(SEARCH("recruit",B179)),ISNUMBER(SEARCH("human resource",B179))),"HR / Recruiter",OR(ISNUMBER(SEARCH("account",B179)),ISNUMBER(SEARCH("finance",B179)),ISNUMBER(SEARCH("tax",B179)),ISNUMBER(SEARCH("audit",B179))),"Accountant / Finance",OR(ISNUMBER(SEARCH("customer service",B179)),ISNUMBER(SEARCH("customer support",B179)),ISNUMBER(SEARCH("customer care",B179)),ISNUMBER(SEARCH("voice process",B179)),ISNUMBER(SEARCH("bpo",B179))),"Customer Support",ISNUMBER(SEARCH("engineer",B179)),"Engineer (Technical)",ISNUMBER(SEARCH("manager",B179)),"Manager",OR(ISNUMBER(SEARCH("teacher",B179)),ISNUMBER(SEARCH("trainer",B179)),ISNUMBER(SEARCH("faculty",B179))),"Teacher / Trainer",OR(ISNUMBER(SEARCH("doctor",B179)),ISNUMBER(SEARCH("nurse",B179)),ISNUMBER(SEARCH("medical",B179)),ISNUMBER(SEARCH("pharma",B179)),ISNUMBER(SEARCH("clinical",B179))),"Healthcare",TRUE,"Other")</f>
        <v/>
      </c>
      <c r="B89">
        <f>IF(PROPER(TRIM(Raw_Data!D178))="Bangalore","Bengaluru",IF(PROPER(TRIM(Raw_Data!D178))="Gurgaon","Gurugram",IF(OR(PROPER(TRIM(Raw_Data!D178))="New Delhi",PROPER(TRIM(Raw_Data!D178))="Delhi"),"Delhi",PROPER(TRIM(Raw_Data!D178)))))</f>
        <v/>
      </c>
      <c r="C89">
        <f>IF(TRIM(Raw_Data!F178&amp;"")="","Not Specified",Raw_Data!F178)</f>
        <v/>
      </c>
      <c r="D89">
        <f>Raw_Data!H178</f>
        <v/>
      </c>
      <c r="E89">
        <f>Raw_Data!E178</f>
        <v/>
      </c>
    </row>
    <row r="90">
      <c r="A90">
        <f>_xlfn.IFS(ISNUMBER(SEARCH("data analy",B18)),"Data Analyst",ISNUMBER(SEARCH("business analy",B18)),"Business Analyst",OR(ISNUMBER(SEARCH("developer",B18)),ISNUMBER(SEARCH("software engineer",B18)),ISNUMBER(SEARCH("programmer",B18))),"Software Developer",ISNUMBER(SEARCH("business development",B18)),"Business Development",ISNUMBER(SEARCH("sales",B18)),"Sales Executive",ISNUMBER(SEARCH("marketing",B18)),"Marketing Executive",OR(ISNUMBER(SEARCH("hr ",B18)),ISNUMBER(SEARCH("recruit",B18)),ISNUMBER(SEARCH("human resource",B18))),"HR / Recruiter",OR(ISNUMBER(SEARCH("account",B18)),ISNUMBER(SEARCH("finance",B18)),ISNUMBER(SEARCH("tax",B18)),ISNUMBER(SEARCH("audit",B18))),"Accountant / Finance",OR(ISNUMBER(SEARCH("customer service",B18)),ISNUMBER(SEARCH("customer support",B18)),ISNUMBER(SEARCH("customer care",B18)),ISNUMBER(SEARCH("voice process",B18)),ISNUMBER(SEARCH("bpo",B18))),"Customer Support",ISNUMBER(SEARCH("engineer",B18)),"Engineer (Technical)",ISNUMBER(SEARCH("manager",B18)),"Manager",OR(ISNUMBER(SEARCH("teacher",B18)),ISNUMBER(SEARCH("trainer",B18)),ISNUMBER(SEARCH("faculty",B18))),"Teacher / Trainer",OR(ISNUMBER(SEARCH("doctor",B18)),ISNUMBER(SEARCH("nurse",B18)),ISNUMBER(SEARCH("medical",B18)),ISNUMBER(SEARCH("pharma",B18)),ISNUMBER(SEARCH("clinical",B18))),"Healthcare",TRUE,"Other")</f>
        <v/>
      </c>
      <c r="B90">
        <f>IF(PROPER(TRIM(Raw_Data!D179))="Bangalore","Bengaluru",IF(PROPER(TRIM(Raw_Data!D179))="Gurgaon","Gurugram",IF(OR(PROPER(TRIM(Raw_Data!D179))="New Delhi",PROPER(TRIM(Raw_Data!D179))="Delhi"),"Delhi",PROPER(TRIM(Raw_Data!D179)))))</f>
        <v/>
      </c>
      <c r="C90">
        <f>IF(TRIM(Raw_Data!F179&amp;"")="","Not Specified",Raw_Data!F179)</f>
        <v/>
      </c>
      <c r="D90">
        <f>Raw_Data!H179</f>
        <v/>
      </c>
      <c r="E90">
        <f>Raw_Data!E179</f>
        <v/>
      </c>
    </row>
    <row r="91">
      <c r="A91">
        <f>_xlfn.IFS(ISNUMBER(SEARCH("data analy",B180)),"Data Analyst",ISNUMBER(SEARCH("business analy",B180)),"Business Analyst",OR(ISNUMBER(SEARCH("developer",B180)),ISNUMBER(SEARCH("software engineer",B180)),ISNUMBER(SEARCH("programmer",B180))),"Software Developer",ISNUMBER(SEARCH("business development",B180)),"Business Development",ISNUMBER(SEARCH("sales",B180)),"Sales Executive",ISNUMBER(SEARCH("marketing",B180)),"Marketing Executive",OR(ISNUMBER(SEARCH("hr ",B180)),ISNUMBER(SEARCH("recruit",B180)),ISNUMBER(SEARCH("human resource",B180))),"HR / Recruiter",OR(ISNUMBER(SEARCH("account",B180)),ISNUMBER(SEARCH("finance",B180)),ISNUMBER(SEARCH("tax",B180)),ISNUMBER(SEARCH("audit",B180))),"Accountant / Finance",OR(ISNUMBER(SEARCH("customer service",B180)),ISNUMBER(SEARCH("customer support",B180)),ISNUMBER(SEARCH("customer care",B180)),ISNUMBER(SEARCH("voice process",B180)),ISNUMBER(SEARCH("bpo",B180))),"Customer Support",ISNUMBER(SEARCH("engineer",B180)),"Engineer (Technical)",ISNUMBER(SEARCH("manager",B180)),"Manager",OR(ISNUMBER(SEARCH("teacher",B180)),ISNUMBER(SEARCH("trainer",B180)),ISNUMBER(SEARCH("faculty",B180))),"Teacher / Trainer",OR(ISNUMBER(SEARCH("doctor",B180)),ISNUMBER(SEARCH("nurse",B180)),ISNUMBER(SEARCH("medical",B180)),ISNUMBER(SEARCH("pharma",B180)),ISNUMBER(SEARCH("clinical",B180))),"Healthcare",TRUE,"Other")</f>
        <v/>
      </c>
      <c r="B91">
        <f>IF(PROPER(TRIM(Raw_Data!D18))="Bangalore","Bengaluru",IF(PROPER(TRIM(Raw_Data!D18))="Gurgaon","Gurugram",IF(OR(PROPER(TRIM(Raw_Data!D18))="New Delhi",PROPER(TRIM(Raw_Data!D18))="Delhi"),"Delhi",PROPER(TRIM(Raw_Data!D18)))))</f>
        <v/>
      </c>
      <c r="C91">
        <f>IF(TRIM(Raw_Data!F18&amp;"")="","Not Specified",Raw_Data!F18)</f>
        <v/>
      </c>
      <c r="D91">
        <f>Raw_Data!H18</f>
        <v/>
      </c>
      <c r="E91">
        <f>Raw_Data!E18</f>
        <v/>
      </c>
    </row>
    <row r="92">
      <c r="A92">
        <f>_xlfn.IFS(ISNUMBER(SEARCH("data analy",B181)),"Data Analyst",ISNUMBER(SEARCH("business analy",B181)),"Business Analyst",OR(ISNUMBER(SEARCH("developer",B181)),ISNUMBER(SEARCH("software engineer",B181)),ISNUMBER(SEARCH("programmer",B181))),"Software Developer",ISNUMBER(SEARCH("business development",B181)),"Business Development",ISNUMBER(SEARCH("sales",B181)),"Sales Executive",ISNUMBER(SEARCH("marketing",B181)),"Marketing Executive",OR(ISNUMBER(SEARCH("hr ",B181)),ISNUMBER(SEARCH("recruit",B181)),ISNUMBER(SEARCH("human resource",B181))),"HR / Recruiter",OR(ISNUMBER(SEARCH("account",B181)),ISNUMBER(SEARCH("finance",B181)),ISNUMBER(SEARCH("tax",B181)),ISNUMBER(SEARCH("audit",B181))),"Accountant / Finance",OR(ISNUMBER(SEARCH("customer service",B181)),ISNUMBER(SEARCH("customer support",B181)),ISNUMBER(SEARCH("customer care",B181)),ISNUMBER(SEARCH("voice process",B181)),ISNUMBER(SEARCH("bpo",B181))),"Customer Support",ISNUMBER(SEARCH("engineer",B181)),"Engineer (Technical)",ISNUMBER(SEARCH("manager",B181)),"Manager",OR(ISNUMBER(SEARCH("teacher",B181)),ISNUMBER(SEARCH("trainer",B181)),ISNUMBER(SEARCH("faculty",B181))),"Teacher / Trainer",OR(ISNUMBER(SEARCH("doctor",B181)),ISNUMBER(SEARCH("nurse",B181)),ISNUMBER(SEARCH("medical",B181)),ISNUMBER(SEARCH("pharma",B181)),ISNUMBER(SEARCH("clinical",B181))),"Healthcare",TRUE,"Other")</f>
        <v/>
      </c>
      <c r="B92">
        <f>IF(PROPER(TRIM(Raw_Data!D180))="Bangalore","Bengaluru",IF(PROPER(TRIM(Raw_Data!D180))="Gurgaon","Gurugram",IF(OR(PROPER(TRIM(Raw_Data!D180))="New Delhi",PROPER(TRIM(Raw_Data!D180))="Delhi"),"Delhi",PROPER(TRIM(Raw_Data!D180)))))</f>
        <v/>
      </c>
      <c r="C92">
        <f>IF(TRIM(Raw_Data!F180&amp;"")="","Not Specified",Raw_Data!F180)</f>
        <v/>
      </c>
      <c r="D92">
        <f>Raw_Data!H180</f>
        <v/>
      </c>
      <c r="E92">
        <f>Raw_Data!E180</f>
        <v/>
      </c>
    </row>
    <row r="93">
      <c r="A93">
        <f>_xlfn.IFS(ISNUMBER(SEARCH("data analy",B182)),"Data Analyst",ISNUMBER(SEARCH("business analy",B182)),"Business Analyst",OR(ISNUMBER(SEARCH("developer",B182)),ISNUMBER(SEARCH("software engineer",B182)),ISNUMBER(SEARCH("programmer",B182))),"Software Developer",ISNUMBER(SEARCH("business development",B182)),"Business Development",ISNUMBER(SEARCH("sales",B182)),"Sales Executive",ISNUMBER(SEARCH("marketing",B182)),"Marketing Executive",OR(ISNUMBER(SEARCH("hr ",B182)),ISNUMBER(SEARCH("recruit",B182)),ISNUMBER(SEARCH("human resource",B182))),"HR / Recruiter",OR(ISNUMBER(SEARCH("account",B182)),ISNUMBER(SEARCH("finance",B182)),ISNUMBER(SEARCH("tax",B182)),ISNUMBER(SEARCH("audit",B182))),"Accountant / Finance",OR(ISNUMBER(SEARCH("customer service",B182)),ISNUMBER(SEARCH("customer support",B182)),ISNUMBER(SEARCH("customer care",B182)),ISNUMBER(SEARCH("voice process",B182)),ISNUMBER(SEARCH("bpo",B182))),"Customer Support",ISNUMBER(SEARCH("engineer",B182)),"Engineer (Technical)",ISNUMBER(SEARCH("manager",B182)),"Manager",OR(ISNUMBER(SEARCH("teacher",B182)),ISNUMBER(SEARCH("trainer",B182)),ISNUMBER(SEARCH("faculty",B182))),"Teacher / Trainer",OR(ISNUMBER(SEARCH("doctor",B182)),ISNUMBER(SEARCH("nurse",B182)),ISNUMBER(SEARCH("medical",B182)),ISNUMBER(SEARCH("pharma",B182)),ISNUMBER(SEARCH("clinical",B182))),"Healthcare",TRUE,"Other")</f>
        <v/>
      </c>
      <c r="B93">
        <f>IF(PROPER(TRIM(Raw_Data!D181))="Bangalore","Bengaluru",IF(PROPER(TRIM(Raw_Data!D181))="Gurgaon","Gurugram",IF(OR(PROPER(TRIM(Raw_Data!D181))="New Delhi",PROPER(TRIM(Raw_Data!D181))="Delhi"),"Delhi",PROPER(TRIM(Raw_Data!D181)))))</f>
        <v/>
      </c>
      <c r="C93">
        <f>IF(TRIM(Raw_Data!F181&amp;"")="","Not Specified",Raw_Data!F181)</f>
        <v/>
      </c>
      <c r="D93">
        <f>Raw_Data!H181</f>
        <v/>
      </c>
      <c r="E93">
        <f>Raw_Data!E181</f>
        <v/>
      </c>
    </row>
    <row r="94">
      <c r="A94">
        <f>_xlfn.IFS(ISNUMBER(SEARCH("data analy",B183)),"Data Analyst",ISNUMBER(SEARCH("business analy",B183)),"Business Analyst",OR(ISNUMBER(SEARCH("developer",B183)),ISNUMBER(SEARCH("software engineer",B183)),ISNUMBER(SEARCH("programmer",B183))),"Software Developer",ISNUMBER(SEARCH("business development",B183)),"Business Development",ISNUMBER(SEARCH("sales",B183)),"Sales Executive",ISNUMBER(SEARCH("marketing",B183)),"Marketing Executive",OR(ISNUMBER(SEARCH("hr ",B183)),ISNUMBER(SEARCH("recruit",B183)),ISNUMBER(SEARCH("human resource",B183))),"HR / Recruiter",OR(ISNUMBER(SEARCH("account",B183)),ISNUMBER(SEARCH("finance",B183)),ISNUMBER(SEARCH("tax",B183)),ISNUMBER(SEARCH("audit",B183))),"Accountant / Finance",OR(ISNUMBER(SEARCH("customer service",B183)),ISNUMBER(SEARCH("customer support",B183)),ISNUMBER(SEARCH("customer care",B183)),ISNUMBER(SEARCH("voice process",B183)),ISNUMBER(SEARCH("bpo",B183))),"Customer Support",ISNUMBER(SEARCH("engineer",B183)),"Engineer (Technical)",ISNUMBER(SEARCH("manager",B183)),"Manager",OR(ISNUMBER(SEARCH("teacher",B183)),ISNUMBER(SEARCH("trainer",B183)),ISNUMBER(SEARCH("faculty",B183))),"Teacher / Trainer",OR(ISNUMBER(SEARCH("doctor",B183)),ISNUMBER(SEARCH("nurse",B183)),ISNUMBER(SEARCH("medical",B183)),ISNUMBER(SEARCH("pharma",B183)),ISNUMBER(SEARCH("clinical",B183))),"Healthcare",TRUE,"Other")</f>
        <v/>
      </c>
      <c r="B94">
        <f>IF(PROPER(TRIM(Raw_Data!D182))="Bangalore","Bengaluru",IF(PROPER(TRIM(Raw_Data!D182))="Gurgaon","Gurugram",IF(OR(PROPER(TRIM(Raw_Data!D182))="New Delhi",PROPER(TRIM(Raw_Data!D182))="Delhi"),"Delhi",PROPER(TRIM(Raw_Data!D182)))))</f>
        <v/>
      </c>
      <c r="C94">
        <f>IF(TRIM(Raw_Data!F182&amp;"")="","Not Specified",Raw_Data!F182)</f>
        <v/>
      </c>
      <c r="D94">
        <f>Raw_Data!H182</f>
        <v/>
      </c>
      <c r="E94">
        <f>Raw_Data!E182</f>
        <v/>
      </c>
    </row>
    <row r="95">
      <c r="A95">
        <f>_xlfn.IFS(ISNUMBER(SEARCH("data analy",B184)),"Data Analyst",ISNUMBER(SEARCH("business analy",B184)),"Business Analyst",OR(ISNUMBER(SEARCH("developer",B184)),ISNUMBER(SEARCH("software engineer",B184)),ISNUMBER(SEARCH("programmer",B184))),"Software Developer",ISNUMBER(SEARCH("business development",B184)),"Business Development",ISNUMBER(SEARCH("sales",B184)),"Sales Executive",ISNUMBER(SEARCH("marketing",B184)),"Marketing Executive",OR(ISNUMBER(SEARCH("hr ",B184)),ISNUMBER(SEARCH("recruit",B184)),ISNUMBER(SEARCH("human resource",B184))),"HR / Recruiter",OR(ISNUMBER(SEARCH("account",B184)),ISNUMBER(SEARCH("finance",B184)),ISNUMBER(SEARCH("tax",B184)),ISNUMBER(SEARCH("audit",B184))),"Accountant / Finance",OR(ISNUMBER(SEARCH("customer service",B184)),ISNUMBER(SEARCH("customer support",B184)),ISNUMBER(SEARCH("customer care",B184)),ISNUMBER(SEARCH("voice process",B184)),ISNUMBER(SEARCH("bpo",B184))),"Customer Support",ISNUMBER(SEARCH("engineer",B184)),"Engineer (Technical)",ISNUMBER(SEARCH("manager",B184)),"Manager",OR(ISNUMBER(SEARCH("teacher",B184)),ISNUMBER(SEARCH("trainer",B184)),ISNUMBER(SEARCH("faculty",B184))),"Teacher / Trainer",OR(ISNUMBER(SEARCH("doctor",B184)),ISNUMBER(SEARCH("nurse",B184)),ISNUMBER(SEARCH("medical",B184)),ISNUMBER(SEARCH("pharma",B184)),ISNUMBER(SEARCH("clinical",B184))),"Healthcare",TRUE,"Other")</f>
        <v/>
      </c>
      <c r="B95">
        <f>IF(PROPER(TRIM(Raw_Data!D183))="Bangalore","Bengaluru",IF(PROPER(TRIM(Raw_Data!D183))="Gurgaon","Gurugram",IF(OR(PROPER(TRIM(Raw_Data!D183))="New Delhi",PROPER(TRIM(Raw_Data!D183))="Delhi"),"Delhi",PROPER(TRIM(Raw_Data!D183)))))</f>
        <v/>
      </c>
      <c r="C95">
        <f>IF(TRIM(Raw_Data!F183&amp;"")="","Not Specified",Raw_Data!F183)</f>
        <v/>
      </c>
      <c r="D95">
        <f>Raw_Data!H183</f>
        <v/>
      </c>
      <c r="E95">
        <f>Raw_Data!E183</f>
        <v/>
      </c>
    </row>
    <row r="96">
      <c r="A96">
        <f>_xlfn.IFS(ISNUMBER(SEARCH("data analy",B185)),"Data Analyst",ISNUMBER(SEARCH("business analy",B185)),"Business Analyst",OR(ISNUMBER(SEARCH("developer",B185)),ISNUMBER(SEARCH("software engineer",B185)),ISNUMBER(SEARCH("programmer",B185))),"Software Developer",ISNUMBER(SEARCH("business development",B185)),"Business Development",ISNUMBER(SEARCH("sales",B185)),"Sales Executive",ISNUMBER(SEARCH("marketing",B185)),"Marketing Executive",OR(ISNUMBER(SEARCH("hr ",B185)),ISNUMBER(SEARCH("recruit",B185)),ISNUMBER(SEARCH("human resource",B185))),"HR / Recruiter",OR(ISNUMBER(SEARCH("account",B185)),ISNUMBER(SEARCH("finance",B185)),ISNUMBER(SEARCH("tax",B185)),ISNUMBER(SEARCH("audit",B185))),"Accountant / Finance",OR(ISNUMBER(SEARCH("customer service",B185)),ISNUMBER(SEARCH("customer support",B185)),ISNUMBER(SEARCH("customer care",B185)),ISNUMBER(SEARCH("voice process",B185)),ISNUMBER(SEARCH("bpo",B185))),"Customer Support",ISNUMBER(SEARCH("engineer",B185)),"Engineer (Technical)",ISNUMBER(SEARCH("manager",B185)),"Manager",OR(ISNUMBER(SEARCH("teacher",B185)),ISNUMBER(SEARCH("trainer",B185)),ISNUMBER(SEARCH("faculty",B185))),"Teacher / Trainer",OR(ISNUMBER(SEARCH("doctor",B185)),ISNUMBER(SEARCH("nurse",B185)),ISNUMBER(SEARCH("medical",B185)),ISNUMBER(SEARCH("pharma",B185)),ISNUMBER(SEARCH("clinical",B185))),"Healthcare",TRUE,"Other")</f>
        <v/>
      </c>
      <c r="B96">
        <f>IF(PROPER(TRIM(Raw_Data!D184))="Bangalore","Bengaluru",IF(PROPER(TRIM(Raw_Data!D184))="Gurgaon","Gurugram",IF(OR(PROPER(TRIM(Raw_Data!D184))="New Delhi",PROPER(TRIM(Raw_Data!D184))="Delhi"),"Delhi",PROPER(TRIM(Raw_Data!D184)))))</f>
        <v/>
      </c>
      <c r="C96">
        <f>IF(TRIM(Raw_Data!F184&amp;"")="","Not Specified",Raw_Data!F184)</f>
        <v/>
      </c>
      <c r="D96">
        <f>Raw_Data!H184</f>
        <v/>
      </c>
      <c r="E96">
        <f>Raw_Data!E184</f>
        <v/>
      </c>
    </row>
    <row r="97">
      <c r="A97">
        <f>_xlfn.IFS(ISNUMBER(SEARCH("data analy",B186)),"Data Analyst",ISNUMBER(SEARCH("business analy",B186)),"Business Analyst",OR(ISNUMBER(SEARCH("developer",B186)),ISNUMBER(SEARCH("software engineer",B186)),ISNUMBER(SEARCH("programmer",B186))),"Software Developer",ISNUMBER(SEARCH("business development",B186)),"Business Development",ISNUMBER(SEARCH("sales",B186)),"Sales Executive",ISNUMBER(SEARCH("marketing",B186)),"Marketing Executive",OR(ISNUMBER(SEARCH("hr ",B186)),ISNUMBER(SEARCH("recruit",B186)),ISNUMBER(SEARCH("human resource",B186))),"HR / Recruiter",OR(ISNUMBER(SEARCH("account",B186)),ISNUMBER(SEARCH("finance",B186)),ISNUMBER(SEARCH("tax",B186)),ISNUMBER(SEARCH("audit",B186))),"Accountant / Finance",OR(ISNUMBER(SEARCH("customer service",B186)),ISNUMBER(SEARCH("customer support",B186)),ISNUMBER(SEARCH("customer care",B186)),ISNUMBER(SEARCH("voice process",B186)),ISNUMBER(SEARCH("bpo",B186))),"Customer Support",ISNUMBER(SEARCH("engineer",B186)),"Engineer (Technical)",ISNUMBER(SEARCH("manager",B186)),"Manager",OR(ISNUMBER(SEARCH("teacher",B186)),ISNUMBER(SEARCH("trainer",B186)),ISNUMBER(SEARCH("faculty",B186))),"Teacher / Trainer",OR(ISNUMBER(SEARCH("doctor",B186)),ISNUMBER(SEARCH("nurse",B186)),ISNUMBER(SEARCH("medical",B186)),ISNUMBER(SEARCH("pharma",B186)),ISNUMBER(SEARCH("clinical",B186))),"Healthcare",TRUE,"Other")</f>
        <v/>
      </c>
      <c r="B97">
        <f>IF(PROPER(TRIM(Raw_Data!D185))="Bangalore","Bengaluru",IF(PROPER(TRIM(Raw_Data!D185))="Gurgaon","Gurugram",IF(OR(PROPER(TRIM(Raw_Data!D185))="New Delhi",PROPER(TRIM(Raw_Data!D185))="Delhi"),"Delhi",PROPER(TRIM(Raw_Data!D185)))))</f>
        <v/>
      </c>
      <c r="C97">
        <f>IF(TRIM(Raw_Data!F185&amp;"")="","Not Specified",Raw_Data!F185)</f>
        <v/>
      </c>
      <c r="D97">
        <f>Raw_Data!H185</f>
        <v/>
      </c>
      <c r="E97">
        <f>Raw_Data!E185</f>
        <v/>
      </c>
    </row>
    <row r="98">
      <c r="A98">
        <f>_xlfn.IFS(ISNUMBER(SEARCH("data analy",B187)),"Data Analyst",ISNUMBER(SEARCH("business analy",B187)),"Business Analyst",OR(ISNUMBER(SEARCH("developer",B187)),ISNUMBER(SEARCH("software engineer",B187)),ISNUMBER(SEARCH("programmer",B187))),"Software Developer",ISNUMBER(SEARCH("business development",B187)),"Business Development",ISNUMBER(SEARCH("sales",B187)),"Sales Executive",ISNUMBER(SEARCH("marketing",B187)),"Marketing Executive",OR(ISNUMBER(SEARCH("hr ",B187)),ISNUMBER(SEARCH("recruit",B187)),ISNUMBER(SEARCH("human resource",B187))),"HR / Recruiter",OR(ISNUMBER(SEARCH("account",B187)),ISNUMBER(SEARCH("finance",B187)),ISNUMBER(SEARCH("tax",B187)),ISNUMBER(SEARCH("audit",B187))),"Accountant / Finance",OR(ISNUMBER(SEARCH("customer service",B187)),ISNUMBER(SEARCH("customer support",B187)),ISNUMBER(SEARCH("customer care",B187)),ISNUMBER(SEARCH("voice process",B187)),ISNUMBER(SEARCH("bpo",B187))),"Customer Support",ISNUMBER(SEARCH("engineer",B187)),"Engineer (Technical)",ISNUMBER(SEARCH("manager",B187)),"Manager",OR(ISNUMBER(SEARCH("teacher",B187)),ISNUMBER(SEARCH("trainer",B187)),ISNUMBER(SEARCH("faculty",B187))),"Teacher / Trainer",OR(ISNUMBER(SEARCH("doctor",B187)),ISNUMBER(SEARCH("nurse",B187)),ISNUMBER(SEARCH("medical",B187)),ISNUMBER(SEARCH("pharma",B187)),ISNUMBER(SEARCH("clinical",B187))),"Healthcare",TRUE,"Other")</f>
        <v/>
      </c>
      <c r="B98">
        <f>IF(PROPER(TRIM(Raw_Data!D186))="Bangalore","Bengaluru",IF(PROPER(TRIM(Raw_Data!D186))="Gurgaon","Gurugram",IF(OR(PROPER(TRIM(Raw_Data!D186))="New Delhi",PROPER(TRIM(Raw_Data!D186))="Delhi"),"Delhi",PROPER(TRIM(Raw_Data!D186)))))</f>
        <v/>
      </c>
      <c r="C98">
        <f>IF(TRIM(Raw_Data!F186&amp;"")="","Not Specified",Raw_Data!F186)</f>
        <v/>
      </c>
      <c r="D98">
        <f>Raw_Data!H186</f>
        <v/>
      </c>
      <c r="E98">
        <f>Raw_Data!E186</f>
        <v/>
      </c>
    </row>
    <row r="99">
      <c r="A99">
        <f>_xlfn.IFS(ISNUMBER(SEARCH("data analy",B188)),"Data Analyst",ISNUMBER(SEARCH("business analy",B188)),"Business Analyst",OR(ISNUMBER(SEARCH("developer",B188)),ISNUMBER(SEARCH("software engineer",B188)),ISNUMBER(SEARCH("programmer",B188))),"Software Developer",ISNUMBER(SEARCH("business development",B188)),"Business Development",ISNUMBER(SEARCH("sales",B188)),"Sales Executive",ISNUMBER(SEARCH("marketing",B188)),"Marketing Executive",OR(ISNUMBER(SEARCH("hr ",B188)),ISNUMBER(SEARCH("recruit",B188)),ISNUMBER(SEARCH("human resource",B188))),"HR / Recruiter",OR(ISNUMBER(SEARCH("account",B188)),ISNUMBER(SEARCH("finance",B188)),ISNUMBER(SEARCH("tax",B188)),ISNUMBER(SEARCH("audit",B188))),"Accountant / Finance",OR(ISNUMBER(SEARCH("customer service",B188)),ISNUMBER(SEARCH("customer support",B188)),ISNUMBER(SEARCH("customer care",B188)),ISNUMBER(SEARCH("voice process",B188)),ISNUMBER(SEARCH("bpo",B188))),"Customer Support",ISNUMBER(SEARCH("engineer",B188)),"Engineer (Technical)",ISNUMBER(SEARCH("manager",B188)),"Manager",OR(ISNUMBER(SEARCH("teacher",B188)),ISNUMBER(SEARCH("trainer",B188)),ISNUMBER(SEARCH("faculty",B188))),"Teacher / Trainer",OR(ISNUMBER(SEARCH("doctor",B188)),ISNUMBER(SEARCH("nurse",B188)),ISNUMBER(SEARCH("medical",B188)),ISNUMBER(SEARCH("pharma",B188)),ISNUMBER(SEARCH("clinical",B188))),"Healthcare",TRUE,"Other")</f>
        <v/>
      </c>
      <c r="B99">
        <f>IF(PROPER(TRIM(Raw_Data!D187))="Bangalore","Bengaluru",IF(PROPER(TRIM(Raw_Data!D187))="Gurgaon","Gurugram",IF(OR(PROPER(TRIM(Raw_Data!D187))="New Delhi",PROPER(TRIM(Raw_Data!D187))="Delhi"),"Delhi",PROPER(TRIM(Raw_Data!D187)))))</f>
        <v/>
      </c>
      <c r="C99">
        <f>IF(TRIM(Raw_Data!F187&amp;"")="","Not Specified",Raw_Data!F187)</f>
        <v/>
      </c>
      <c r="D99">
        <f>Raw_Data!H187</f>
        <v/>
      </c>
      <c r="E99">
        <f>Raw_Data!E187</f>
        <v/>
      </c>
    </row>
    <row r="100">
      <c r="A100">
        <f>_xlfn.IFS(ISNUMBER(SEARCH("data analy",B189)),"Data Analyst",ISNUMBER(SEARCH("business analy",B189)),"Business Analyst",OR(ISNUMBER(SEARCH("developer",B189)),ISNUMBER(SEARCH("software engineer",B189)),ISNUMBER(SEARCH("programmer",B189))),"Software Developer",ISNUMBER(SEARCH("business development",B189)),"Business Development",ISNUMBER(SEARCH("sales",B189)),"Sales Executive",ISNUMBER(SEARCH("marketing",B189)),"Marketing Executive",OR(ISNUMBER(SEARCH("hr ",B189)),ISNUMBER(SEARCH("recruit",B189)),ISNUMBER(SEARCH("human resource",B189))),"HR / Recruiter",OR(ISNUMBER(SEARCH("account",B189)),ISNUMBER(SEARCH("finance",B189)),ISNUMBER(SEARCH("tax",B189)),ISNUMBER(SEARCH("audit",B189))),"Accountant / Finance",OR(ISNUMBER(SEARCH("customer service",B189)),ISNUMBER(SEARCH("customer support",B189)),ISNUMBER(SEARCH("customer care",B189)),ISNUMBER(SEARCH("voice process",B189)),ISNUMBER(SEARCH("bpo",B189))),"Customer Support",ISNUMBER(SEARCH("engineer",B189)),"Engineer (Technical)",ISNUMBER(SEARCH("manager",B189)),"Manager",OR(ISNUMBER(SEARCH("teacher",B189)),ISNUMBER(SEARCH("trainer",B189)),ISNUMBER(SEARCH("faculty",B189))),"Teacher / Trainer",OR(ISNUMBER(SEARCH("doctor",B189)),ISNUMBER(SEARCH("nurse",B189)),ISNUMBER(SEARCH("medical",B189)),ISNUMBER(SEARCH("pharma",B189)),ISNUMBER(SEARCH("clinical",B189))),"Healthcare",TRUE,"Other")</f>
        <v/>
      </c>
      <c r="B100">
        <f>IF(PROPER(TRIM(Raw_Data!D188))="Bangalore","Bengaluru",IF(PROPER(TRIM(Raw_Data!D188))="Gurgaon","Gurugram",IF(OR(PROPER(TRIM(Raw_Data!D188))="New Delhi",PROPER(TRIM(Raw_Data!D188))="Delhi"),"Delhi",PROPER(TRIM(Raw_Data!D188)))))</f>
        <v/>
      </c>
      <c r="C100">
        <f>IF(TRIM(Raw_Data!F188&amp;"")="","Not Specified",Raw_Data!F188)</f>
        <v/>
      </c>
      <c r="D100">
        <f>Raw_Data!H188</f>
        <v/>
      </c>
      <c r="E100">
        <f>Raw_Data!E188</f>
        <v/>
      </c>
    </row>
    <row r="101">
      <c r="A101">
        <f>_xlfn.IFS(ISNUMBER(SEARCH("data analy",B19)),"Data Analyst",ISNUMBER(SEARCH("business analy",B19)),"Business Analyst",OR(ISNUMBER(SEARCH("developer",B19)),ISNUMBER(SEARCH("software engineer",B19)),ISNUMBER(SEARCH("programmer",B19))),"Software Developer",ISNUMBER(SEARCH("business development",B19)),"Business Development",ISNUMBER(SEARCH("sales",B19)),"Sales Executive",ISNUMBER(SEARCH("marketing",B19)),"Marketing Executive",OR(ISNUMBER(SEARCH("hr ",B19)),ISNUMBER(SEARCH("recruit",B19)),ISNUMBER(SEARCH("human resource",B19))),"HR / Recruiter",OR(ISNUMBER(SEARCH("account",B19)),ISNUMBER(SEARCH("finance",B19)),ISNUMBER(SEARCH("tax",B19)),ISNUMBER(SEARCH("audit",B19))),"Accountant / Finance",OR(ISNUMBER(SEARCH("customer service",B19)),ISNUMBER(SEARCH("customer support",B19)),ISNUMBER(SEARCH("customer care",B19)),ISNUMBER(SEARCH("voice process",B19)),ISNUMBER(SEARCH("bpo",B19))),"Customer Support",ISNUMBER(SEARCH("engineer",B19)),"Engineer (Technical)",ISNUMBER(SEARCH("manager",B19)),"Manager",OR(ISNUMBER(SEARCH("teacher",B19)),ISNUMBER(SEARCH("trainer",B19)),ISNUMBER(SEARCH("faculty",B19))),"Teacher / Trainer",OR(ISNUMBER(SEARCH("doctor",B19)),ISNUMBER(SEARCH("nurse",B19)),ISNUMBER(SEARCH("medical",B19)),ISNUMBER(SEARCH("pharma",B19)),ISNUMBER(SEARCH("clinical",B19))),"Healthcare",TRUE,"Other")</f>
        <v/>
      </c>
      <c r="B101">
        <f>IF(PROPER(TRIM(Raw_Data!D189))="Bangalore","Bengaluru",IF(PROPER(TRIM(Raw_Data!D189))="Gurgaon","Gurugram",IF(OR(PROPER(TRIM(Raw_Data!D189))="New Delhi",PROPER(TRIM(Raw_Data!D189))="Delhi"),"Delhi",PROPER(TRIM(Raw_Data!D189)))))</f>
        <v/>
      </c>
      <c r="C101">
        <f>IF(TRIM(Raw_Data!F189&amp;"")="","Not Specified",Raw_Data!F189)</f>
        <v/>
      </c>
      <c r="D101">
        <f>Raw_Data!H189</f>
        <v/>
      </c>
      <c r="E101">
        <f>Raw_Data!E189</f>
        <v/>
      </c>
    </row>
    <row r="102">
      <c r="A102">
        <f>_xlfn.IFS(ISNUMBER(SEARCH("data analy",B190)),"Data Analyst",ISNUMBER(SEARCH("business analy",B190)),"Business Analyst",OR(ISNUMBER(SEARCH("developer",B190)),ISNUMBER(SEARCH("software engineer",B190)),ISNUMBER(SEARCH("programmer",B190))),"Software Developer",ISNUMBER(SEARCH("business development",B190)),"Business Development",ISNUMBER(SEARCH("sales",B190)),"Sales Executive",ISNUMBER(SEARCH("marketing",B190)),"Marketing Executive",OR(ISNUMBER(SEARCH("hr ",B190)),ISNUMBER(SEARCH("recruit",B190)),ISNUMBER(SEARCH("human resource",B190))),"HR / Recruiter",OR(ISNUMBER(SEARCH("account",B190)),ISNUMBER(SEARCH("finance",B190)),ISNUMBER(SEARCH("tax",B190)),ISNUMBER(SEARCH("audit",B190))),"Accountant / Finance",OR(ISNUMBER(SEARCH("customer service",B190)),ISNUMBER(SEARCH("customer support",B190)),ISNUMBER(SEARCH("customer care",B190)),ISNUMBER(SEARCH("voice process",B190)),ISNUMBER(SEARCH("bpo",B190))),"Customer Support",ISNUMBER(SEARCH("engineer",B190)),"Engineer (Technical)",ISNUMBER(SEARCH("manager",B190)),"Manager",OR(ISNUMBER(SEARCH("teacher",B190)),ISNUMBER(SEARCH("trainer",B190)),ISNUMBER(SEARCH("faculty",B190))),"Teacher / Trainer",OR(ISNUMBER(SEARCH("doctor",B190)),ISNUMBER(SEARCH("nurse",B190)),ISNUMBER(SEARCH("medical",B190)),ISNUMBER(SEARCH("pharma",B190)),ISNUMBER(SEARCH("clinical",B190))),"Healthcare",TRUE,"Other")</f>
        <v/>
      </c>
      <c r="B102">
        <f>IF(PROPER(TRIM(Raw_Data!D19))="Bangalore","Bengaluru",IF(PROPER(TRIM(Raw_Data!D19))="Gurgaon","Gurugram",IF(OR(PROPER(TRIM(Raw_Data!D19))="New Delhi",PROPER(TRIM(Raw_Data!D19))="Delhi"),"Delhi",PROPER(TRIM(Raw_Data!D19)))))</f>
        <v/>
      </c>
      <c r="C102">
        <f>IF(TRIM(Raw_Data!F19&amp;"")="","Not Specified",Raw_Data!F19)</f>
        <v/>
      </c>
      <c r="D102">
        <f>Raw_Data!H19</f>
        <v/>
      </c>
      <c r="E102">
        <f>Raw_Data!E19</f>
        <v/>
      </c>
    </row>
    <row r="103">
      <c r="A103">
        <f>_xlfn.IFS(ISNUMBER(SEARCH("data analy",B191)),"Data Analyst",ISNUMBER(SEARCH("business analy",B191)),"Business Analyst",OR(ISNUMBER(SEARCH("developer",B191)),ISNUMBER(SEARCH("software engineer",B191)),ISNUMBER(SEARCH("programmer",B191))),"Software Developer",ISNUMBER(SEARCH("business development",B191)),"Business Development",ISNUMBER(SEARCH("sales",B191)),"Sales Executive",ISNUMBER(SEARCH("marketing",B191)),"Marketing Executive",OR(ISNUMBER(SEARCH("hr ",B191)),ISNUMBER(SEARCH("recruit",B191)),ISNUMBER(SEARCH("human resource",B191))),"HR / Recruiter",OR(ISNUMBER(SEARCH("account",B191)),ISNUMBER(SEARCH("finance",B191)),ISNUMBER(SEARCH("tax",B191)),ISNUMBER(SEARCH("audit",B191))),"Accountant / Finance",OR(ISNUMBER(SEARCH("customer service",B191)),ISNUMBER(SEARCH("customer support",B191)),ISNUMBER(SEARCH("customer care",B191)),ISNUMBER(SEARCH("voice process",B191)),ISNUMBER(SEARCH("bpo",B191))),"Customer Support",ISNUMBER(SEARCH("engineer",B191)),"Engineer (Technical)",ISNUMBER(SEARCH("manager",B191)),"Manager",OR(ISNUMBER(SEARCH("teacher",B191)),ISNUMBER(SEARCH("trainer",B191)),ISNUMBER(SEARCH("faculty",B191))),"Teacher / Trainer",OR(ISNUMBER(SEARCH("doctor",B191)),ISNUMBER(SEARCH("nurse",B191)),ISNUMBER(SEARCH("medical",B191)),ISNUMBER(SEARCH("pharma",B191)),ISNUMBER(SEARCH("clinical",B191))),"Healthcare",TRUE,"Other")</f>
        <v/>
      </c>
      <c r="B103">
        <f>IF(PROPER(TRIM(Raw_Data!D190))="Bangalore","Bengaluru",IF(PROPER(TRIM(Raw_Data!D190))="Gurgaon","Gurugram",IF(OR(PROPER(TRIM(Raw_Data!D190))="New Delhi",PROPER(TRIM(Raw_Data!D190))="Delhi"),"Delhi",PROPER(TRIM(Raw_Data!D190)))))</f>
        <v/>
      </c>
      <c r="C103">
        <f>IF(TRIM(Raw_Data!F190&amp;"")="","Not Specified",Raw_Data!F190)</f>
        <v/>
      </c>
      <c r="D103">
        <f>Raw_Data!H190</f>
        <v/>
      </c>
      <c r="E103">
        <f>Raw_Data!E190</f>
        <v/>
      </c>
    </row>
    <row r="104">
      <c r="A104">
        <f>_xlfn.IFS(ISNUMBER(SEARCH("data analy",B192)),"Data Analyst",ISNUMBER(SEARCH("business analy",B192)),"Business Analyst",OR(ISNUMBER(SEARCH("developer",B192)),ISNUMBER(SEARCH("software engineer",B192)),ISNUMBER(SEARCH("programmer",B192))),"Software Developer",ISNUMBER(SEARCH("business development",B192)),"Business Development",ISNUMBER(SEARCH("sales",B192)),"Sales Executive",ISNUMBER(SEARCH("marketing",B192)),"Marketing Executive",OR(ISNUMBER(SEARCH("hr ",B192)),ISNUMBER(SEARCH("recruit",B192)),ISNUMBER(SEARCH("human resource",B192))),"HR / Recruiter",OR(ISNUMBER(SEARCH("account",B192)),ISNUMBER(SEARCH("finance",B192)),ISNUMBER(SEARCH("tax",B192)),ISNUMBER(SEARCH("audit",B192))),"Accountant / Finance",OR(ISNUMBER(SEARCH("customer service",B192)),ISNUMBER(SEARCH("customer support",B192)),ISNUMBER(SEARCH("customer care",B192)),ISNUMBER(SEARCH("voice process",B192)),ISNUMBER(SEARCH("bpo",B192))),"Customer Support",ISNUMBER(SEARCH("engineer",B192)),"Engineer (Technical)",ISNUMBER(SEARCH("manager",B192)),"Manager",OR(ISNUMBER(SEARCH("teacher",B192)),ISNUMBER(SEARCH("trainer",B192)),ISNUMBER(SEARCH("faculty",B192))),"Teacher / Trainer",OR(ISNUMBER(SEARCH("doctor",B192)),ISNUMBER(SEARCH("nurse",B192)),ISNUMBER(SEARCH("medical",B192)),ISNUMBER(SEARCH("pharma",B192)),ISNUMBER(SEARCH("clinical",B192))),"Healthcare",TRUE,"Other")</f>
        <v/>
      </c>
      <c r="B104">
        <f>IF(PROPER(TRIM(Raw_Data!D191))="Bangalore","Bengaluru",IF(PROPER(TRIM(Raw_Data!D191))="Gurgaon","Gurugram",IF(OR(PROPER(TRIM(Raw_Data!D191))="New Delhi",PROPER(TRIM(Raw_Data!D191))="Delhi"),"Delhi",PROPER(TRIM(Raw_Data!D191)))))</f>
        <v/>
      </c>
      <c r="C104">
        <f>IF(TRIM(Raw_Data!F191&amp;"")="","Not Specified",Raw_Data!F191)</f>
        <v/>
      </c>
      <c r="D104">
        <f>Raw_Data!H191</f>
        <v/>
      </c>
      <c r="E104">
        <f>Raw_Data!E191</f>
        <v/>
      </c>
    </row>
    <row r="105">
      <c r="A105">
        <f>_xlfn.IFS(ISNUMBER(SEARCH("data analy",B193)),"Data Analyst",ISNUMBER(SEARCH("business analy",B193)),"Business Analyst",OR(ISNUMBER(SEARCH("developer",B193)),ISNUMBER(SEARCH("software engineer",B193)),ISNUMBER(SEARCH("programmer",B193))),"Software Developer",ISNUMBER(SEARCH("business development",B193)),"Business Development",ISNUMBER(SEARCH("sales",B193)),"Sales Executive",ISNUMBER(SEARCH("marketing",B193)),"Marketing Executive",OR(ISNUMBER(SEARCH("hr ",B193)),ISNUMBER(SEARCH("recruit",B193)),ISNUMBER(SEARCH("human resource",B193))),"HR / Recruiter",OR(ISNUMBER(SEARCH("account",B193)),ISNUMBER(SEARCH("finance",B193)),ISNUMBER(SEARCH("tax",B193)),ISNUMBER(SEARCH("audit",B193))),"Accountant / Finance",OR(ISNUMBER(SEARCH("customer service",B193)),ISNUMBER(SEARCH("customer support",B193)),ISNUMBER(SEARCH("customer care",B193)),ISNUMBER(SEARCH("voice process",B193)),ISNUMBER(SEARCH("bpo",B193))),"Customer Support",ISNUMBER(SEARCH("engineer",B193)),"Engineer (Technical)",ISNUMBER(SEARCH("manager",B193)),"Manager",OR(ISNUMBER(SEARCH("teacher",B193)),ISNUMBER(SEARCH("trainer",B193)),ISNUMBER(SEARCH("faculty",B193))),"Teacher / Trainer",OR(ISNUMBER(SEARCH("doctor",B193)),ISNUMBER(SEARCH("nurse",B193)),ISNUMBER(SEARCH("medical",B193)),ISNUMBER(SEARCH("pharma",B193)),ISNUMBER(SEARCH("clinical",B193))),"Healthcare",TRUE,"Other")</f>
        <v/>
      </c>
      <c r="B105">
        <f>IF(PROPER(TRIM(Raw_Data!D192))="Bangalore","Bengaluru",IF(PROPER(TRIM(Raw_Data!D192))="Gurgaon","Gurugram",IF(OR(PROPER(TRIM(Raw_Data!D192))="New Delhi",PROPER(TRIM(Raw_Data!D192))="Delhi"),"Delhi",PROPER(TRIM(Raw_Data!D192)))))</f>
        <v/>
      </c>
      <c r="C105">
        <f>IF(TRIM(Raw_Data!F192&amp;"")="","Not Specified",Raw_Data!F192)</f>
        <v/>
      </c>
      <c r="D105">
        <f>Raw_Data!H192</f>
        <v/>
      </c>
      <c r="E105">
        <f>Raw_Data!E192</f>
        <v/>
      </c>
    </row>
    <row r="106">
      <c r="A106">
        <f>_xlfn.IFS(ISNUMBER(SEARCH("data analy",B194)),"Data Analyst",ISNUMBER(SEARCH("business analy",B194)),"Business Analyst",OR(ISNUMBER(SEARCH("developer",B194)),ISNUMBER(SEARCH("software engineer",B194)),ISNUMBER(SEARCH("programmer",B194))),"Software Developer",ISNUMBER(SEARCH("business development",B194)),"Business Development",ISNUMBER(SEARCH("sales",B194)),"Sales Executive",ISNUMBER(SEARCH("marketing",B194)),"Marketing Executive",OR(ISNUMBER(SEARCH("hr ",B194)),ISNUMBER(SEARCH("recruit",B194)),ISNUMBER(SEARCH("human resource",B194))),"HR / Recruiter",OR(ISNUMBER(SEARCH("account",B194)),ISNUMBER(SEARCH("finance",B194)),ISNUMBER(SEARCH("tax",B194)),ISNUMBER(SEARCH("audit",B194))),"Accountant / Finance",OR(ISNUMBER(SEARCH("customer service",B194)),ISNUMBER(SEARCH("customer support",B194)),ISNUMBER(SEARCH("customer care",B194)),ISNUMBER(SEARCH("voice process",B194)),ISNUMBER(SEARCH("bpo",B194))),"Customer Support",ISNUMBER(SEARCH("engineer",B194)),"Engineer (Technical)",ISNUMBER(SEARCH("manager",B194)),"Manager",OR(ISNUMBER(SEARCH("teacher",B194)),ISNUMBER(SEARCH("trainer",B194)),ISNUMBER(SEARCH("faculty",B194))),"Teacher / Trainer",OR(ISNUMBER(SEARCH("doctor",B194)),ISNUMBER(SEARCH("nurse",B194)),ISNUMBER(SEARCH("medical",B194)),ISNUMBER(SEARCH("pharma",B194)),ISNUMBER(SEARCH("clinical",B194))),"Healthcare",TRUE,"Other")</f>
        <v/>
      </c>
      <c r="B106">
        <f>IF(PROPER(TRIM(Raw_Data!D193))="Bangalore","Bengaluru",IF(PROPER(TRIM(Raw_Data!D193))="Gurgaon","Gurugram",IF(OR(PROPER(TRIM(Raw_Data!D193))="New Delhi",PROPER(TRIM(Raw_Data!D193))="Delhi"),"Delhi",PROPER(TRIM(Raw_Data!D193)))))</f>
        <v/>
      </c>
      <c r="C106">
        <f>IF(TRIM(Raw_Data!F193&amp;"")="","Not Specified",Raw_Data!F193)</f>
        <v/>
      </c>
      <c r="D106">
        <f>Raw_Data!H193</f>
        <v/>
      </c>
      <c r="E106">
        <f>Raw_Data!E193</f>
        <v/>
      </c>
    </row>
    <row r="107">
      <c r="A107">
        <f>_xlfn.IFS(ISNUMBER(SEARCH("data analy",B195)),"Data Analyst",ISNUMBER(SEARCH("business analy",B195)),"Business Analyst",OR(ISNUMBER(SEARCH("developer",B195)),ISNUMBER(SEARCH("software engineer",B195)),ISNUMBER(SEARCH("programmer",B195))),"Software Developer",ISNUMBER(SEARCH("business development",B195)),"Business Development",ISNUMBER(SEARCH("sales",B195)),"Sales Executive",ISNUMBER(SEARCH("marketing",B195)),"Marketing Executive",OR(ISNUMBER(SEARCH("hr ",B195)),ISNUMBER(SEARCH("recruit",B195)),ISNUMBER(SEARCH("human resource",B195))),"HR / Recruiter",OR(ISNUMBER(SEARCH("account",B195)),ISNUMBER(SEARCH("finance",B195)),ISNUMBER(SEARCH("tax",B195)),ISNUMBER(SEARCH("audit",B195))),"Accountant / Finance",OR(ISNUMBER(SEARCH("customer service",B195)),ISNUMBER(SEARCH("customer support",B195)),ISNUMBER(SEARCH("customer care",B195)),ISNUMBER(SEARCH("voice process",B195)),ISNUMBER(SEARCH("bpo",B195))),"Customer Support",ISNUMBER(SEARCH("engineer",B195)),"Engineer (Technical)",ISNUMBER(SEARCH("manager",B195)),"Manager",OR(ISNUMBER(SEARCH("teacher",B195)),ISNUMBER(SEARCH("trainer",B195)),ISNUMBER(SEARCH("faculty",B195))),"Teacher / Trainer",OR(ISNUMBER(SEARCH("doctor",B195)),ISNUMBER(SEARCH("nurse",B195)),ISNUMBER(SEARCH("medical",B195)),ISNUMBER(SEARCH("pharma",B195)),ISNUMBER(SEARCH("clinical",B195))),"Healthcare",TRUE,"Other")</f>
        <v/>
      </c>
      <c r="B107">
        <f>IF(PROPER(TRIM(Raw_Data!D194))="Bangalore","Bengaluru",IF(PROPER(TRIM(Raw_Data!D194))="Gurgaon","Gurugram",IF(OR(PROPER(TRIM(Raw_Data!D194))="New Delhi",PROPER(TRIM(Raw_Data!D194))="Delhi"),"Delhi",PROPER(TRIM(Raw_Data!D194)))))</f>
        <v/>
      </c>
      <c r="C107">
        <f>IF(TRIM(Raw_Data!F194&amp;"")="","Not Specified",Raw_Data!F194)</f>
        <v/>
      </c>
      <c r="D107">
        <f>Raw_Data!H194</f>
        <v/>
      </c>
      <c r="E107">
        <f>Raw_Data!E194</f>
        <v/>
      </c>
    </row>
    <row r="108">
      <c r="A108">
        <f>_xlfn.IFS(ISNUMBER(SEARCH("data analy",B196)),"Data Analyst",ISNUMBER(SEARCH("business analy",B196)),"Business Analyst",OR(ISNUMBER(SEARCH("developer",B196)),ISNUMBER(SEARCH("software engineer",B196)),ISNUMBER(SEARCH("programmer",B196))),"Software Developer",ISNUMBER(SEARCH("business development",B196)),"Business Development",ISNUMBER(SEARCH("sales",B196)),"Sales Executive",ISNUMBER(SEARCH("marketing",B196)),"Marketing Executive",OR(ISNUMBER(SEARCH("hr ",B196)),ISNUMBER(SEARCH("recruit",B196)),ISNUMBER(SEARCH("human resource",B196))),"HR / Recruiter",OR(ISNUMBER(SEARCH("account",B196)),ISNUMBER(SEARCH("finance",B196)),ISNUMBER(SEARCH("tax",B196)),ISNUMBER(SEARCH("audit",B196))),"Accountant / Finance",OR(ISNUMBER(SEARCH("customer service",B196)),ISNUMBER(SEARCH("customer support",B196)),ISNUMBER(SEARCH("customer care",B196)),ISNUMBER(SEARCH("voice process",B196)),ISNUMBER(SEARCH("bpo",B196))),"Customer Support",ISNUMBER(SEARCH("engineer",B196)),"Engineer (Technical)",ISNUMBER(SEARCH("manager",B196)),"Manager",OR(ISNUMBER(SEARCH("teacher",B196)),ISNUMBER(SEARCH("trainer",B196)),ISNUMBER(SEARCH("faculty",B196))),"Teacher / Trainer",OR(ISNUMBER(SEARCH("doctor",B196)),ISNUMBER(SEARCH("nurse",B196)),ISNUMBER(SEARCH("medical",B196)),ISNUMBER(SEARCH("pharma",B196)),ISNUMBER(SEARCH("clinical",B196))),"Healthcare",TRUE,"Other")</f>
        <v/>
      </c>
      <c r="B108">
        <f>IF(PROPER(TRIM(Raw_Data!D195))="Bangalore","Bengaluru",IF(PROPER(TRIM(Raw_Data!D195))="Gurgaon","Gurugram",IF(OR(PROPER(TRIM(Raw_Data!D195))="New Delhi",PROPER(TRIM(Raw_Data!D195))="Delhi"),"Delhi",PROPER(TRIM(Raw_Data!D195)))))</f>
        <v/>
      </c>
      <c r="C108">
        <f>IF(TRIM(Raw_Data!F195&amp;"")="","Not Specified",Raw_Data!F195)</f>
        <v/>
      </c>
      <c r="D108">
        <f>Raw_Data!H195</f>
        <v/>
      </c>
      <c r="E108">
        <f>Raw_Data!E195</f>
        <v/>
      </c>
    </row>
    <row r="109">
      <c r="A109">
        <f>_xlfn.IFS(ISNUMBER(SEARCH("data analy",B197)),"Data Analyst",ISNUMBER(SEARCH("business analy",B197)),"Business Analyst",OR(ISNUMBER(SEARCH("developer",B197)),ISNUMBER(SEARCH("software engineer",B197)),ISNUMBER(SEARCH("programmer",B197))),"Software Developer",ISNUMBER(SEARCH("business development",B197)),"Business Development",ISNUMBER(SEARCH("sales",B197)),"Sales Executive",ISNUMBER(SEARCH("marketing",B197)),"Marketing Executive",OR(ISNUMBER(SEARCH("hr ",B197)),ISNUMBER(SEARCH("recruit",B197)),ISNUMBER(SEARCH("human resource",B197))),"HR / Recruiter",OR(ISNUMBER(SEARCH("account",B197)),ISNUMBER(SEARCH("finance",B197)),ISNUMBER(SEARCH("tax",B197)),ISNUMBER(SEARCH("audit",B197))),"Accountant / Finance",OR(ISNUMBER(SEARCH("customer service",B197)),ISNUMBER(SEARCH("customer support",B197)),ISNUMBER(SEARCH("customer care",B197)),ISNUMBER(SEARCH("voice process",B197)),ISNUMBER(SEARCH("bpo",B197))),"Customer Support",ISNUMBER(SEARCH("engineer",B197)),"Engineer (Technical)",ISNUMBER(SEARCH("manager",B197)),"Manager",OR(ISNUMBER(SEARCH("teacher",B197)),ISNUMBER(SEARCH("trainer",B197)),ISNUMBER(SEARCH("faculty",B197))),"Teacher / Trainer",OR(ISNUMBER(SEARCH("doctor",B197)),ISNUMBER(SEARCH("nurse",B197)),ISNUMBER(SEARCH("medical",B197)),ISNUMBER(SEARCH("pharma",B197)),ISNUMBER(SEARCH("clinical",B197))),"Healthcare",TRUE,"Other")</f>
        <v/>
      </c>
      <c r="B109">
        <f>IF(PROPER(TRIM(Raw_Data!D196))="Bangalore","Bengaluru",IF(PROPER(TRIM(Raw_Data!D196))="Gurgaon","Gurugram",IF(OR(PROPER(TRIM(Raw_Data!D196))="New Delhi",PROPER(TRIM(Raw_Data!D196))="Delhi"),"Delhi",PROPER(TRIM(Raw_Data!D196)))))</f>
        <v/>
      </c>
      <c r="C109">
        <f>IF(TRIM(Raw_Data!F196&amp;"")="","Not Specified",Raw_Data!F196)</f>
        <v/>
      </c>
      <c r="D109">
        <f>Raw_Data!H196</f>
        <v/>
      </c>
      <c r="E109">
        <f>Raw_Data!E196</f>
        <v/>
      </c>
    </row>
    <row r="110">
      <c r="A110">
        <f>_xlfn.IFS(ISNUMBER(SEARCH("data analy",B198)),"Data Analyst",ISNUMBER(SEARCH("business analy",B198)),"Business Analyst",OR(ISNUMBER(SEARCH("developer",B198)),ISNUMBER(SEARCH("software engineer",B198)),ISNUMBER(SEARCH("programmer",B198))),"Software Developer",ISNUMBER(SEARCH("business development",B198)),"Business Development",ISNUMBER(SEARCH("sales",B198)),"Sales Executive",ISNUMBER(SEARCH("marketing",B198)),"Marketing Executive",OR(ISNUMBER(SEARCH("hr ",B198)),ISNUMBER(SEARCH("recruit",B198)),ISNUMBER(SEARCH("human resource",B198))),"HR / Recruiter",OR(ISNUMBER(SEARCH("account",B198)),ISNUMBER(SEARCH("finance",B198)),ISNUMBER(SEARCH("tax",B198)),ISNUMBER(SEARCH("audit",B198))),"Accountant / Finance",OR(ISNUMBER(SEARCH("customer service",B198)),ISNUMBER(SEARCH("customer support",B198)),ISNUMBER(SEARCH("customer care",B198)),ISNUMBER(SEARCH("voice process",B198)),ISNUMBER(SEARCH("bpo",B198))),"Customer Support",ISNUMBER(SEARCH("engineer",B198)),"Engineer (Technical)",ISNUMBER(SEARCH("manager",B198)),"Manager",OR(ISNUMBER(SEARCH("teacher",B198)),ISNUMBER(SEARCH("trainer",B198)),ISNUMBER(SEARCH("faculty",B198))),"Teacher / Trainer",OR(ISNUMBER(SEARCH("doctor",B198)),ISNUMBER(SEARCH("nurse",B198)),ISNUMBER(SEARCH("medical",B198)),ISNUMBER(SEARCH("pharma",B198)),ISNUMBER(SEARCH("clinical",B198))),"Healthcare",TRUE,"Other")</f>
        <v/>
      </c>
      <c r="B110">
        <f>IF(PROPER(TRIM(Raw_Data!D197))="Bangalore","Bengaluru",IF(PROPER(TRIM(Raw_Data!D197))="Gurgaon","Gurugram",IF(OR(PROPER(TRIM(Raw_Data!D197))="New Delhi",PROPER(TRIM(Raw_Data!D197))="Delhi"),"Delhi",PROPER(TRIM(Raw_Data!D197)))))</f>
        <v/>
      </c>
      <c r="C110">
        <f>IF(TRIM(Raw_Data!F197&amp;"")="","Not Specified",Raw_Data!F197)</f>
        <v/>
      </c>
      <c r="D110">
        <f>Raw_Data!H197</f>
        <v/>
      </c>
      <c r="E110">
        <f>Raw_Data!E197</f>
        <v/>
      </c>
    </row>
    <row r="111">
      <c r="A111">
        <f>_xlfn.IFS(ISNUMBER(SEARCH("data analy",B199)),"Data Analyst",ISNUMBER(SEARCH("business analy",B199)),"Business Analyst",OR(ISNUMBER(SEARCH("developer",B199)),ISNUMBER(SEARCH("software engineer",B199)),ISNUMBER(SEARCH("programmer",B199))),"Software Developer",ISNUMBER(SEARCH("business development",B199)),"Business Development",ISNUMBER(SEARCH("sales",B199)),"Sales Executive",ISNUMBER(SEARCH("marketing",B199)),"Marketing Executive",OR(ISNUMBER(SEARCH("hr ",B199)),ISNUMBER(SEARCH("recruit",B199)),ISNUMBER(SEARCH("human resource",B199))),"HR / Recruiter",OR(ISNUMBER(SEARCH("account",B199)),ISNUMBER(SEARCH("finance",B199)),ISNUMBER(SEARCH("tax",B199)),ISNUMBER(SEARCH("audit",B199))),"Accountant / Finance",OR(ISNUMBER(SEARCH("customer service",B199)),ISNUMBER(SEARCH("customer support",B199)),ISNUMBER(SEARCH("customer care",B199)),ISNUMBER(SEARCH("voice process",B199)),ISNUMBER(SEARCH("bpo",B199))),"Customer Support",ISNUMBER(SEARCH("engineer",B199)),"Engineer (Technical)",ISNUMBER(SEARCH("manager",B199)),"Manager",OR(ISNUMBER(SEARCH("teacher",B199)),ISNUMBER(SEARCH("trainer",B199)),ISNUMBER(SEARCH("faculty",B199))),"Teacher / Trainer",OR(ISNUMBER(SEARCH("doctor",B199)),ISNUMBER(SEARCH("nurse",B199)),ISNUMBER(SEARCH("medical",B199)),ISNUMBER(SEARCH("pharma",B199)),ISNUMBER(SEARCH("clinical",B199))),"Healthcare",TRUE,"Other")</f>
        <v/>
      </c>
      <c r="B111">
        <f>IF(PROPER(TRIM(Raw_Data!D198))="Bangalore","Bengaluru",IF(PROPER(TRIM(Raw_Data!D198))="Gurgaon","Gurugram",IF(OR(PROPER(TRIM(Raw_Data!D198))="New Delhi",PROPER(TRIM(Raw_Data!D198))="Delhi"),"Delhi",PROPER(TRIM(Raw_Data!D198)))))</f>
        <v/>
      </c>
      <c r="C111">
        <f>IF(TRIM(Raw_Data!F198&amp;"")="","Not Specified",Raw_Data!F198)</f>
        <v/>
      </c>
      <c r="D111">
        <f>Raw_Data!H198</f>
        <v/>
      </c>
      <c r="E111">
        <f>Raw_Data!E198</f>
        <v/>
      </c>
    </row>
    <row r="112">
      <c r="A112">
        <f>_xlfn.IFS(ISNUMBER(SEARCH("data analy",B20)),"Data Analyst",ISNUMBER(SEARCH("business analy",B20)),"Business Analyst",OR(ISNUMBER(SEARCH("developer",B20)),ISNUMBER(SEARCH("software engineer",B20)),ISNUMBER(SEARCH("programmer",B20))),"Software Developer",ISNUMBER(SEARCH("business development",B20)),"Business Development",ISNUMBER(SEARCH("sales",B20)),"Sales Executive",ISNUMBER(SEARCH("marketing",B20)),"Marketing Executive",OR(ISNUMBER(SEARCH("hr ",B20)),ISNUMBER(SEARCH("recruit",B20)),ISNUMBER(SEARCH("human resource",B20))),"HR / Recruiter",OR(ISNUMBER(SEARCH("account",B20)),ISNUMBER(SEARCH("finance",B20)),ISNUMBER(SEARCH("tax",B20)),ISNUMBER(SEARCH("audit",B20))),"Accountant / Finance",OR(ISNUMBER(SEARCH("customer service",B20)),ISNUMBER(SEARCH("customer support",B20)),ISNUMBER(SEARCH("customer care",B20)),ISNUMBER(SEARCH("voice process",B20)),ISNUMBER(SEARCH("bpo",B20))),"Customer Support",ISNUMBER(SEARCH("engineer",B20)),"Engineer (Technical)",ISNUMBER(SEARCH("manager",B20)),"Manager",OR(ISNUMBER(SEARCH("teacher",B20)),ISNUMBER(SEARCH("trainer",B20)),ISNUMBER(SEARCH("faculty",B20))),"Teacher / Trainer",OR(ISNUMBER(SEARCH("doctor",B20)),ISNUMBER(SEARCH("nurse",B20)),ISNUMBER(SEARCH("medical",B20)),ISNUMBER(SEARCH("pharma",B20)),ISNUMBER(SEARCH("clinical",B20))),"Healthcare",TRUE,"Other")</f>
        <v/>
      </c>
      <c r="B112">
        <f>IF(PROPER(TRIM(Raw_Data!D199))="Bangalore","Bengaluru",IF(PROPER(TRIM(Raw_Data!D199))="Gurgaon","Gurugram",IF(OR(PROPER(TRIM(Raw_Data!D199))="New Delhi",PROPER(TRIM(Raw_Data!D199))="Delhi"),"Delhi",PROPER(TRIM(Raw_Data!D199)))))</f>
        <v/>
      </c>
      <c r="C112">
        <f>IF(TRIM(Raw_Data!F199&amp;"")="","Not Specified",Raw_Data!F199)</f>
        <v/>
      </c>
      <c r="D112">
        <f>Raw_Data!H199</f>
        <v/>
      </c>
      <c r="E112">
        <f>Raw_Data!E199</f>
        <v/>
      </c>
    </row>
    <row r="113">
      <c r="A113">
        <f>_xlfn.IFS(ISNUMBER(SEARCH("data analy",B200)),"Data Analyst",ISNUMBER(SEARCH("business analy",B200)),"Business Analyst",OR(ISNUMBER(SEARCH("developer",B200)),ISNUMBER(SEARCH("software engineer",B200)),ISNUMBER(SEARCH("programmer",B200))),"Software Developer",ISNUMBER(SEARCH("business development",B200)),"Business Development",ISNUMBER(SEARCH("sales",B200)),"Sales Executive",ISNUMBER(SEARCH("marketing",B200)),"Marketing Executive",OR(ISNUMBER(SEARCH("hr ",B200)),ISNUMBER(SEARCH("recruit",B200)),ISNUMBER(SEARCH("human resource",B200))),"HR / Recruiter",OR(ISNUMBER(SEARCH("account",B200)),ISNUMBER(SEARCH("finance",B200)),ISNUMBER(SEARCH("tax",B200)),ISNUMBER(SEARCH("audit",B200))),"Accountant / Finance",OR(ISNUMBER(SEARCH("customer service",B200)),ISNUMBER(SEARCH("customer support",B200)),ISNUMBER(SEARCH("customer care",B200)),ISNUMBER(SEARCH("voice process",B200)),ISNUMBER(SEARCH("bpo",B200))),"Customer Support",ISNUMBER(SEARCH("engineer",B200)),"Engineer (Technical)",ISNUMBER(SEARCH("manager",B200)),"Manager",OR(ISNUMBER(SEARCH("teacher",B200)),ISNUMBER(SEARCH("trainer",B200)),ISNUMBER(SEARCH("faculty",B200))),"Teacher / Trainer",OR(ISNUMBER(SEARCH("doctor",B200)),ISNUMBER(SEARCH("nurse",B200)),ISNUMBER(SEARCH("medical",B200)),ISNUMBER(SEARCH("pharma",B200)),ISNUMBER(SEARCH("clinical",B200))),"Healthcare",TRUE,"Other")</f>
        <v/>
      </c>
      <c r="B113">
        <f>IF(PROPER(TRIM(Raw_Data!D2))="Bangalore","Bengaluru",IF(PROPER(TRIM(Raw_Data!D2))="Gurgaon","Gurugram",IF(OR(PROPER(TRIM(Raw_Data!D2))="New Delhi",PROPER(TRIM(Raw_Data!D2))="Delhi"),"Delhi",PROPER(TRIM(Raw_Data!D2)))))</f>
        <v/>
      </c>
      <c r="C113">
        <f>IF(TRIM(Raw_Data!F2&amp;"")="","Not Specified",Raw_Data!F2)</f>
        <v/>
      </c>
      <c r="D113">
        <f>Raw_Data!H2</f>
        <v/>
      </c>
      <c r="E113">
        <f>Raw_Data!E2</f>
        <v/>
      </c>
    </row>
    <row r="114">
      <c r="A114">
        <f>_xlfn.IFS(ISNUMBER(SEARCH("data analy",B201)),"Data Analyst",ISNUMBER(SEARCH("business analy",B201)),"Business Analyst",OR(ISNUMBER(SEARCH("developer",B201)),ISNUMBER(SEARCH("software engineer",B201)),ISNUMBER(SEARCH("programmer",B201))),"Software Developer",ISNUMBER(SEARCH("business development",B201)),"Business Development",ISNUMBER(SEARCH("sales",B201)),"Sales Executive",ISNUMBER(SEARCH("marketing",B201)),"Marketing Executive",OR(ISNUMBER(SEARCH("hr ",B201)),ISNUMBER(SEARCH("recruit",B201)),ISNUMBER(SEARCH("human resource",B201))),"HR / Recruiter",OR(ISNUMBER(SEARCH("account",B201)),ISNUMBER(SEARCH("finance",B201)),ISNUMBER(SEARCH("tax",B201)),ISNUMBER(SEARCH("audit",B201))),"Accountant / Finance",OR(ISNUMBER(SEARCH("customer service",B201)),ISNUMBER(SEARCH("customer support",B201)),ISNUMBER(SEARCH("customer care",B201)),ISNUMBER(SEARCH("voice process",B201)),ISNUMBER(SEARCH("bpo",B201))),"Customer Support",ISNUMBER(SEARCH("engineer",B201)),"Engineer (Technical)",ISNUMBER(SEARCH("manager",B201)),"Manager",OR(ISNUMBER(SEARCH("teacher",B201)),ISNUMBER(SEARCH("trainer",B201)),ISNUMBER(SEARCH("faculty",B201))),"Teacher / Trainer",OR(ISNUMBER(SEARCH("doctor",B201)),ISNUMBER(SEARCH("nurse",B201)),ISNUMBER(SEARCH("medical",B201)),ISNUMBER(SEARCH("pharma",B201)),ISNUMBER(SEARCH("clinical",B201))),"Healthcare",TRUE,"Other")</f>
        <v/>
      </c>
      <c r="B114">
        <f>IF(PROPER(TRIM(Raw_Data!D20))="Bangalore","Bengaluru",IF(PROPER(TRIM(Raw_Data!D20))="Gurgaon","Gurugram",IF(OR(PROPER(TRIM(Raw_Data!D20))="New Delhi",PROPER(TRIM(Raw_Data!D20))="Delhi"),"Delhi",PROPER(TRIM(Raw_Data!D20)))))</f>
        <v/>
      </c>
      <c r="C114">
        <f>IF(TRIM(Raw_Data!F20&amp;"")="","Not Specified",Raw_Data!F20)</f>
        <v/>
      </c>
      <c r="D114">
        <f>Raw_Data!H20</f>
        <v/>
      </c>
      <c r="E114">
        <f>Raw_Data!E20</f>
        <v/>
      </c>
    </row>
    <row r="115">
      <c r="A115">
        <f>_xlfn.IFS(ISNUMBER(SEARCH("data analy",B202)),"Data Analyst",ISNUMBER(SEARCH("business analy",B202)),"Business Analyst",OR(ISNUMBER(SEARCH("developer",B202)),ISNUMBER(SEARCH("software engineer",B202)),ISNUMBER(SEARCH("programmer",B202))),"Software Developer",ISNUMBER(SEARCH("business development",B202)),"Business Development",ISNUMBER(SEARCH("sales",B202)),"Sales Executive",ISNUMBER(SEARCH("marketing",B202)),"Marketing Executive",OR(ISNUMBER(SEARCH("hr ",B202)),ISNUMBER(SEARCH("recruit",B202)),ISNUMBER(SEARCH("human resource",B202))),"HR / Recruiter",OR(ISNUMBER(SEARCH("account",B202)),ISNUMBER(SEARCH("finance",B202)),ISNUMBER(SEARCH("tax",B202)),ISNUMBER(SEARCH("audit",B202))),"Accountant / Finance",OR(ISNUMBER(SEARCH("customer service",B202)),ISNUMBER(SEARCH("customer support",B202)),ISNUMBER(SEARCH("customer care",B202)),ISNUMBER(SEARCH("voice process",B202)),ISNUMBER(SEARCH("bpo",B202))),"Customer Support",ISNUMBER(SEARCH("engineer",B202)),"Engineer (Technical)",ISNUMBER(SEARCH("manager",B202)),"Manager",OR(ISNUMBER(SEARCH("teacher",B202)),ISNUMBER(SEARCH("trainer",B202)),ISNUMBER(SEARCH("faculty",B202))),"Teacher / Trainer",OR(ISNUMBER(SEARCH("doctor",B202)),ISNUMBER(SEARCH("nurse",B202)),ISNUMBER(SEARCH("medical",B202)),ISNUMBER(SEARCH("pharma",B202)),ISNUMBER(SEARCH("clinical",B202))),"Healthcare",TRUE,"Other")</f>
        <v/>
      </c>
      <c r="B115">
        <f>IF(PROPER(TRIM(Raw_Data!D200))="Bangalore","Bengaluru",IF(PROPER(TRIM(Raw_Data!D200))="Gurgaon","Gurugram",IF(OR(PROPER(TRIM(Raw_Data!D200))="New Delhi",PROPER(TRIM(Raw_Data!D200))="Delhi"),"Delhi",PROPER(TRIM(Raw_Data!D200)))))</f>
        <v/>
      </c>
      <c r="C115">
        <f>IF(TRIM(Raw_Data!F200&amp;"")="","Not Specified",Raw_Data!F200)</f>
        <v/>
      </c>
      <c r="D115">
        <f>Raw_Data!H200</f>
        <v/>
      </c>
      <c r="E115">
        <f>Raw_Data!E200</f>
        <v/>
      </c>
    </row>
    <row r="116">
      <c r="A116">
        <f>_xlfn.IFS(ISNUMBER(SEARCH("data analy",B203)),"Data Analyst",ISNUMBER(SEARCH("business analy",B203)),"Business Analyst",OR(ISNUMBER(SEARCH("developer",B203)),ISNUMBER(SEARCH("software engineer",B203)),ISNUMBER(SEARCH("programmer",B203))),"Software Developer",ISNUMBER(SEARCH("business development",B203)),"Business Development",ISNUMBER(SEARCH("sales",B203)),"Sales Executive",ISNUMBER(SEARCH("marketing",B203)),"Marketing Executive",OR(ISNUMBER(SEARCH("hr ",B203)),ISNUMBER(SEARCH("recruit",B203)),ISNUMBER(SEARCH("human resource",B203))),"HR / Recruiter",OR(ISNUMBER(SEARCH("account",B203)),ISNUMBER(SEARCH("finance",B203)),ISNUMBER(SEARCH("tax",B203)),ISNUMBER(SEARCH("audit",B203))),"Accountant / Finance",OR(ISNUMBER(SEARCH("customer service",B203)),ISNUMBER(SEARCH("customer support",B203)),ISNUMBER(SEARCH("customer care",B203)),ISNUMBER(SEARCH("voice process",B203)),ISNUMBER(SEARCH("bpo",B203))),"Customer Support",ISNUMBER(SEARCH("engineer",B203)),"Engineer (Technical)",ISNUMBER(SEARCH("manager",B203)),"Manager",OR(ISNUMBER(SEARCH("teacher",B203)),ISNUMBER(SEARCH("trainer",B203)),ISNUMBER(SEARCH("faculty",B203))),"Teacher / Trainer",OR(ISNUMBER(SEARCH("doctor",B203)),ISNUMBER(SEARCH("nurse",B203)),ISNUMBER(SEARCH("medical",B203)),ISNUMBER(SEARCH("pharma",B203)),ISNUMBER(SEARCH("clinical",B203))),"Healthcare",TRUE,"Other")</f>
        <v/>
      </c>
      <c r="B116">
        <f>IF(PROPER(TRIM(Raw_Data!D201))="Bangalore","Bengaluru",IF(PROPER(TRIM(Raw_Data!D201))="Gurgaon","Gurugram",IF(OR(PROPER(TRIM(Raw_Data!D201))="New Delhi",PROPER(TRIM(Raw_Data!D201))="Delhi"),"Delhi",PROPER(TRIM(Raw_Data!D201)))))</f>
        <v/>
      </c>
      <c r="C116">
        <f>IF(TRIM(Raw_Data!F201&amp;"")="","Not Specified",Raw_Data!F201)</f>
        <v/>
      </c>
      <c r="D116">
        <f>Raw_Data!H201</f>
        <v/>
      </c>
      <c r="E116">
        <f>Raw_Data!E201</f>
        <v/>
      </c>
    </row>
    <row r="117">
      <c r="A117">
        <f>_xlfn.IFS(ISNUMBER(SEARCH("data analy",B204)),"Data Analyst",ISNUMBER(SEARCH("business analy",B204)),"Business Analyst",OR(ISNUMBER(SEARCH("developer",B204)),ISNUMBER(SEARCH("software engineer",B204)),ISNUMBER(SEARCH("programmer",B204))),"Software Developer",ISNUMBER(SEARCH("business development",B204)),"Business Development",ISNUMBER(SEARCH("sales",B204)),"Sales Executive",ISNUMBER(SEARCH("marketing",B204)),"Marketing Executive",OR(ISNUMBER(SEARCH("hr ",B204)),ISNUMBER(SEARCH("recruit",B204)),ISNUMBER(SEARCH("human resource",B204))),"HR / Recruiter",OR(ISNUMBER(SEARCH("account",B204)),ISNUMBER(SEARCH("finance",B204)),ISNUMBER(SEARCH("tax",B204)),ISNUMBER(SEARCH("audit",B204))),"Accountant / Finance",OR(ISNUMBER(SEARCH("customer service",B204)),ISNUMBER(SEARCH("customer support",B204)),ISNUMBER(SEARCH("customer care",B204)),ISNUMBER(SEARCH("voice process",B204)),ISNUMBER(SEARCH("bpo",B204))),"Customer Support",ISNUMBER(SEARCH("engineer",B204)),"Engineer (Technical)",ISNUMBER(SEARCH("manager",B204)),"Manager",OR(ISNUMBER(SEARCH("teacher",B204)),ISNUMBER(SEARCH("trainer",B204)),ISNUMBER(SEARCH("faculty",B204))),"Teacher / Trainer",OR(ISNUMBER(SEARCH("doctor",B204)),ISNUMBER(SEARCH("nurse",B204)),ISNUMBER(SEARCH("medical",B204)),ISNUMBER(SEARCH("pharma",B204)),ISNUMBER(SEARCH("clinical",B204))),"Healthcare",TRUE,"Other")</f>
        <v/>
      </c>
      <c r="B117">
        <f>IF(PROPER(TRIM(Raw_Data!D202))="Bangalore","Bengaluru",IF(PROPER(TRIM(Raw_Data!D202))="Gurgaon","Gurugram",IF(OR(PROPER(TRIM(Raw_Data!D202))="New Delhi",PROPER(TRIM(Raw_Data!D202))="Delhi"),"Delhi",PROPER(TRIM(Raw_Data!D202)))))</f>
        <v/>
      </c>
      <c r="C117">
        <f>IF(TRIM(Raw_Data!F202&amp;"")="","Not Specified",Raw_Data!F202)</f>
        <v/>
      </c>
      <c r="D117">
        <f>Raw_Data!H202</f>
        <v/>
      </c>
      <c r="E117">
        <f>Raw_Data!E202</f>
        <v/>
      </c>
    </row>
    <row r="118">
      <c r="A118">
        <f>_xlfn.IFS(ISNUMBER(SEARCH("data analy",B205)),"Data Analyst",ISNUMBER(SEARCH("business analy",B205)),"Business Analyst",OR(ISNUMBER(SEARCH("developer",B205)),ISNUMBER(SEARCH("software engineer",B205)),ISNUMBER(SEARCH("programmer",B205))),"Software Developer",ISNUMBER(SEARCH("business development",B205)),"Business Development",ISNUMBER(SEARCH("sales",B205)),"Sales Executive",ISNUMBER(SEARCH("marketing",B205)),"Marketing Executive",OR(ISNUMBER(SEARCH("hr ",B205)),ISNUMBER(SEARCH("recruit",B205)),ISNUMBER(SEARCH("human resource",B205))),"HR / Recruiter",OR(ISNUMBER(SEARCH("account",B205)),ISNUMBER(SEARCH("finance",B205)),ISNUMBER(SEARCH("tax",B205)),ISNUMBER(SEARCH("audit",B205))),"Accountant / Finance",OR(ISNUMBER(SEARCH("customer service",B205)),ISNUMBER(SEARCH("customer support",B205)),ISNUMBER(SEARCH("customer care",B205)),ISNUMBER(SEARCH("voice process",B205)),ISNUMBER(SEARCH("bpo",B205))),"Customer Support",ISNUMBER(SEARCH("engineer",B205)),"Engineer (Technical)",ISNUMBER(SEARCH("manager",B205)),"Manager",OR(ISNUMBER(SEARCH("teacher",B205)),ISNUMBER(SEARCH("trainer",B205)),ISNUMBER(SEARCH("faculty",B205))),"Teacher / Trainer",OR(ISNUMBER(SEARCH("doctor",B205)),ISNUMBER(SEARCH("nurse",B205)),ISNUMBER(SEARCH("medical",B205)),ISNUMBER(SEARCH("pharma",B205)),ISNUMBER(SEARCH("clinical",B205))),"Healthcare",TRUE,"Other")</f>
        <v/>
      </c>
      <c r="B118">
        <f>IF(PROPER(TRIM(Raw_Data!D203))="Bangalore","Bengaluru",IF(PROPER(TRIM(Raw_Data!D203))="Gurgaon","Gurugram",IF(OR(PROPER(TRIM(Raw_Data!D203))="New Delhi",PROPER(TRIM(Raw_Data!D203))="Delhi"),"Delhi",PROPER(TRIM(Raw_Data!D203)))))</f>
        <v/>
      </c>
      <c r="C118">
        <f>IF(TRIM(Raw_Data!F203&amp;"")="","Not Specified",Raw_Data!F203)</f>
        <v/>
      </c>
      <c r="D118">
        <f>Raw_Data!H203</f>
        <v/>
      </c>
      <c r="E118">
        <f>Raw_Data!E203</f>
        <v/>
      </c>
    </row>
    <row r="119">
      <c r="A119">
        <f>_xlfn.IFS(ISNUMBER(SEARCH("data analy",B206)),"Data Analyst",ISNUMBER(SEARCH("business analy",B206)),"Business Analyst",OR(ISNUMBER(SEARCH("developer",B206)),ISNUMBER(SEARCH("software engineer",B206)),ISNUMBER(SEARCH("programmer",B206))),"Software Developer",ISNUMBER(SEARCH("business development",B206)),"Business Development",ISNUMBER(SEARCH("sales",B206)),"Sales Executive",ISNUMBER(SEARCH("marketing",B206)),"Marketing Executive",OR(ISNUMBER(SEARCH("hr ",B206)),ISNUMBER(SEARCH("recruit",B206)),ISNUMBER(SEARCH("human resource",B206))),"HR / Recruiter",OR(ISNUMBER(SEARCH("account",B206)),ISNUMBER(SEARCH("finance",B206)),ISNUMBER(SEARCH("tax",B206)),ISNUMBER(SEARCH("audit",B206))),"Accountant / Finance",OR(ISNUMBER(SEARCH("customer service",B206)),ISNUMBER(SEARCH("customer support",B206)),ISNUMBER(SEARCH("customer care",B206)),ISNUMBER(SEARCH("voice process",B206)),ISNUMBER(SEARCH("bpo",B206))),"Customer Support",ISNUMBER(SEARCH("engineer",B206)),"Engineer (Technical)",ISNUMBER(SEARCH("manager",B206)),"Manager",OR(ISNUMBER(SEARCH("teacher",B206)),ISNUMBER(SEARCH("trainer",B206)),ISNUMBER(SEARCH("faculty",B206))),"Teacher / Trainer",OR(ISNUMBER(SEARCH("doctor",B206)),ISNUMBER(SEARCH("nurse",B206)),ISNUMBER(SEARCH("medical",B206)),ISNUMBER(SEARCH("pharma",B206)),ISNUMBER(SEARCH("clinical",B206))),"Healthcare",TRUE,"Other")</f>
        <v/>
      </c>
      <c r="B119">
        <f>IF(PROPER(TRIM(Raw_Data!D204))="Bangalore","Bengaluru",IF(PROPER(TRIM(Raw_Data!D204))="Gurgaon","Gurugram",IF(OR(PROPER(TRIM(Raw_Data!D204))="New Delhi",PROPER(TRIM(Raw_Data!D204))="Delhi"),"Delhi",PROPER(TRIM(Raw_Data!D204)))))</f>
        <v/>
      </c>
      <c r="C119">
        <f>IF(TRIM(Raw_Data!F204&amp;"")="","Not Specified",Raw_Data!F204)</f>
        <v/>
      </c>
      <c r="D119">
        <f>Raw_Data!H204</f>
        <v/>
      </c>
      <c r="E119">
        <f>Raw_Data!E204</f>
        <v/>
      </c>
    </row>
    <row r="120">
      <c r="A120">
        <f>_xlfn.IFS(ISNUMBER(SEARCH("data analy",B207)),"Data Analyst",ISNUMBER(SEARCH("business analy",B207)),"Business Analyst",OR(ISNUMBER(SEARCH("developer",B207)),ISNUMBER(SEARCH("software engineer",B207)),ISNUMBER(SEARCH("programmer",B207))),"Software Developer",ISNUMBER(SEARCH("business development",B207)),"Business Development",ISNUMBER(SEARCH("sales",B207)),"Sales Executive",ISNUMBER(SEARCH("marketing",B207)),"Marketing Executive",OR(ISNUMBER(SEARCH("hr ",B207)),ISNUMBER(SEARCH("recruit",B207)),ISNUMBER(SEARCH("human resource",B207))),"HR / Recruiter",OR(ISNUMBER(SEARCH("account",B207)),ISNUMBER(SEARCH("finance",B207)),ISNUMBER(SEARCH("tax",B207)),ISNUMBER(SEARCH("audit",B207))),"Accountant / Finance",OR(ISNUMBER(SEARCH("customer service",B207)),ISNUMBER(SEARCH("customer support",B207)),ISNUMBER(SEARCH("customer care",B207)),ISNUMBER(SEARCH("voice process",B207)),ISNUMBER(SEARCH("bpo",B207))),"Customer Support",ISNUMBER(SEARCH("engineer",B207)),"Engineer (Technical)",ISNUMBER(SEARCH("manager",B207)),"Manager",OR(ISNUMBER(SEARCH("teacher",B207)),ISNUMBER(SEARCH("trainer",B207)),ISNUMBER(SEARCH("faculty",B207))),"Teacher / Trainer",OR(ISNUMBER(SEARCH("doctor",B207)),ISNUMBER(SEARCH("nurse",B207)),ISNUMBER(SEARCH("medical",B207)),ISNUMBER(SEARCH("pharma",B207)),ISNUMBER(SEARCH("clinical",B207))),"Healthcare",TRUE,"Other")</f>
        <v/>
      </c>
      <c r="B120">
        <f>IF(PROPER(TRIM(Raw_Data!D205))="Bangalore","Bengaluru",IF(PROPER(TRIM(Raw_Data!D205))="Gurgaon","Gurugram",IF(OR(PROPER(TRIM(Raw_Data!D205))="New Delhi",PROPER(TRIM(Raw_Data!D205))="Delhi"),"Delhi",PROPER(TRIM(Raw_Data!D205)))))</f>
        <v/>
      </c>
      <c r="C120">
        <f>IF(TRIM(Raw_Data!F205&amp;"")="","Not Specified",Raw_Data!F205)</f>
        <v/>
      </c>
      <c r="D120">
        <f>Raw_Data!H205</f>
        <v/>
      </c>
      <c r="E120">
        <f>Raw_Data!E205</f>
        <v/>
      </c>
    </row>
    <row r="121">
      <c r="A121">
        <f>_xlfn.IFS(ISNUMBER(SEARCH("data analy",B208)),"Data Analyst",ISNUMBER(SEARCH("business analy",B208)),"Business Analyst",OR(ISNUMBER(SEARCH("developer",B208)),ISNUMBER(SEARCH("software engineer",B208)),ISNUMBER(SEARCH("programmer",B208))),"Software Developer",ISNUMBER(SEARCH("business development",B208)),"Business Development",ISNUMBER(SEARCH("sales",B208)),"Sales Executive",ISNUMBER(SEARCH("marketing",B208)),"Marketing Executive",OR(ISNUMBER(SEARCH("hr ",B208)),ISNUMBER(SEARCH("recruit",B208)),ISNUMBER(SEARCH("human resource",B208))),"HR / Recruiter",OR(ISNUMBER(SEARCH("account",B208)),ISNUMBER(SEARCH("finance",B208)),ISNUMBER(SEARCH("tax",B208)),ISNUMBER(SEARCH("audit",B208))),"Accountant / Finance",OR(ISNUMBER(SEARCH("customer service",B208)),ISNUMBER(SEARCH("customer support",B208)),ISNUMBER(SEARCH("customer care",B208)),ISNUMBER(SEARCH("voice process",B208)),ISNUMBER(SEARCH("bpo",B208))),"Customer Support",ISNUMBER(SEARCH("engineer",B208)),"Engineer (Technical)",ISNUMBER(SEARCH("manager",B208)),"Manager",OR(ISNUMBER(SEARCH("teacher",B208)),ISNUMBER(SEARCH("trainer",B208)),ISNUMBER(SEARCH("faculty",B208))),"Teacher / Trainer",OR(ISNUMBER(SEARCH("doctor",B208)),ISNUMBER(SEARCH("nurse",B208)),ISNUMBER(SEARCH("medical",B208)),ISNUMBER(SEARCH("pharma",B208)),ISNUMBER(SEARCH("clinical",B208))),"Healthcare",TRUE,"Other")</f>
        <v/>
      </c>
      <c r="B121">
        <f>IF(PROPER(TRIM(Raw_Data!D206))="Bangalore","Bengaluru",IF(PROPER(TRIM(Raw_Data!D206))="Gurgaon","Gurugram",IF(OR(PROPER(TRIM(Raw_Data!D206))="New Delhi",PROPER(TRIM(Raw_Data!D206))="Delhi"),"Delhi",PROPER(TRIM(Raw_Data!D206)))))</f>
        <v/>
      </c>
      <c r="C121">
        <f>IF(TRIM(Raw_Data!F206&amp;"")="","Not Specified",Raw_Data!F206)</f>
        <v/>
      </c>
      <c r="D121">
        <f>Raw_Data!H206</f>
        <v/>
      </c>
      <c r="E121">
        <f>Raw_Data!E206</f>
        <v/>
      </c>
    </row>
    <row r="122">
      <c r="A122">
        <f>_xlfn.IFS(ISNUMBER(SEARCH("data analy",B209)),"Data Analyst",ISNUMBER(SEARCH("business analy",B209)),"Business Analyst",OR(ISNUMBER(SEARCH("developer",B209)),ISNUMBER(SEARCH("software engineer",B209)),ISNUMBER(SEARCH("programmer",B209))),"Software Developer",ISNUMBER(SEARCH("business development",B209)),"Business Development",ISNUMBER(SEARCH("sales",B209)),"Sales Executive",ISNUMBER(SEARCH("marketing",B209)),"Marketing Executive",OR(ISNUMBER(SEARCH("hr ",B209)),ISNUMBER(SEARCH("recruit",B209)),ISNUMBER(SEARCH("human resource",B209))),"HR / Recruiter",OR(ISNUMBER(SEARCH("account",B209)),ISNUMBER(SEARCH("finance",B209)),ISNUMBER(SEARCH("tax",B209)),ISNUMBER(SEARCH("audit",B209))),"Accountant / Finance",OR(ISNUMBER(SEARCH("customer service",B209)),ISNUMBER(SEARCH("customer support",B209)),ISNUMBER(SEARCH("customer care",B209)),ISNUMBER(SEARCH("voice process",B209)),ISNUMBER(SEARCH("bpo",B209))),"Customer Support",ISNUMBER(SEARCH("engineer",B209)),"Engineer (Technical)",ISNUMBER(SEARCH("manager",B209)),"Manager",OR(ISNUMBER(SEARCH("teacher",B209)),ISNUMBER(SEARCH("trainer",B209)),ISNUMBER(SEARCH("faculty",B209))),"Teacher / Trainer",OR(ISNUMBER(SEARCH("doctor",B209)),ISNUMBER(SEARCH("nurse",B209)),ISNUMBER(SEARCH("medical",B209)),ISNUMBER(SEARCH("pharma",B209)),ISNUMBER(SEARCH("clinical",B209))),"Healthcare",TRUE,"Other")</f>
        <v/>
      </c>
      <c r="B122">
        <f>IF(PROPER(TRIM(Raw_Data!D207))="Bangalore","Bengaluru",IF(PROPER(TRIM(Raw_Data!D207))="Gurgaon","Gurugram",IF(OR(PROPER(TRIM(Raw_Data!D207))="New Delhi",PROPER(TRIM(Raw_Data!D207))="Delhi"),"Delhi",PROPER(TRIM(Raw_Data!D207)))))</f>
        <v/>
      </c>
      <c r="C122">
        <f>IF(TRIM(Raw_Data!F207&amp;"")="","Not Specified",Raw_Data!F207)</f>
        <v/>
      </c>
      <c r="D122">
        <f>Raw_Data!H207</f>
        <v/>
      </c>
      <c r="E122">
        <f>Raw_Data!E207</f>
        <v/>
      </c>
    </row>
    <row r="123">
      <c r="A123">
        <f>_xlfn.IFS(ISNUMBER(SEARCH("data analy",B21)),"Data Analyst",ISNUMBER(SEARCH("business analy",B21)),"Business Analyst",OR(ISNUMBER(SEARCH("developer",B21)),ISNUMBER(SEARCH("software engineer",B21)),ISNUMBER(SEARCH("programmer",B21))),"Software Developer",ISNUMBER(SEARCH("business development",B21)),"Business Development",ISNUMBER(SEARCH("sales",B21)),"Sales Executive",ISNUMBER(SEARCH("marketing",B21)),"Marketing Executive",OR(ISNUMBER(SEARCH("hr ",B21)),ISNUMBER(SEARCH("recruit",B21)),ISNUMBER(SEARCH("human resource",B21))),"HR / Recruiter",OR(ISNUMBER(SEARCH("account",B21)),ISNUMBER(SEARCH("finance",B21)),ISNUMBER(SEARCH("tax",B21)),ISNUMBER(SEARCH("audit",B21))),"Accountant / Finance",OR(ISNUMBER(SEARCH("customer service",B21)),ISNUMBER(SEARCH("customer support",B21)),ISNUMBER(SEARCH("customer care",B21)),ISNUMBER(SEARCH("voice process",B21)),ISNUMBER(SEARCH("bpo",B21))),"Customer Support",ISNUMBER(SEARCH("engineer",B21)),"Engineer (Technical)",ISNUMBER(SEARCH("manager",B21)),"Manager",OR(ISNUMBER(SEARCH("teacher",B21)),ISNUMBER(SEARCH("trainer",B21)),ISNUMBER(SEARCH("faculty",B21))),"Teacher / Trainer",OR(ISNUMBER(SEARCH("doctor",B21)),ISNUMBER(SEARCH("nurse",B21)),ISNUMBER(SEARCH("medical",B21)),ISNUMBER(SEARCH("pharma",B21)),ISNUMBER(SEARCH("clinical",B21))),"Healthcare",TRUE,"Other")</f>
        <v/>
      </c>
      <c r="B123">
        <f>IF(PROPER(TRIM(Raw_Data!D208))="Bangalore","Bengaluru",IF(PROPER(TRIM(Raw_Data!D208))="Gurgaon","Gurugram",IF(OR(PROPER(TRIM(Raw_Data!D208))="New Delhi",PROPER(TRIM(Raw_Data!D208))="Delhi"),"Delhi",PROPER(TRIM(Raw_Data!D208)))))</f>
        <v/>
      </c>
      <c r="C123">
        <f>IF(TRIM(Raw_Data!F208&amp;"")="","Not Specified",Raw_Data!F208)</f>
        <v/>
      </c>
      <c r="D123">
        <f>Raw_Data!H208</f>
        <v/>
      </c>
      <c r="E123">
        <f>Raw_Data!E208</f>
        <v/>
      </c>
    </row>
    <row r="124">
      <c r="A124">
        <f>_xlfn.IFS(ISNUMBER(SEARCH("data analy",B210)),"Data Analyst",ISNUMBER(SEARCH("business analy",B210)),"Business Analyst",OR(ISNUMBER(SEARCH("developer",B210)),ISNUMBER(SEARCH("software engineer",B210)),ISNUMBER(SEARCH("programmer",B210))),"Software Developer",ISNUMBER(SEARCH("business development",B210)),"Business Development",ISNUMBER(SEARCH("sales",B210)),"Sales Executive",ISNUMBER(SEARCH("marketing",B210)),"Marketing Executive",OR(ISNUMBER(SEARCH("hr ",B210)),ISNUMBER(SEARCH("recruit",B210)),ISNUMBER(SEARCH("human resource",B210))),"HR / Recruiter",OR(ISNUMBER(SEARCH("account",B210)),ISNUMBER(SEARCH("finance",B210)),ISNUMBER(SEARCH("tax",B210)),ISNUMBER(SEARCH("audit",B210))),"Accountant / Finance",OR(ISNUMBER(SEARCH("customer service",B210)),ISNUMBER(SEARCH("customer support",B210)),ISNUMBER(SEARCH("customer care",B210)),ISNUMBER(SEARCH("voice process",B210)),ISNUMBER(SEARCH("bpo",B210))),"Customer Support",ISNUMBER(SEARCH("engineer",B210)),"Engineer (Technical)",ISNUMBER(SEARCH("manager",B210)),"Manager",OR(ISNUMBER(SEARCH("teacher",B210)),ISNUMBER(SEARCH("trainer",B210)),ISNUMBER(SEARCH("faculty",B210))),"Teacher / Trainer",OR(ISNUMBER(SEARCH("doctor",B210)),ISNUMBER(SEARCH("nurse",B210)),ISNUMBER(SEARCH("medical",B210)),ISNUMBER(SEARCH("pharma",B210)),ISNUMBER(SEARCH("clinical",B210))),"Healthcare",TRUE,"Other")</f>
        <v/>
      </c>
      <c r="B124">
        <f>IF(PROPER(TRIM(Raw_Data!D209))="Bangalore","Bengaluru",IF(PROPER(TRIM(Raw_Data!D209))="Gurgaon","Gurugram",IF(OR(PROPER(TRIM(Raw_Data!D209))="New Delhi",PROPER(TRIM(Raw_Data!D209))="Delhi"),"Delhi",PROPER(TRIM(Raw_Data!D209)))))</f>
        <v/>
      </c>
      <c r="C124">
        <f>IF(TRIM(Raw_Data!F209&amp;"")="","Not Specified",Raw_Data!F209)</f>
        <v/>
      </c>
      <c r="D124">
        <f>Raw_Data!H209</f>
        <v/>
      </c>
      <c r="E124">
        <f>Raw_Data!E209</f>
        <v/>
      </c>
    </row>
    <row r="125">
      <c r="A125">
        <f>_xlfn.IFS(ISNUMBER(SEARCH("data analy",B211)),"Data Analyst",ISNUMBER(SEARCH("business analy",B211)),"Business Analyst",OR(ISNUMBER(SEARCH("developer",B211)),ISNUMBER(SEARCH("software engineer",B211)),ISNUMBER(SEARCH("programmer",B211))),"Software Developer",ISNUMBER(SEARCH("business development",B211)),"Business Development",ISNUMBER(SEARCH("sales",B211)),"Sales Executive",ISNUMBER(SEARCH("marketing",B211)),"Marketing Executive",OR(ISNUMBER(SEARCH("hr ",B211)),ISNUMBER(SEARCH("recruit",B211)),ISNUMBER(SEARCH("human resource",B211))),"HR / Recruiter",OR(ISNUMBER(SEARCH("account",B211)),ISNUMBER(SEARCH("finance",B211)),ISNUMBER(SEARCH("tax",B211)),ISNUMBER(SEARCH("audit",B211))),"Accountant / Finance",OR(ISNUMBER(SEARCH("customer service",B211)),ISNUMBER(SEARCH("customer support",B211)),ISNUMBER(SEARCH("customer care",B211)),ISNUMBER(SEARCH("voice process",B211)),ISNUMBER(SEARCH("bpo",B211))),"Customer Support",ISNUMBER(SEARCH("engineer",B211)),"Engineer (Technical)",ISNUMBER(SEARCH("manager",B211)),"Manager",OR(ISNUMBER(SEARCH("teacher",B211)),ISNUMBER(SEARCH("trainer",B211)),ISNUMBER(SEARCH("faculty",B211))),"Teacher / Trainer",OR(ISNUMBER(SEARCH("doctor",B211)),ISNUMBER(SEARCH("nurse",B211)),ISNUMBER(SEARCH("medical",B211)),ISNUMBER(SEARCH("pharma",B211)),ISNUMBER(SEARCH("clinical",B211))),"Healthcare",TRUE,"Other")</f>
        <v/>
      </c>
      <c r="B125">
        <f>IF(PROPER(TRIM(Raw_Data!D21))="Bangalore","Bengaluru",IF(PROPER(TRIM(Raw_Data!D21))="Gurgaon","Gurugram",IF(OR(PROPER(TRIM(Raw_Data!D21))="New Delhi",PROPER(TRIM(Raw_Data!D21))="Delhi"),"Delhi",PROPER(TRIM(Raw_Data!D21)))))</f>
        <v/>
      </c>
      <c r="C125">
        <f>IF(TRIM(Raw_Data!F21&amp;"")="","Not Specified",Raw_Data!F21)</f>
        <v/>
      </c>
      <c r="D125">
        <f>Raw_Data!H21</f>
        <v/>
      </c>
      <c r="E125">
        <f>Raw_Data!E21</f>
        <v/>
      </c>
    </row>
    <row r="126">
      <c r="A126">
        <f>_xlfn.IFS(ISNUMBER(SEARCH("data analy",B212)),"Data Analyst",ISNUMBER(SEARCH("business analy",B212)),"Business Analyst",OR(ISNUMBER(SEARCH("developer",B212)),ISNUMBER(SEARCH("software engineer",B212)),ISNUMBER(SEARCH("programmer",B212))),"Software Developer",ISNUMBER(SEARCH("business development",B212)),"Business Development",ISNUMBER(SEARCH("sales",B212)),"Sales Executive",ISNUMBER(SEARCH("marketing",B212)),"Marketing Executive",OR(ISNUMBER(SEARCH("hr ",B212)),ISNUMBER(SEARCH("recruit",B212)),ISNUMBER(SEARCH("human resource",B212))),"HR / Recruiter",OR(ISNUMBER(SEARCH("account",B212)),ISNUMBER(SEARCH("finance",B212)),ISNUMBER(SEARCH("tax",B212)),ISNUMBER(SEARCH("audit",B212))),"Accountant / Finance",OR(ISNUMBER(SEARCH("customer service",B212)),ISNUMBER(SEARCH("customer support",B212)),ISNUMBER(SEARCH("customer care",B212)),ISNUMBER(SEARCH("voice process",B212)),ISNUMBER(SEARCH("bpo",B212))),"Customer Support",ISNUMBER(SEARCH("engineer",B212)),"Engineer (Technical)",ISNUMBER(SEARCH("manager",B212)),"Manager",OR(ISNUMBER(SEARCH("teacher",B212)),ISNUMBER(SEARCH("trainer",B212)),ISNUMBER(SEARCH("faculty",B212))),"Teacher / Trainer",OR(ISNUMBER(SEARCH("doctor",B212)),ISNUMBER(SEARCH("nurse",B212)),ISNUMBER(SEARCH("medical",B212)),ISNUMBER(SEARCH("pharma",B212)),ISNUMBER(SEARCH("clinical",B212))),"Healthcare",TRUE,"Other")</f>
        <v/>
      </c>
      <c r="B126">
        <f>IF(PROPER(TRIM(Raw_Data!D210))="Bangalore","Bengaluru",IF(PROPER(TRIM(Raw_Data!D210))="Gurgaon","Gurugram",IF(OR(PROPER(TRIM(Raw_Data!D210))="New Delhi",PROPER(TRIM(Raw_Data!D210))="Delhi"),"Delhi",PROPER(TRIM(Raw_Data!D210)))))</f>
        <v/>
      </c>
      <c r="C126">
        <f>IF(TRIM(Raw_Data!F210&amp;"")="","Not Specified",Raw_Data!F210)</f>
        <v/>
      </c>
      <c r="D126">
        <f>Raw_Data!H210</f>
        <v/>
      </c>
      <c r="E126">
        <f>Raw_Data!E210</f>
        <v/>
      </c>
    </row>
    <row r="127">
      <c r="A127">
        <f>_xlfn.IFS(ISNUMBER(SEARCH("data analy",B213)),"Data Analyst",ISNUMBER(SEARCH("business analy",B213)),"Business Analyst",OR(ISNUMBER(SEARCH("developer",B213)),ISNUMBER(SEARCH("software engineer",B213)),ISNUMBER(SEARCH("programmer",B213))),"Software Developer",ISNUMBER(SEARCH("business development",B213)),"Business Development",ISNUMBER(SEARCH("sales",B213)),"Sales Executive",ISNUMBER(SEARCH("marketing",B213)),"Marketing Executive",OR(ISNUMBER(SEARCH("hr ",B213)),ISNUMBER(SEARCH("recruit",B213)),ISNUMBER(SEARCH("human resource",B213))),"HR / Recruiter",OR(ISNUMBER(SEARCH("account",B213)),ISNUMBER(SEARCH("finance",B213)),ISNUMBER(SEARCH("tax",B213)),ISNUMBER(SEARCH("audit",B213))),"Accountant / Finance",OR(ISNUMBER(SEARCH("customer service",B213)),ISNUMBER(SEARCH("customer support",B213)),ISNUMBER(SEARCH("customer care",B213)),ISNUMBER(SEARCH("voice process",B213)),ISNUMBER(SEARCH("bpo",B213))),"Customer Support",ISNUMBER(SEARCH("engineer",B213)),"Engineer (Technical)",ISNUMBER(SEARCH("manager",B213)),"Manager",OR(ISNUMBER(SEARCH("teacher",B213)),ISNUMBER(SEARCH("trainer",B213)),ISNUMBER(SEARCH("faculty",B213))),"Teacher / Trainer",OR(ISNUMBER(SEARCH("doctor",B213)),ISNUMBER(SEARCH("nurse",B213)),ISNUMBER(SEARCH("medical",B213)),ISNUMBER(SEARCH("pharma",B213)),ISNUMBER(SEARCH("clinical",B213))),"Healthcare",TRUE,"Other")</f>
        <v/>
      </c>
      <c r="B127">
        <f>IF(PROPER(TRIM(Raw_Data!D211))="Bangalore","Bengaluru",IF(PROPER(TRIM(Raw_Data!D211))="Gurgaon","Gurugram",IF(OR(PROPER(TRIM(Raw_Data!D211))="New Delhi",PROPER(TRIM(Raw_Data!D211))="Delhi"),"Delhi",PROPER(TRIM(Raw_Data!D211)))))</f>
        <v/>
      </c>
      <c r="C127">
        <f>IF(TRIM(Raw_Data!F211&amp;"")="","Not Specified",Raw_Data!F211)</f>
        <v/>
      </c>
      <c r="D127">
        <f>Raw_Data!H211</f>
        <v/>
      </c>
      <c r="E127">
        <f>Raw_Data!E211</f>
        <v/>
      </c>
    </row>
    <row r="128">
      <c r="A128">
        <f>_xlfn.IFS(ISNUMBER(SEARCH("data analy",B214)),"Data Analyst",ISNUMBER(SEARCH("business analy",B214)),"Business Analyst",OR(ISNUMBER(SEARCH("developer",B214)),ISNUMBER(SEARCH("software engineer",B214)),ISNUMBER(SEARCH("programmer",B214))),"Software Developer",ISNUMBER(SEARCH("business development",B214)),"Business Development",ISNUMBER(SEARCH("sales",B214)),"Sales Executive",ISNUMBER(SEARCH("marketing",B214)),"Marketing Executive",OR(ISNUMBER(SEARCH("hr ",B214)),ISNUMBER(SEARCH("recruit",B214)),ISNUMBER(SEARCH("human resource",B214))),"HR / Recruiter",OR(ISNUMBER(SEARCH("account",B214)),ISNUMBER(SEARCH("finance",B214)),ISNUMBER(SEARCH("tax",B214)),ISNUMBER(SEARCH("audit",B214))),"Accountant / Finance",OR(ISNUMBER(SEARCH("customer service",B214)),ISNUMBER(SEARCH("customer support",B214)),ISNUMBER(SEARCH("customer care",B214)),ISNUMBER(SEARCH("voice process",B214)),ISNUMBER(SEARCH("bpo",B214))),"Customer Support",ISNUMBER(SEARCH("engineer",B214)),"Engineer (Technical)",ISNUMBER(SEARCH("manager",B214)),"Manager",OR(ISNUMBER(SEARCH("teacher",B214)),ISNUMBER(SEARCH("trainer",B214)),ISNUMBER(SEARCH("faculty",B214))),"Teacher / Trainer",OR(ISNUMBER(SEARCH("doctor",B214)),ISNUMBER(SEARCH("nurse",B214)),ISNUMBER(SEARCH("medical",B214)),ISNUMBER(SEARCH("pharma",B214)),ISNUMBER(SEARCH("clinical",B214))),"Healthcare",TRUE,"Other")</f>
        <v/>
      </c>
      <c r="B128">
        <f>IF(PROPER(TRIM(Raw_Data!D212))="Bangalore","Bengaluru",IF(PROPER(TRIM(Raw_Data!D212))="Gurgaon","Gurugram",IF(OR(PROPER(TRIM(Raw_Data!D212))="New Delhi",PROPER(TRIM(Raw_Data!D212))="Delhi"),"Delhi",PROPER(TRIM(Raw_Data!D212)))))</f>
        <v/>
      </c>
      <c r="C128">
        <f>IF(TRIM(Raw_Data!F212&amp;"")="","Not Specified",Raw_Data!F212)</f>
        <v/>
      </c>
      <c r="D128">
        <f>Raw_Data!H212</f>
        <v/>
      </c>
      <c r="E128">
        <f>Raw_Data!E212</f>
        <v/>
      </c>
    </row>
    <row r="129">
      <c r="A129">
        <f>_xlfn.IFS(ISNUMBER(SEARCH("data analy",B215)),"Data Analyst",ISNUMBER(SEARCH("business analy",B215)),"Business Analyst",OR(ISNUMBER(SEARCH("developer",B215)),ISNUMBER(SEARCH("software engineer",B215)),ISNUMBER(SEARCH("programmer",B215))),"Software Developer",ISNUMBER(SEARCH("business development",B215)),"Business Development",ISNUMBER(SEARCH("sales",B215)),"Sales Executive",ISNUMBER(SEARCH("marketing",B215)),"Marketing Executive",OR(ISNUMBER(SEARCH("hr ",B215)),ISNUMBER(SEARCH("recruit",B215)),ISNUMBER(SEARCH("human resource",B215))),"HR / Recruiter",OR(ISNUMBER(SEARCH("account",B215)),ISNUMBER(SEARCH("finance",B215)),ISNUMBER(SEARCH("tax",B215)),ISNUMBER(SEARCH("audit",B215))),"Accountant / Finance",OR(ISNUMBER(SEARCH("customer service",B215)),ISNUMBER(SEARCH("customer support",B215)),ISNUMBER(SEARCH("customer care",B215)),ISNUMBER(SEARCH("voice process",B215)),ISNUMBER(SEARCH("bpo",B215))),"Customer Support",ISNUMBER(SEARCH("engineer",B215)),"Engineer (Technical)",ISNUMBER(SEARCH("manager",B215)),"Manager",OR(ISNUMBER(SEARCH("teacher",B215)),ISNUMBER(SEARCH("trainer",B215)),ISNUMBER(SEARCH("faculty",B215))),"Teacher / Trainer",OR(ISNUMBER(SEARCH("doctor",B215)),ISNUMBER(SEARCH("nurse",B215)),ISNUMBER(SEARCH("medical",B215)),ISNUMBER(SEARCH("pharma",B215)),ISNUMBER(SEARCH("clinical",B215))),"Healthcare",TRUE,"Other")</f>
        <v/>
      </c>
      <c r="B129">
        <f>IF(PROPER(TRIM(Raw_Data!D213))="Bangalore","Bengaluru",IF(PROPER(TRIM(Raw_Data!D213))="Gurgaon","Gurugram",IF(OR(PROPER(TRIM(Raw_Data!D213))="New Delhi",PROPER(TRIM(Raw_Data!D213))="Delhi"),"Delhi",PROPER(TRIM(Raw_Data!D213)))))</f>
        <v/>
      </c>
      <c r="C129">
        <f>IF(TRIM(Raw_Data!F213&amp;"")="","Not Specified",Raw_Data!F213)</f>
        <v/>
      </c>
      <c r="D129">
        <f>Raw_Data!H213</f>
        <v/>
      </c>
      <c r="E129">
        <f>Raw_Data!E213</f>
        <v/>
      </c>
    </row>
    <row r="130">
      <c r="A130">
        <f>_xlfn.IFS(ISNUMBER(SEARCH("data analy",B216)),"Data Analyst",ISNUMBER(SEARCH("business analy",B216)),"Business Analyst",OR(ISNUMBER(SEARCH("developer",B216)),ISNUMBER(SEARCH("software engineer",B216)),ISNUMBER(SEARCH("programmer",B216))),"Software Developer",ISNUMBER(SEARCH("business development",B216)),"Business Development",ISNUMBER(SEARCH("sales",B216)),"Sales Executive",ISNUMBER(SEARCH("marketing",B216)),"Marketing Executive",OR(ISNUMBER(SEARCH("hr ",B216)),ISNUMBER(SEARCH("recruit",B216)),ISNUMBER(SEARCH("human resource",B216))),"HR / Recruiter",OR(ISNUMBER(SEARCH("account",B216)),ISNUMBER(SEARCH("finance",B216)),ISNUMBER(SEARCH("tax",B216)),ISNUMBER(SEARCH("audit",B216))),"Accountant / Finance",OR(ISNUMBER(SEARCH("customer service",B216)),ISNUMBER(SEARCH("customer support",B216)),ISNUMBER(SEARCH("customer care",B216)),ISNUMBER(SEARCH("voice process",B216)),ISNUMBER(SEARCH("bpo",B216))),"Customer Support",ISNUMBER(SEARCH("engineer",B216)),"Engineer (Technical)",ISNUMBER(SEARCH("manager",B216)),"Manager",OR(ISNUMBER(SEARCH("teacher",B216)),ISNUMBER(SEARCH("trainer",B216)),ISNUMBER(SEARCH("faculty",B216))),"Teacher / Trainer",OR(ISNUMBER(SEARCH("doctor",B216)),ISNUMBER(SEARCH("nurse",B216)),ISNUMBER(SEARCH("medical",B216)),ISNUMBER(SEARCH("pharma",B216)),ISNUMBER(SEARCH("clinical",B216))),"Healthcare",TRUE,"Other")</f>
        <v/>
      </c>
      <c r="B130">
        <f>IF(PROPER(TRIM(Raw_Data!D214))="Bangalore","Bengaluru",IF(PROPER(TRIM(Raw_Data!D214))="Gurgaon","Gurugram",IF(OR(PROPER(TRIM(Raw_Data!D214))="New Delhi",PROPER(TRIM(Raw_Data!D214))="Delhi"),"Delhi",PROPER(TRIM(Raw_Data!D214)))))</f>
        <v/>
      </c>
      <c r="C130">
        <f>IF(TRIM(Raw_Data!F214&amp;"")="","Not Specified",Raw_Data!F214)</f>
        <v/>
      </c>
      <c r="D130">
        <f>Raw_Data!H214</f>
        <v/>
      </c>
      <c r="E130">
        <f>Raw_Data!E214</f>
        <v/>
      </c>
    </row>
    <row r="131">
      <c r="A131">
        <f>_xlfn.IFS(ISNUMBER(SEARCH("data analy",B217)),"Data Analyst",ISNUMBER(SEARCH("business analy",B217)),"Business Analyst",OR(ISNUMBER(SEARCH("developer",B217)),ISNUMBER(SEARCH("software engineer",B217)),ISNUMBER(SEARCH("programmer",B217))),"Software Developer",ISNUMBER(SEARCH("business development",B217)),"Business Development",ISNUMBER(SEARCH("sales",B217)),"Sales Executive",ISNUMBER(SEARCH("marketing",B217)),"Marketing Executive",OR(ISNUMBER(SEARCH("hr ",B217)),ISNUMBER(SEARCH("recruit",B217)),ISNUMBER(SEARCH("human resource",B217))),"HR / Recruiter",OR(ISNUMBER(SEARCH("account",B217)),ISNUMBER(SEARCH("finance",B217)),ISNUMBER(SEARCH("tax",B217)),ISNUMBER(SEARCH("audit",B217))),"Accountant / Finance",OR(ISNUMBER(SEARCH("customer service",B217)),ISNUMBER(SEARCH("customer support",B217)),ISNUMBER(SEARCH("customer care",B217)),ISNUMBER(SEARCH("voice process",B217)),ISNUMBER(SEARCH("bpo",B217))),"Customer Support",ISNUMBER(SEARCH("engineer",B217)),"Engineer (Technical)",ISNUMBER(SEARCH("manager",B217)),"Manager",OR(ISNUMBER(SEARCH("teacher",B217)),ISNUMBER(SEARCH("trainer",B217)),ISNUMBER(SEARCH("faculty",B217))),"Teacher / Trainer",OR(ISNUMBER(SEARCH("doctor",B217)),ISNUMBER(SEARCH("nurse",B217)),ISNUMBER(SEARCH("medical",B217)),ISNUMBER(SEARCH("pharma",B217)),ISNUMBER(SEARCH("clinical",B217))),"Healthcare",TRUE,"Other")</f>
        <v/>
      </c>
      <c r="B131">
        <f>IF(PROPER(TRIM(Raw_Data!D215))="Bangalore","Bengaluru",IF(PROPER(TRIM(Raw_Data!D215))="Gurgaon","Gurugram",IF(OR(PROPER(TRIM(Raw_Data!D215))="New Delhi",PROPER(TRIM(Raw_Data!D215))="Delhi"),"Delhi",PROPER(TRIM(Raw_Data!D215)))))</f>
        <v/>
      </c>
      <c r="C131">
        <f>IF(TRIM(Raw_Data!F215&amp;"")="","Not Specified",Raw_Data!F215)</f>
        <v/>
      </c>
      <c r="D131">
        <f>Raw_Data!H215</f>
        <v/>
      </c>
      <c r="E131">
        <f>Raw_Data!E215</f>
        <v/>
      </c>
    </row>
    <row r="132">
      <c r="A132">
        <f>_xlfn.IFS(ISNUMBER(SEARCH("data analy",B218)),"Data Analyst",ISNUMBER(SEARCH("business analy",B218)),"Business Analyst",OR(ISNUMBER(SEARCH("developer",B218)),ISNUMBER(SEARCH("software engineer",B218)),ISNUMBER(SEARCH("programmer",B218))),"Software Developer",ISNUMBER(SEARCH("business development",B218)),"Business Development",ISNUMBER(SEARCH("sales",B218)),"Sales Executive",ISNUMBER(SEARCH("marketing",B218)),"Marketing Executive",OR(ISNUMBER(SEARCH("hr ",B218)),ISNUMBER(SEARCH("recruit",B218)),ISNUMBER(SEARCH("human resource",B218))),"HR / Recruiter",OR(ISNUMBER(SEARCH("account",B218)),ISNUMBER(SEARCH("finance",B218)),ISNUMBER(SEARCH("tax",B218)),ISNUMBER(SEARCH("audit",B218))),"Accountant / Finance",OR(ISNUMBER(SEARCH("customer service",B218)),ISNUMBER(SEARCH("customer support",B218)),ISNUMBER(SEARCH("customer care",B218)),ISNUMBER(SEARCH("voice process",B218)),ISNUMBER(SEARCH("bpo",B218))),"Customer Support",ISNUMBER(SEARCH("engineer",B218)),"Engineer (Technical)",ISNUMBER(SEARCH("manager",B218)),"Manager",OR(ISNUMBER(SEARCH("teacher",B218)),ISNUMBER(SEARCH("trainer",B218)),ISNUMBER(SEARCH("faculty",B218))),"Teacher / Trainer",OR(ISNUMBER(SEARCH("doctor",B218)),ISNUMBER(SEARCH("nurse",B218)),ISNUMBER(SEARCH("medical",B218)),ISNUMBER(SEARCH("pharma",B218)),ISNUMBER(SEARCH("clinical",B218))),"Healthcare",TRUE,"Other")</f>
        <v/>
      </c>
      <c r="B132">
        <f>IF(PROPER(TRIM(Raw_Data!D216))="Bangalore","Bengaluru",IF(PROPER(TRIM(Raw_Data!D216))="Gurgaon","Gurugram",IF(OR(PROPER(TRIM(Raw_Data!D216))="New Delhi",PROPER(TRIM(Raw_Data!D216))="Delhi"),"Delhi",PROPER(TRIM(Raw_Data!D216)))))</f>
        <v/>
      </c>
      <c r="C132">
        <f>IF(TRIM(Raw_Data!F216&amp;"")="","Not Specified",Raw_Data!F216)</f>
        <v/>
      </c>
      <c r="D132">
        <f>Raw_Data!H216</f>
        <v/>
      </c>
      <c r="E132">
        <f>Raw_Data!E216</f>
        <v/>
      </c>
    </row>
    <row r="133">
      <c r="A133">
        <f>_xlfn.IFS(ISNUMBER(SEARCH("data analy",B219)),"Data Analyst",ISNUMBER(SEARCH("business analy",B219)),"Business Analyst",OR(ISNUMBER(SEARCH("developer",B219)),ISNUMBER(SEARCH("software engineer",B219)),ISNUMBER(SEARCH("programmer",B219))),"Software Developer",ISNUMBER(SEARCH("business development",B219)),"Business Development",ISNUMBER(SEARCH("sales",B219)),"Sales Executive",ISNUMBER(SEARCH("marketing",B219)),"Marketing Executive",OR(ISNUMBER(SEARCH("hr ",B219)),ISNUMBER(SEARCH("recruit",B219)),ISNUMBER(SEARCH("human resource",B219))),"HR / Recruiter",OR(ISNUMBER(SEARCH("account",B219)),ISNUMBER(SEARCH("finance",B219)),ISNUMBER(SEARCH("tax",B219)),ISNUMBER(SEARCH("audit",B219))),"Accountant / Finance",OR(ISNUMBER(SEARCH("customer service",B219)),ISNUMBER(SEARCH("customer support",B219)),ISNUMBER(SEARCH("customer care",B219)),ISNUMBER(SEARCH("voice process",B219)),ISNUMBER(SEARCH("bpo",B219))),"Customer Support",ISNUMBER(SEARCH("engineer",B219)),"Engineer (Technical)",ISNUMBER(SEARCH("manager",B219)),"Manager",OR(ISNUMBER(SEARCH("teacher",B219)),ISNUMBER(SEARCH("trainer",B219)),ISNUMBER(SEARCH("faculty",B219))),"Teacher / Trainer",OR(ISNUMBER(SEARCH("doctor",B219)),ISNUMBER(SEARCH("nurse",B219)),ISNUMBER(SEARCH("medical",B219)),ISNUMBER(SEARCH("pharma",B219)),ISNUMBER(SEARCH("clinical",B219))),"Healthcare",TRUE,"Other")</f>
        <v/>
      </c>
      <c r="B133">
        <f>IF(PROPER(TRIM(Raw_Data!D217))="Bangalore","Bengaluru",IF(PROPER(TRIM(Raw_Data!D217))="Gurgaon","Gurugram",IF(OR(PROPER(TRIM(Raw_Data!D217))="New Delhi",PROPER(TRIM(Raw_Data!D217))="Delhi"),"Delhi",PROPER(TRIM(Raw_Data!D217)))))</f>
        <v/>
      </c>
      <c r="C133">
        <f>IF(TRIM(Raw_Data!F217&amp;"")="","Not Specified",Raw_Data!F217)</f>
        <v/>
      </c>
      <c r="D133">
        <f>Raw_Data!H217</f>
        <v/>
      </c>
      <c r="E133">
        <f>Raw_Data!E217</f>
        <v/>
      </c>
    </row>
    <row r="134">
      <c r="A134">
        <f>_xlfn.IFS(ISNUMBER(SEARCH("data analy",B22)),"Data Analyst",ISNUMBER(SEARCH("business analy",B22)),"Business Analyst",OR(ISNUMBER(SEARCH("developer",B22)),ISNUMBER(SEARCH("software engineer",B22)),ISNUMBER(SEARCH("programmer",B22))),"Software Developer",ISNUMBER(SEARCH("business development",B22)),"Business Development",ISNUMBER(SEARCH("sales",B22)),"Sales Executive",ISNUMBER(SEARCH("marketing",B22)),"Marketing Executive",OR(ISNUMBER(SEARCH("hr ",B22)),ISNUMBER(SEARCH("recruit",B22)),ISNUMBER(SEARCH("human resource",B22))),"HR / Recruiter",OR(ISNUMBER(SEARCH("account",B22)),ISNUMBER(SEARCH("finance",B22)),ISNUMBER(SEARCH("tax",B22)),ISNUMBER(SEARCH("audit",B22))),"Accountant / Finance",OR(ISNUMBER(SEARCH("customer service",B22)),ISNUMBER(SEARCH("customer support",B22)),ISNUMBER(SEARCH("customer care",B22)),ISNUMBER(SEARCH("voice process",B22)),ISNUMBER(SEARCH("bpo",B22))),"Customer Support",ISNUMBER(SEARCH("engineer",B22)),"Engineer (Technical)",ISNUMBER(SEARCH("manager",B22)),"Manager",OR(ISNUMBER(SEARCH("teacher",B22)),ISNUMBER(SEARCH("trainer",B22)),ISNUMBER(SEARCH("faculty",B22))),"Teacher / Trainer",OR(ISNUMBER(SEARCH("doctor",B22)),ISNUMBER(SEARCH("nurse",B22)),ISNUMBER(SEARCH("medical",B22)),ISNUMBER(SEARCH("pharma",B22)),ISNUMBER(SEARCH("clinical",B22))),"Healthcare",TRUE,"Other")</f>
        <v/>
      </c>
      <c r="B134">
        <f>IF(PROPER(TRIM(Raw_Data!D218))="Bangalore","Bengaluru",IF(PROPER(TRIM(Raw_Data!D218))="Gurgaon","Gurugram",IF(OR(PROPER(TRIM(Raw_Data!D218))="New Delhi",PROPER(TRIM(Raw_Data!D218))="Delhi"),"Delhi",PROPER(TRIM(Raw_Data!D218)))))</f>
        <v/>
      </c>
      <c r="C134">
        <f>IF(TRIM(Raw_Data!F218&amp;"")="","Not Specified",Raw_Data!F218)</f>
        <v/>
      </c>
      <c r="D134">
        <f>Raw_Data!H218</f>
        <v/>
      </c>
      <c r="E134">
        <f>Raw_Data!E218</f>
        <v/>
      </c>
    </row>
    <row r="135">
      <c r="A135">
        <f>_xlfn.IFS(ISNUMBER(SEARCH("data analy",B220)),"Data Analyst",ISNUMBER(SEARCH("business analy",B220)),"Business Analyst",OR(ISNUMBER(SEARCH("developer",B220)),ISNUMBER(SEARCH("software engineer",B220)),ISNUMBER(SEARCH("programmer",B220))),"Software Developer",ISNUMBER(SEARCH("business development",B220)),"Business Development",ISNUMBER(SEARCH("sales",B220)),"Sales Executive",ISNUMBER(SEARCH("marketing",B220)),"Marketing Executive",OR(ISNUMBER(SEARCH("hr ",B220)),ISNUMBER(SEARCH("recruit",B220)),ISNUMBER(SEARCH("human resource",B220))),"HR / Recruiter",OR(ISNUMBER(SEARCH("account",B220)),ISNUMBER(SEARCH("finance",B220)),ISNUMBER(SEARCH("tax",B220)),ISNUMBER(SEARCH("audit",B220))),"Accountant / Finance",OR(ISNUMBER(SEARCH("customer service",B220)),ISNUMBER(SEARCH("customer support",B220)),ISNUMBER(SEARCH("customer care",B220)),ISNUMBER(SEARCH("voice process",B220)),ISNUMBER(SEARCH("bpo",B220))),"Customer Support",ISNUMBER(SEARCH("engineer",B220)),"Engineer (Technical)",ISNUMBER(SEARCH("manager",B220)),"Manager",OR(ISNUMBER(SEARCH("teacher",B220)),ISNUMBER(SEARCH("trainer",B220)),ISNUMBER(SEARCH("faculty",B220))),"Teacher / Trainer",OR(ISNUMBER(SEARCH("doctor",B220)),ISNUMBER(SEARCH("nurse",B220)),ISNUMBER(SEARCH("medical",B220)),ISNUMBER(SEARCH("pharma",B220)),ISNUMBER(SEARCH("clinical",B220))),"Healthcare",TRUE,"Other")</f>
        <v/>
      </c>
      <c r="B135">
        <f>IF(PROPER(TRIM(Raw_Data!D219))="Bangalore","Bengaluru",IF(PROPER(TRIM(Raw_Data!D219))="Gurgaon","Gurugram",IF(OR(PROPER(TRIM(Raw_Data!D219))="New Delhi",PROPER(TRIM(Raw_Data!D219))="Delhi"),"Delhi",PROPER(TRIM(Raw_Data!D219)))))</f>
        <v/>
      </c>
      <c r="C135">
        <f>IF(TRIM(Raw_Data!F219&amp;"")="","Not Specified",Raw_Data!F219)</f>
        <v/>
      </c>
      <c r="D135">
        <f>Raw_Data!H219</f>
        <v/>
      </c>
      <c r="E135">
        <f>Raw_Data!E219</f>
        <v/>
      </c>
    </row>
    <row r="136">
      <c r="A136">
        <f>_xlfn.IFS(ISNUMBER(SEARCH("data analy",B221)),"Data Analyst",ISNUMBER(SEARCH("business analy",B221)),"Business Analyst",OR(ISNUMBER(SEARCH("developer",B221)),ISNUMBER(SEARCH("software engineer",B221)),ISNUMBER(SEARCH("programmer",B221))),"Software Developer",ISNUMBER(SEARCH("business development",B221)),"Business Development",ISNUMBER(SEARCH("sales",B221)),"Sales Executive",ISNUMBER(SEARCH("marketing",B221)),"Marketing Executive",OR(ISNUMBER(SEARCH("hr ",B221)),ISNUMBER(SEARCH("recruit",B221)),ISNUMBER(SEARCH("human resource",B221))),"HR / Recruiter",OR(ISNUMBER(SEARCH("account",B221)),ISNUMBER(SEARCH("finance",B221)),ISNUMBER(SEARCH("tax",B221)),ISNUMBER(SEARCH("audit",B221))),"Accountant / Finance",OR(ISNUMBER(SEARCH("customer service",B221)),ISNUMBER(SEARCH("customer support",B221)),ISNUMBER(SEARCH("customer care",B221)),ISNUMBER(SEARCH("voice process",B221)),ISNUMBER(SEARCH("bpo",B221))),"Customer Support",ISNUMBER(SEARCH("engineer",B221)),"Engineer (Technical)",ISNUMBER(SEARCH("manager",B221)),"Manager",OR(ISNUMBER(SEARCH("teacher",B221)),ISNUMBER(SEARCH("trainer",B221)),ISNUMBER(SEARCH("faculty",B221))),"Teacher / Trainer",OR(ISNUMBER(SEARCH("doctor",B221)),ISNUMBER(SEARCH("nurse",B221)),ISNUMBER(SEARCH("medical",B221)),ISNUMBER(SEARCH("pharma",B221)),ISNUMBER(SEARCH("clinical",B221))),"Healthcare",TRUE,"Other")</f>
        <v/>
      </c>
      <c r="B136">
        <f>IF(PROPER(TRIM(Raw_Data!D22))="Bangalore","Bengaluru",IF(PROPER(TRIM(Raw_Data!D22))="Gurgaon","Gurugram",IF(OR(PROPER(TRIM(Raw_Data!D22))="New Delhi",PROPER(TRIM(Raw_Data!D22))="Delhi"),"Delhi",PROPER(TRIM(Raw_Data!D22)))))</f>
        <v/>
      </c>
      <c r="C136">
        <f>IF(TRIM(Raw_Data!F22&amp;"")="","Not Specified",Raw_Data!F22)</f>
        <v/>
      </c>
      <c r="D136">
        <f>Raw_Data!H22</f>
        <v/>
      </c>
      <c r="E136">
        <f>Raw_Data!E22</f>
        <v/>
      </c>
    </row>
    <row r="137">
      <c r="A137">
        <f>_xlfn.IFS(ISNUMBER(SEARCH("data analy",B222)),"Data Analyst",ISNUMBER(SEARCH("business analy",B222)),"Business Analyst",OR(ISNUMBER(SEARCH("developer",B222)),ISNUMBER(SEARCH("software engineer",B222)),ISNUMBER(SEARCH("programmer",B222))),"Software Developer",ISNUMBER(SEARCH("business development",B222)),"Business Development",ISNUMBER(SEARCH("sales",B222)),"Sales Executive",ISNUMBER(SEARCH("marketing",B222)),"Marketing Executive",OR(ISNUMBER(SEARCH("hr ",B222)),ISNUMBER(SEARCH("recruit",B222)),ISNUMBER(SEARCH("human resource",B222))),"HR / Recruiter",OR(ISNUMBER(SEARCH("account",B222)),ISNUMBER(SEARCH("finance",B222)),ISNUMBER(SEARCH("tax",B222)),ISNUMBER(SEARCH("audit",B222))),"Accountant / Finance",OR(ISNUMBER(SEARCH("customer service",B222)),ISNUMBER(SEARCH("customer support",B222)),ISNUMBER(SEARCH("customer care",B222)),ISNUMBER(SEARCH("voice process",B222)),ISNUMBER(SEARCH("bpo",B222))),"Customer Support",ISNUMBER(SEARCH("engineer",B222)),"Engineer (Technical)",ISNUMBER(SEARCH("manager",B222)),"Manager",OR(ISNUMBER(SEARCH("teacher",B222)),ISNUMBER(SEARCH("trainer",B222)),ISNUMBER(SEARCH("faculty",B222))),"Teacher / Trainer",OR(ISNUMBER(SEARCH("doctor",B222)),ISNUMBER(SEARCH("nurse",B222)),ISNUMBER(SEARCH("medical",B222)),ISNUMBER(SEARCH("pharma",B222)),ISNUMBER(SEARCH("clinical",B222))),"Healthcare",TRUE,"Other")</f>
        <v/>
      </c>
      <c r="B137">
        <f>IF(PROPER(TRIM(Raw_Data!D220))="Bangalore","Bengaluru",IF(PROPER(TRIM(Raw_Data!D220))="Gurgaon","Gurugram",IF(OR(PROPER(TRIM(Raw_Data!D220))="New Delhi",PROPER(TRIM(Raw_Data!D220))="Delhi"),"Delhi",PROPER(TRIM(Raw_Data!D220)))))</f>
        <v/>
      </c>
      <c r="C137">
        <f>IF(TRIM(Raw_Data!F220&amp;"")="","Not Specified",Raw_Data!F220)</f>
        <v/>
      </c>
      <c r="D137">
        <f>Raw_Data!H220</f>
        <v/>
      </c>
      <c r="E137">
        <f>Raw_Data!E220</f>
        <v/>
      </c>
    </row>
    <row r="138">
      <c r="A138">
        <f>_xlfn.IFS(ISNUMBER(SEARCH("data analy",B223)),"Data Analyst",ISNUMBER(SEARCH("business analy",B223)),"Business Analyst",OR(ISNUMBER(SEARCH("developer",B223)),ISNUMBER(SEARCH("software engineer",B223)),ISNUMBER(SEARCH("programmer",B223))),"Software Developer",ISNUMBER(SEARCH("business development",B223)),"Business Development",ISNUMBER(SEARCH("sales",B223)),"Sales Executive",ISNUMBER(SEARCH("marketing",B223)),"Marketing Executive",OR(ISNUMBER(SEARCH("hr ",B223)),ISNUMBER(SEARCH("recruit",B223)),ISNUMBER(SEARCH("human resource",B223))),"HR / Recruiter",OR(ISNUMBER(SEARCH("account",B223)),ISNUMBER(SEARCH("finance",B223)),ISNUMBER(SEARCH("tax",B223)),ISNUMBER(SEARCH("audit",B223))),"Accountant / Finance",OR(ISNUMBER(SEARCH("customer service",B223)),ISNUMBER(SEARCH("customer support",B223)),ISNUMBER(SEARCH("customer care",B223)),ISNUMBER(SEARCH("voice process",B223)),ISNUMBER(SEARCH("bpo",B223))),"Customer Support",ISNUMBER(SEARCH("engineer",B223)),"Engineer (Technical)",ISNUMBER(SEARCH("manager",B223)),"Manager",OR(ISNUMBER(SEARCH("teacher",B223)),ISNUMBER(SEARCH("trainer",B223)),ISNUMBER(SEARCH("faculty",B223))),"Teacher / Trainer",OR(ISNUMBER(SEARCH("doctor",B223)),ISNUMBER(SEARCH("nurse",B223)),ISNUMBER(SEARCH("medical",B223)),ISNUMBER(SEARCH("pharma",B223)),ISNUMBER(SEARCH("clinical",B223))),"Healthcare",TRUE,"Other")</f>
        <v/>
      </c>
      <c r="B138">
        <f>IF(PROPER(TRIM(Raw_Data!D221))="Bangalore","Bengaluru",IF(PROPER(TRIM(Raw_Data!D221))="Gurgaon","Gurugram",IF(OR(PROPER(TRIM(Raw_Data!D221))="New Delhi",PROPER(TRIM(Raw_Data!D221))="Delhi"),"Delhi",PROPER(TRIM(Raw_Data!D221)))))</f>
        <v/>
      </c>
      <c r="C138">
        <f>IF(TRIM(Raw_Data!F221&amp;"")="","Not Specified",Raw_Data!F221)</f>
        <v/>
      </c>
      <c r="D138">
        <f>Raw_Data!H221</f>
        <v/>
      </c>
      <c r="E138">
        <f>Raw_Data!E221</f>
        <v/>
      </c>
    </row>
    <row r="139">
      <c r="A139">
        <f>_xlfn.IFS(ISNUMBER(SEARCH("data analy",B224)),"Data Analyst",ISNUMBER(SEARCH("business analy",B224)),"Business Analyst",OR(ISNUMBER(SEARCH("developer",B224)),ISNUMBER(SEARCH("software engineer",B224)),ISNUMBER(SEARCH("programmer",B224))),"Software Developer",ISNUMBER(SEARCH("business development",B224)),"Business Development",ISNUMBER(SEARCH("sales",B224)),"Sales Executive",ISNUMBER(SEARCH("marketing",B224)),"Marketing Executive",OR(ISNUMBER(SEARCH("hr ",B224)),ISNUMBER(SEARCH("recruit",B224)),ISNUMBER(SEARCH("human resource",B224))),"HR / Recruiter",OR(ISNUMBER(SEARCH("account",B224)),ISNUMBER(SEARCH("finance",B224)),ISNUMBER(SEARCH("tax",B224)),ISNUMBER(SEARCH("audit",B224))),"Accountant / Finance",OR(ISNUMBER(SEARCH("customer service",B224)),ISNUMBER(SEARCH("customer support",B224)),ISNUMBER(SEARCH("customer care",B224)),ISNUMBER(SEARCH("voice process",B224)),ISNUMBER(SEARCH("bpo",B224))),"Customer Support",ISNUMBER(SEARCH("engineer",B224)),"Engineer (Technical)",ISNUMBER(SEARCH("manager",B224)),"Manager",OR(ISNUMBER(SEARCH("teacher",B224)),ISNUMBER(SEARCH("trainer",B224)),ISNUMBER(SEARCH("faculty",B224))),"Teacher / Trainer",OR(ISNUMBER(SEARCH("doctor",B224)),ISNUMBER(SEARCH("nurse",B224)),ISNUMBER(SEARCH("medical",B224)),ISNUMBER(SEARCH("pharma",B224)),ISNUMBER(SEARCH("clinical",B224))),"Healthcare",TRUE,"Other")</f>
        <v/>
      </c>
      <c r="B139">
        <f>IF(PROPER(TRIM(Raw_Data!D222))="Bangalore","Bengaluru",IF(PROPER(TRIM(Raw_Data!D222))="Gurgaon","Gurugram",IF(OR(PROPER(TRIM(Raw_Data!D222))="New Delhi",PROPER(TRIM(Raw_Data!D222))="Delhi"),"Delhi",PROPER(TRIM(Raw_Data!D222)))))</f>
        <v/>
      </c>
      <c r="C139">
        <f>IF(TRIM(Raw_Data!F222&amp;"")="","Not Specified",Raw_Data!F222)</f>
        <v/>
      </c>
      <c r="D139">
        <f>Raw_Data!H222</f>
        <v/>
      </c>
      <c r="E139">
        <f>Raw_Data!E222</f>
        <v/>
      </c>
    </row>
    <row r="140">
      <c r="A140">
        <f>_xlfn.IFS(ISNUMBER(SEARCH("data analy",B225)),"Data Analyst",ISNUMBER(SEARCH("business analy",B225)),"Business Analyst",OR(ISNUMBER(SEARCH("developer",B225)),ISNUMBER(SEARCH("software engineer",B225)),ISNUMBER(SEARCH("programmer",B225))),"Software Developer",ISNUMBER(SEARCH("business development",B225)),"Business Development",ISNUMBER(SEARCH("sales",B225)),"Sales Executive",ISNUMBER(SEARCH("marketing",B225)),"Marketing Executive",OR(ISNUMBER(SEARCH("hr ",B225)),ISNUMBER(SEARCH("recruit",B225)),ISNUMBER(SEARCH("human resource",B225))),"HR / Recruiter",OR(ISNUMBER(SEARCH("account",B225)),ISNUMBER(SEARCH("finance",B225)),ISNUMBER(SEARCH("tax",B225)),ISNUMBER(SEARCH("audit",B225))),"Accountant / Finance",OR(ISNUMBER(SEARCH("customer service",B225)),ISNUMBER(SEARCH("customer support",B225)),ISNUMBER(SEARCH("customer care",B225)),ISNUMBER(SEARCH("voice process",B225)),ISNUMBER(SEARCH("bpo",B225))),"Customer Support",ISNUMBER(SEARCH("engineer",B225)),"Engineer (Technical)",ISNUMBER(SEARCH("manager",B225)),"Manager",OR(ISNUMBER(SEARCH("teacher",B225)),ISNUMBER(SEARCH("trainer",B225)),ISNUMBER(SEARCH("faculty",B225))),"Teacher / Trainer",OR(ISNUMBER(SEARCH("doctor",B225)),ISNUMBER(SEARCH("nurse",B225)),ISNUMBER(SEARCH("medical",B225)),ISNUMBER(SEARCH("pharma",B225)),ISNUMBER(SEARCH("clinical",B225))),"Healthcare",TRUE,"Other")</f>
        <v/>
      </c>
      <c r="B140">
        <f>IF(PROPER(TRIM(Raw_Data!D223))="Bangalore","Bengaluru",IF(PROPER(TRIM(Raw_Data!D223))="Gurgaon","Gurugram",IF(OR(PROPER(TRIM(Raw_Data!D223))="New Delhi",PROPER(TRIM(Raw_Data!D223))="Delhi"),"Delhi",PROPER(TRIM(Raw_Data!D223)))))</f>
        <v/>
      </c>
      <c r="C140">
        <f>IF(TRIM(Raw_Data!F223&amp;"")="","Not Specified",Raw_Data!F223)</f>
        <v/>
      </c>
      <c r="D140">
        <f>Raw_Data!H223</f>
        <v/>
      </c>
      <c r="E140">
        <f>Raw_Data!E223</f>
        <v/>
      </c>
    </row>
    <row r="141">
      <c r="A141">
        <f>_xlfn.IFS(ISNUMBER(SEARCH("data analy",B226)),"Data Analyst",ISNUMBER(SEARCH("business analy",B226)),"Business Analyst",OR(ISNUMBER(SEARCH("developer",B226)),ISNUMBER(SEARCH("software engineer",B226)),ISNUMBER(SEARCH("programmer",B226))),"Software Developer",ISNUMBER(SEARCH("business development",B226)),"Business Development",ISNUMBER(SEARCH("sales",B226)),"Sales Executive",ISNUMBER(SEARCH("marketing",B226)),"Marketing Executive",OR(ISNUMBER(SEARCH("hr ",B226)),ISNUMBER(SEARCH("recruit",B226)),ISNUMBER(SEARCH("human resource",B226))),"HR / Recruiter",OR(ISNUMBER(SEARCH("account",B226)),ISNUMBER(SEARCH("finance",B226)),ISNUMBER(SEARCH("tax",B226)),ISNUMBER(SEARCH("audit",B226))),"Accountant / Finance",OR(ISNUMBER(SEARCH("customer service",B226)),ISNUMBER(SEARCH("customer support",B226)),ISNUMBER(SEARCH("customer care",B226)),ISNUMBER(SEARCH("voice process",B226)),ISNUMBER(SEARCH("bpo",B226))),"Customer Support",ISNUMBER(SEARCH("engineer",B226)),"Engineer (Technical)",ISNUMBER(SEARCH("manager",B226)),"Manager",OR(ISNUMBER(SEARCH("teacher",B226)),ISNUMBER(SEARCH("trainer",B226)),ISNUMBER(SEARCH("faculty",B226))),"Teacher / Trainer",OR(ISNUMBER(SEARCH("doctor",B226)),ISNUMBER(SEARCH("nurse",B226)),ISNUMBER(SEARCH("medical",B226)),ISNUMBER(SEARCH("pharma",B226)),ISNUMBER(SEARCH("clinical",B226))),"Healthcare",TRUE,"Other")</f>
        <v/>
      </c>
      <c r="B141">
        <f>IF(PROPER(TRIM(Raw_Data!D224))="Bangalore","Bengaluru",IF(PROPER(TRIM(Raw_Data!D224))="Gurgaon","Gurugram",IF(OR(PROPER(TRIM(Raw_Data!D224))="New Delhi",PROPER(TRIM(Raw_Data!D224))="Delhi"),"Delhi",PROPER(TRIM(Raw_Data!D224)))))</f>
        <v/>
      </c>
      <c r="C141">
        <f>IF(TRIM(Raw_Data!F224&amp;"")="","Not Specified",Raw_Data!F224)</f>
        <v/>
      </c>
      <c r="D141">
        <f>Raw_Data!H224</f>
        <v/>
      </c>
      <c r="E141">
        <f>Raw_Data!E224</f>
        <v/>
      </c>
    </row>
    <row r="142">
      <c r="A142">
        <f>_xlfn.IFS(ISNUMBER(SEARCH("data analy",B227)),"Data Analyst",ISNUMBER(SEARCH("business analy",B227)),"Business Analyst",OR(ISNUMBER(SEARCH("developer",B227)),ISNUMBER(SEARCH("software engineer",B227)),ISNUMBER(SEARCH("programmer",B227))),"Software Developer",ISNUMBER(SEARCH("business development",B227)),"Business Development",ISNUMBER(SEARCH("sales",B227)),"Sales Executive",ISNUMBER(SEARCH("marketing",B227)),"Marketing Executive",OR(ISNUMBER(SEARCH("hr ",B227)),ISNUMBER(SEARCH("recruit",B227)),ISNUMBER(SEARCH("human resource",B227))),"HR / Recruiter",OR(ISNUMBER(SEARCH("account",B227)),ISNUMBER(SEARCH("finance",B227)),ISNUMBER(SEARCH("tax",B227)),ISNUMBER(SEARCH("audit",B227))),"Accountant / Finance",OR(ISNUMBER(SEARCH("customer service",B227)),ISNUMBER(SEARCH("customer support",B227)),ISNUMBER(SEARCH("customer care",B227)),ISNUMBER(SEARCH("voice process",B227)),ISNUMBER(SEARCH("bpo",B227))),"Customer Support",ISNUMBER(SEARCH("engineer",B227)),"Engineer (Technical)",ISNUMBER(SEARCH("manager",B227)),"Manager",OR(ISNUMBER(SEARCH("teacher",B227)),ISNUMBER(SEARCH("trainer",B227)),ISNUMBER(SEARCH("faculty",B227))),"Teacher / Trainer",OR(ISNUMBER(SEARCH("doctor",B227)),ISNUMBER(SEARCH("nurse",B227)),ISNUMBER(SEARCH("medical",B227)),ISNUMBER(SEARCH("pharma",B227)),ISNUMBER(SEARCH("clinical",B227))),"Healthcare",TRUE,"Other")</f>
        <v/>
      </c>
      <c r="B142">
        <f>IF(PROPER(TRIM(Raw_Data!D225))="Bangalore","Bengaluru",IF(PROPER(TRIM(Raw_Data!D225))="Gurgaon","Gurugram",IF(OR(PROPER(TRIM(Raw_Data!D225))="New Delhi",PROPER(TRIM(Raw_Data!D225))="Delhi"),"Delhi",PROPER(TRIM(Raw_Data!D225)))))</f>
        <v/>
      </c>
      <c r="C142">
        <f>IF(TRIM(Raw_Data!F225&amp;"")="","Not Specified",Raw_Data!F225)</f>
        <v/>
      </c>
      <c r="D142">
        <f>Raw_Data!H225</f>
        <v/>
      </c>
      <c r="E142">
        <f>Raw_Data!E225</f>
        <v/>
      </c>
    </row>
    <row r="143">
      <c r="A143">
        <f>_xlfn.IFS(ISNUMBER(SEARCH("data analy",B228)),"Data Analyst",ISNUMBER(SEARCH("business analy",B228)),"Business Analyst",OR(ISNUMBER(SEARCH("developer",B228)),ISNUMBER(SEARCH("software engineer",B228)),ISNUMBER(SEARCH("programmer",B228))),"Software Developer",ISNUMBER(SEARCH("business development",B228)),"Business Development",ISNUMBER(SEARCH("sales",B228)),"Sales Executive",ISNUMBER(SEARCH("marketing",B228)),"Marketing Executive",OR(ISNUMBER(SEARCH("hr ",B228)),ISNUMBER(SEARCH("recruit",B228)),ISNUMBER(SEARCH("human resource",B228))),"HR / Recruiter",OR(ISNUMBER(SEARCH("account",B228)),ISNUMBER(SEARCH("finance",B228)),ISNUMBER(SEARCH("tax",B228)),ISNUMBER(SEARCH("audit",B228))),"Accountant / Finance",OR(ISNUMBER(SEARCH("customer service",B228)),ISNUMBER(SEARCH("customer support",B228)),ISNUMBER(SEARCH("customer care",B228)),ISNUMBER(SEARCH("voice process",B228)),ISNUMBER(SEARCH("bpo",B228))),"Customer Support",ISNUMBER(SEARCH("engineer",B228)),"Engineer (Technical)",ISNUMBER(SEARCH("manager",B228)),"Manager",OR(ISNUMBER(SEARCH("teacher",B228)),ISNUMBER(SEARCH("trainer",B228)),ISNUMBER(SEARCH("faculty",B228))),"Teacher / Trainer",OR(ISNUMBER(SEARCH("doctor",B228)),ISNUMBER(SEARCH("nurse",B228)),ISNUMBER(SEARCH("medical",B228)),ISNUMBER(SEARCH("pharma",B228)),ISNUMBER(SEARCH("clinical",B228))),"Healthcare",TRUE,"Other")</f>
        <v/>
      </c>
      <c r="B143">
        <f>IF(PROPER(TRIM(Raw_Data!D226))="Bangalore","Bengaluru",IF(PROPER(TRIM(Raw_Data!D226))="Gurgaon","Gurugram",IF(OR(PROPER(TRIM(Raw_Data!D226))="New Delhi",PROPER(TRIM(Raw_Data!D226))="Delhi"),"Delhi",PROPER(TRIM(Raw_Data!D226)))))</f>
        <v/>
      </c>
      <c r="C143">
        <f>IF(TRIM(Raw_Data!F226&amp;"")="","Not Specified",Raw_Data!F226)</f>
        <v/>
      </c>
      <c r="D143">
        <f>Raw_Data!H226</f>
        <v/>
      </c>
      <c r="E143">
        <f>Raw_Data!E226</f>
        <v/>
      </c>
    </row>
    <row r="144">
      <c r="A144">
        <f>_xlfn.IFS(ISNUMBER(SEARCH("data analy",B229)),"Data Analyst",ISNUMBER(SEARCH("business analy",B229)),"Business Analyst",OR(ISNUMBER(SEARCH("developer",B229)),ISNUMBER(SEARCH("software engineer",B229)),ISNUMBER(SEARCH("programmer",B229))),"Software Developer",ISNUMBER(SEARCH("business development",B229)),"Business Development",ISNUMBER(SEARCH("sales",B229)),"Sales Executive",ISNUMBER(SEARCH("marketing",B229)),"Marketing Executive",OR(ISNUMBER(SEARCH("hr ",B229)),ISNUMBER(SEARCH("recruit",B229)),ISNUMBER(SEARCH("human resource",B229))),"HR / Recruiter",OR(ISNUMBER(SEARCH("account",B229)),ISNUMBER(SEARCH("finance",B229)),ISNUMBER(SEARCH("tax",B229)),ISNUMBER(SEARCH("audit",B229))),"Accountant / Finance",OR(ISNUMBER(SEARCH("customer service",B229)),ISNUMBER(SEARCH("customer support",B229)),ISNUMBER(SEARCH("customer care",B229)),ISNUMBER(SEARCH("voice process",B229)),ISNUMBER(SEARCH("bpo",B229))),"Customer Support",ISNUMBER(SEARCH("engineer",B229)),"Engineer (Technical)",ISNUMBER(SEARCH("manager",B229)),"Manager",OR(ISNUMBER(SEARCH("teacher",B229)),ISNUMBER(SEARCH("trainer",B229)),ISNUMBER(SEARCH("faculty",B229))),"Teacher / Trainer",OR(ISNUMBER(SEARCH("doctor",B229)),ISNUMBER(SEARCH("nurse",B229)),ISNUMBER(SEARCH("medical",B229)),ISNUMBER(SEARCH("pharma",B229)),ISNUMBER(SEARCH("clinical",B229))),"Healthcare",TRUE,"Other")</f>
        <v/>
      </c>
      <c r="B144">
        <f>IF(PROPER(TRIM(Raw_Data!D227))="Bangalore","Bengaluru",IF(PROPER(TRIM(Raw_Data!D227))="Gurgaon","Gurugram",IF(OR(PROPER(TRIM(Raw_Data!D227))="New Delhi",PROPER(TRIM(Raw_Data!D227))="Delhi"),"Delhi",PROPER(TRIM(Raw_Data!D227)))))</f>
        <v/>
      </c>
      <c r="C144">
        <f>IF(TRIM(Raw_Data!F227&amp;"")="","Not Specified",Raw_Data!F227)</f>
        <v/>
      </c>
      <c r="D144">
        <f>Raw_Data!H227</f>
        <v/>
      </c>
      <c r="E144">
        <f>Raw_Data!E227</f>
        <v/>
      </c>
    </row>
    <row r="145">
      <c r="A145">
        <f>_xlfn.IFS(ISNUMBER(SEARCH("data analy",B23)),"Data Analyst",ISNUMBER(SEARCH("business analy",B23)),"Business Analyst",OR(ISNUMBER(SEARCH("developer",B23)),ISNUMBER(SEARCH("software engineer",B23)),ISNUMBER(SEARCH("programmer",B23))),"Software Developer",ISNUMBER(SEARCH("business development",B23)),"Business Development",ISNUMBER(SEARCH("sales",B23)),"Sales Executive",ISNUMBER(SEARCH("marketing",B23)),"Marketing Executive",OR(ISNUMBER(SEARCH("hr ",B23)),ISNUMBER(SEARCH("recruit",B23)),ISNUMBER(SEARCH("human resource",B23))),"HR / Recruiter",OR(ISNUMBER(SEARCH("account",B23)),ISNUMBER(SEARCH("finance",B23)),ISNUMBER(SEARCH("tax",B23)),ISNUMBER(SEARCH("audit",B23))),"Accountant / Finance",OR(ISNUMBER(SEARCH("customer service",B23)),ISNUMBER(SEARCH("customer support",B23)),ISNUMBER(SEARCH("customer care",B23)),ISNUMBER(SEARCH("voice process",B23)),ISNUMBER(SEARCH("bpo",B23))),"Customer Support",ISNUMBER(SEARCH("engineer",B23)),"Engineer (Technical)",ISNUMBER(SEARCH("manager",B23)),"Manager",OR(ISNUMBER(SEARCH("teacher",B23)),ISNUMBER(SEARCH("trainer",B23)),ISNUMBER(SEARCH("faculty",B23))),"Teacher / Trainer",OR(ISNUMBER(SEARCH("doctor",B23)),ISNUMBER(SEARCH("nurse",B23)),ISNUMBER(SEARCH("medical",B23)),ISNUMBER(SEARCH("pharma",B23)),ISNUMBER(SEARCH("clinical",B23))),"Healthcare",TRUE,"Other")</f>
        <v/>
      </c>
      <c r="B145">
        <f>IF(PROPER(TRIM(Raw_Data!D228))="Bangalore","Bengaluru",IF(PROPER(TRIM(Raw_Data!D228))="Gurgaon","Gurugram",IF(OR(PROPER(TRIM(Raw_Data!D228))="New Delhi",PROPER(TRIM(Raw_Data!D228))="Delhi"),"Delhi",PROPER(TRIM(Raw_Data!D228)))))</f>
        <v/>
      </c>
      <c r="C145">
        <f>IF(TRIM(Raw_Data!F228&amp;"")="","Not Specified",Raw_Data!F228)</f>
        <v/>
      </c>
      <c r="D145">
        <f>Raw_Data!H228</f>
        <v/>
      </c>
      <c r="E145">
        <f>Raw_Data!E228</f>
        <v/>
      </c>
    </row>
    <row r="146">
      <c r="A146">
        <f>_xlfn.IFS(ISNUMBER(SEARCH("data analy",B230)),"Data Analyst",ISNUMBER(SEARCH("business analy",B230)),"Business Analyst",OR(ISNUMBER(SEARCH("developer",B230)),ISNUMBER(SEARCH("software engineer",B230)),ISNUMBER(SEARCH("programmer",B230))),"Software Developer",ISNUMBER(SEARCH("business development",B230)),"Business Development",ISNUMBER(SEARCH("sales",B230)),"Sales Executive",ISNUMBER(SEARCH("marketing",B230)),"Marketing Executive",OR(ISNUMBER(SEARCH("hr ",B230)),ISNUMBER(SEARCH("recruit",B230)),ISNUMBER(SEARCH("human resource",B230))),"HR / Recruiter",OR(ISNUMBER(SEARCH("account",B230)),ISNUMBER(SEARCH("finance",B230)),ISNUMBER(SEARCH("tax",B230)),ISNUMBER(SEARCH("audit",B230))),"Accountant / Finance",OR(ISNUMBER(SEARCH("customer service",B230)),ISNUMBER(SEARCH("customer support",B230)),ISNUMBER(SEARCH("customer care",B230)),ISNUMBER(SEARCH("voice process",B230)),ISNUMBER(SEARCH("bpo",B230))),"Customer Support",ISNUMBER(SEARCH("engineer",B230)),"Engineer (Technical)",ISNUMBER(SEARCH("manager",B230)),"Manager",OR(ISNUMBER(SEARCH("teacher",B230)),ISNUMBER(SEARCH("trainer",B230)),ISNUMBER(SEARCH("faculty",B230))),"Teacher / Trainer",OR(ISNUMBER(SEARCH("doctor",B230)),ISNUMBER(SEARCH("nurse",B230)),ISNUMBER(SEARCH("medical",B230)),ISNUMBER(SEARCH("pharma",B230)),ISNUMBER(SEARCH("clinical",B230))),"Healthcare",TRUE,"Other")</f>
        <v/>
      </c>
      <c r="B146">
        <f>IF(PROPER(TRIM(Raw_Data!D229))="Bangalore","Bengaluru",IF(PROPER(TRIM(Raw_Data!D229))="Gurgaon","Gurugram",IF(OR(PROPER(TRIM(Raw_Data!D229))="New Delhi",PROPER(TRIM(Raw_Data!D229))="Delhi"),"Delhi",PROPER(TRIM(Raw_Data!D229)))))</f>
        <v/>
      </c>
      <c r="C146">
        <f>IF(TRIM(Raw_Data!F229&amp;"")="","Not Specified",Raw_Data!F229)</f>
        <v/>
      </c>
      <c r="D146">
        <f>Raw_Data!H229</f>
        <v/>
      </c>
      <c r="E146">
        <f>Raw_Data!E229</f>
        <v/>
      </c>
    </row>
    <row r="147">
      <c r="A147">
        <f>_xlfn.IFS(ISNUMBER(SEARCH("data analy",B231)),"Data Analyst",ISNUMBER(SEARCH("business analy",B231)),"Business Analyst",OR(ISNUMBER(SEARCH("developer",B231)),ISNUMBER(SEARCH("software engineer",B231)),ISNUMBER(SEARCH("programmer",B231))),"Software Developer",ISNUMBER(SEARCH("business development",B231)),"Business Development",ISNUMBER(SEARCH("sales",B231)),"Sales Executive",ISNUMBER(SEARCH("marketing",B231)),"Marketing Executive",OR(ISNUMBER(SEARCH("hr ",B231)),ISNUMBER(SEARCH("recruit",B231)),ISNUMBER(SEARCH("human resource",B231))),"HR / Recruiter",OR(ISNUMBER(SEARCH("account",B231)),ISNUMBER(SEARCH("finance",B231)),ISNUMBER(SEARCH("tax",B231)),ISNUMBER(SEARCH("audit",B231))),"Accountant / Finance",OR(ISNUMBER(SEARCH("customer service",B231)),ISNUMBER(SEARCH("customer support",B231)),ISNUMBER(SEARCH("customer care",B231)),ISNUMBER(SEARCH("voice process",B231)),ISNUMBER(SEARCH("bpo",B231))),"Customer Support",ISNUMBER(SEARCH("engineer",B231)),"Engineer (Technical)",ISNUMBER(SEARCH("manager",B231)),"Manager",OR(ISNUMBER(SEARCH("teacher",B231)),ISNUMBER(SEARCH("trainer",B231)),ISNUMBER(SEARCH("faculty",B231))),"Teacher / Trainer",OR(ISNUMBER(SEARCH("doctor",B231)),ISNUMBER(SEARCH("nurse",B231)),ISNUMBER(SEARCH("medical",B231)),ISNUMBER(SEARCH("pharma",B231)),ISNUMBER(SEARCH("clinical",B231))),"Healthcare",TRUE,"Other")</f>
        <v/>
      </c>
      <c r="B147">
        <f>IF(PROPER(TRIM(Raw_Data!D23))="Bangalore","Bengaluru",IF(PROPER(TRIM(Raw_Data!D23))="Gurgaon","Gurugram",IF(OR(PROPER(TRIM(Raw_Data!D23))="New Delhi",PROPER(TRIM(Raw_Data!D23))="Delhi"),"Delhi",PROPER(TRIM(Raw_Data!D23)))))</f>
        <v/>
      </c>
      <c r="C147">
        <f>IF(TRIM(Raw_Data!F23&amp;"")="","Not Specified",Raw_Data!F23)</f>
        <v/>
      </c>
      <c r="D147">
        <f>Raw_Data!H23</f>
        <v/>
      </c>
      <c r="E147">
        <f>Raw_Data!E23</f>
        <v/>
      </c>
    </row>
    <row r="148">
      <c r="A148">
        <f>_xlfn.IFS(ISNUMBER(SEARCH("data analy",B232)),"Data Analyst",ISNUMBER(SEARCH("business analy",B232)),"Business Analyst",OR(ISNUMBER(SEARCH("developer",B232)),ISNUMBER(SEARCH("software engineer",B232)),ISNUMBER(SEARCH("programmer",B232))),"Software Developer",ISNUMBER(SEARCH("business development",B232)),"Business Development",ISNUMBER(SEARCH("sales",B232)),"Sales Executive",ISNUMBER(SEARCH("marketing",B232)),"Marketing Executive",OR(ISNUMBER(SEARCH("hr ",B232)),ISNUMBER(SEARCH("recruit",B232)),ISNUMBER(SEARCH("human resource",B232))),"HR / Recruiter",OR(ISNUMBER(SEARCH("account",B232)),ISNUMBER(SEARCH("finance",B232)),ISNUMBER(SEARCH("tax",B232)),ISNUMBER(SEARCH("audit",B232))),"Accountant / Finance",OR(ISNUMBER(SEARCH("customer service",B232)),ISNUMBER(SEARCH("customer support",B232)),ISNUMBER(SEARCH("customer care",B232)),ISNUMBER(SEARCH("voice process",B232)),ISNUMBER(SEARCH("bpo",B232))),"Customer Support",ISNUMBER(SEARCH("engineer",B232)),"Engineer (Technical)",ISNUMBER(SEARCH("manager",B232)),"Manager",OR(ISNUMBER(SEARCH("teacher",B232)),ISNUMBER(SEARCH("trainer",B232)),ISNUMBER(SEARCH("faculty",B232))),"Teacher / Trainer",OR(ISNUMBER(SEARCH("doctor",B232)),ISNUMBER(SEARCH("nurse",B232)),ISNUMBER(SEARCH("medical",B232)),ISNUMBER(SEARCH("pharma",B232)),ISNUMBER(SEARCH("clinical",B232))),"Healthcare",TRUE,"Other")</f>
        <v/>
      </c>
      <c r="B148">
        <f>IF(PROPER(TRIM(Raw_Data!D230))="Bangalore","Bengaluru",IF(PROPER(TRIM(Raw_Data!D230))="Gurgaon","Gurugram",IF(OR(PROPER(TRIM(Raw_Data!D230))="New Delhi",PROPER(TRIM(Raw_Data!D230))="Delhi"),"Delhi",PROPER(TRIM(Raw_Data!D230)))))</f>
        <v/>
      </c>
      <c r="C148">
        <f>IF(TRIM(Raw_Data!F230&amp;"")="","Not Specified",Raw_Data!F230)</f>
        <v/>
      </c>
      <c r="D148">
        <f>Raw_Data!H230</f>
        <v/>
      </c>
      <c r="E148">
        <f>Raw_Data!E230</f>
        <v/>
      </c>
    </row>
    <row r="149">
      <c r="A149">
        <f>_xlfn.IFS(ISNUMBER(SEARCH("data analy",B233)),"Data Analyst",ISNUMBER(SEARCH("business analy",B233)),"Business Analyst",OR(ISNUMBER(SEARCH("developer",B233)),ISNUMBER(SEARCH("software engineer",B233)),ISNUMBER(SEARCH("programmer",B233))),"Software Developer",ISNUMBER(SEARCH("business development",B233)),"Business Development",ISNUMBER(SEARCH("sales",B233)),"Sales Executive",ISNUMBER(SEARCH("marketing",B233)),"Marketing Executive",OR(ISNUMBER(SEARCH("hr ",B233)),ISNUMBER(SEARCH("recruit",B233)),ISNUMBER(SEARCH("human resource",B233))),"HR / Recruiter",OR(ISNUMBER(SEARCH("account",B233)),ISNUMBER(SEARCH("finance",B233)),ISNUMBER(SEARCH("tax",B233)),ISNUMBER(SEARCH("audit",B233))),"Accountant / Finance",OR(ISNUMBER(SEARCH("customer service",B233)),ISNUMBER(SEARCH("customer support",B233)),ISNUMBER(SEARCH("customer care",B233)),ISNUMBER(SEARCH("voice process",B233)),ISNUMBER(SEARCH("bpo",B233))),"Customer Support",ISNUMBER(SEARCH("engineer",B233)),"Engineer (Technical)",ISNUMBER(SEARCH("manager",B233)),"Manager",OR(ISNUMBER(SEARCH("teacher",B233)),ISNUMBER(SEARCH("trainer",B233)),ISNUMBER(SEARCH("faculty",B233))),"Teacher / Trainer",OR(ISNUMBER(SEARCH("doctor",B233)),ISNUMBER(SEARCH("nurse",B233)),ISNUMBER(SEARCH("medical",B233)),ISNUMBER(SEARCH("pharma",B233)),ISNUMBER(SEARCH("clinical",B233))),"Healthcare",TRUE,"Other")</f>
        <v/>
      </c>
      <c r="B149">
        <f>IF(PROPER(TRIM(Raw_Data!D231))="Bangalore","Bengaluru",IF(PROPER(TRIM(Raw_Data!D231))="Gurgaon","Gurugram",IF(OR(PROPER(TRIM(Raw_Data!D231))="New Delhi",PROPER(TRIM(Raw_Data!D231))="Delhi"),"Delhi",PROPER(TRIM(Raw_Data!D231)))))</f>
        <v/>
      </c>
      <c r="C149">
        <f>IF(TRIM(Raw_Data!F231&amp;"")="","Not Specified",Raw_Data!F231)</f>
        <v/>
      </c>
      <c r="D149">
        <f>Raw_Data!H231</f>
        <v/>
      </c>
      <c r="E149">
        <f>Raw_Data!E231</f>
        <v/>
      </c>
    </row>
    <row r="150">
      <c r="A150">
        <f>_xlfn.IFS(ISNUMBER(SEARCH("data analy",B234)),"Data Analyst",ISNUMBER(SEARCH("business analy",B234)),"Business Analyst",OR(ISNUMBER(SEARCH("developer",B234)),ISNUMBER(SEARCH("software engineer",B234)),ISNUMBER(SEARCH("programmer",B234))),"Software Developer",ISNUMBER(SEARCH("business development",B234)),"Business Development",ISNUMBER(SEARCH("sales",B234)),"Sales Executive",ISNUMBER(SEARCH("marketing",B234)),"Marketing Executive",OR(ISNUMBER(SEARCH("hr ",B234)),ISNUMBER(SEARCH("recruit",B234)),ISNUMBER(SEARCH("human resource",B234))),"HR / Recruiter",OR(ISNUMBER(SEARCH("account",B234)),ISNUMBER(SEARCH("finance",B234)),ISNUMBER(SEARCH("tax",B234)),ISNUMBER(SEARCH("audit",B234))),"Accountant / Finance",OR(ISNUMBER(SEARCH("customer service",B234)),ISNUMBER(SEARCH("customer support",B234)),ISNUMBER(SEARCH("customer care",B234)),ISNUMBER(SEARCH("voice process",B234)),ISNUMBER(SEARCH("bpo",B234))),"Customer Support",ISNUMBER(SEARCH("engineer",B234)),"Engineer (Technical)",ISNUMBER(SEARCH("manager",B234)),"Manager",OR(ISNUMBER(SEARCH("teacher",B234)),ISNUMBER(SEARCH("trainer",B234)),ISNUMBER(SEARCH("faculty",B234))),"Teacher / Trainer",OR(ISNUMBER(SEARCH("doctor",B234)),ISNUMBER(SEARCH("nurse",B234)),ISNUMBER(SEARCH("medical",B234)),ISNUMBER(SEARCH("pharma",B234)),ISNUMBER(SEARCH("clinical",B234))),"Healthcare",TRUE,"Other")</f>
        <v/>
      </c>
      <c r="B150">
        <f>IF(PROPER(TRIM(Raw_Data!D232))="Bangalore","Bengaluru",IF(PROPER(TRIM(Raw_Data!D232))="Gurgaon","Gurugram",IF(OR(PROPER(TRIM(Raw_Data!D232))="New Delhi",PROPER(TRIM(Raw_Data!D232))="Delhi"),"Delhi",PROPER(TRIM(Raw_Data!D232)))))</f>
        <v/>
      </c>
      <c r="C150">
        <f>IF(TRIM(Raw_Data!F232&amp;"")="","Not Specified",Raw_Data!F232)</f>
        <v/>
      </c>
      <c r="D150">
        <f>Raw_Data!H232</f>
        <v/>
      </c>
      <c r="E150">
        <f>Raw_Data!E232</f>
        <v/>
      </c>
    </row>
    <row r="151">
      <c r="A151">
        <f>_xlfn.IFS(ISNUMBER(SEARCH("data analy",B235)),"Data Analyst",ISNUMBER(SEARCH("business analy",B235)),"Business Analyst",OR(ISNUMBER(SEARCH("developer",B235)),ISNUMBER(SEARCH("software engineer",B235)),ISNUMBER(SEARCH("programmer",B235))),"Software Developer",ISNUMBER(SEARCH("business development",B235)),"Business Development",ISNUMBER(SEARCH("sales",B235)),"Sales Executive",ISNUMBER(SEARCH("marketing",B235)),"Marketing Executive",OR(ISNUMBER(SEARCH("hr ",B235)),ISNUMBER(SEARCH("recruit",B235)),ISNUMBER(SEARCH("human resource",B235))),"HR / Recruiter",OR(ISNUMBER(SEARCH("account",B235)),ISNUMBER(SEARCH("finance",B235)),ISNUMBER(SEARCH("tax",B235)),ISNUMBER(SEARCH("audit",B235))),"Accountant / Finance",OR(ISNUMBER(SEARCH("customer service",B235)),ISNUMBER(SEARCH("customer support",B235)),ISNUMBER(SEARCH("customer care",B235)),ISNUMBER(SEARCH("voice process",B235)),ISNUMBER(SEARCH("bpo",B235))),"Customer Support",ISNUMBER(SEARCH("engineer",B235)),"Engineer (Technical)",ISNUMBER(SEARCH("manager",B235)),"Manager",OR(ISNUMBER(SEARCH("teacher",B235)),ISNUMBER(SEARCH("trainer",B235)),ISNUMBER(SEARCH("faculty",B235))),"Teacher / Trainer",OR(ISNUMBER(SEARCH("doctor",B235)),ISNUMBER(SEARCH("nurse",B235)),ISNUMBER(SEARCH("medical",B235)),ISNUMBER(SEARCH("pharma",B235)),ISNUMBER(SEARCH("clinical",B235))),"Healthcare",TRUE,"Other")</f>
        <v/>
      </c>
      <c r="B151">
        <f>IF(PROPER(TRIM(Raw_Data!D233))="Bangalore","Bengaluru",IF(PROPER(TRIM(Raw_Data!D233))="Gurgaon","Gurugram",IF(OR(PROPER(TRIM(Raw_Data!D233))="New Delhi",PROPER(TRIM(Raw_Data!D233))="Delhi"),"Delhi",PROPER(TRIM(Raw_Data!D233)))))</f>
        <v/>
      </c>
      <c r="C151">
        <f>IF(TRIM(Raw_Data!F233&amp;"")="","Not Specified",Raw_Data!F233)</f>
        <v/>
      </c>
      <c r="D151">
        <f>Raw_Data!H233</f>
        <v/>
      </c>
      <c r="E151">
        <f>Raw_Data!E233</f>
        <v/>
      </c>
    </row>
    <row r="152">
      <c r="A152">
        <f>_xlfn.IFS(ISNUMBER(SEARCH("data analy",B236)),"Data Analyst",ISNUMBER(SEARCH("business analy",B236)),"Business Analyst",OR(ISNUMBER(SEARCH("developer",B236)),ISNUMBER(SEARCH("software engineer",B236)),ISNUMBER(SEARCH("programmer",B236))),"Software Developer",ISNUMBER(SEARCH("business development",B236)),"Business Development",ISNUMBER(SEARCH("sales",B236)),"Sales Executive",ISNUMBER(SEARCH("marketing",B236)),"Marketing Executive",OR(ISNUMBER(SEARCH("hr ",B236)),ISNUMBER(SEARCH("recruit",B236)),ISNUMBER(SEARCH("human resource",B236))),"HR / Recruiter",OR(ISNUMBER(SEARCH("account",B236)),ISNUMBER(SEARCH("finance",B236)),ISNUMBER(SEARCH("tax",B236)),ISNUMBER(SEARCH("audit",B236))),"Accountant / Finance",OR(ISNUMBER(SEARCH("customer service",B236)),ISNUMBER(SEARCH("customer support",B236)),ISNUMBER(SEARCH("customer care",B236)),ISNUMBER(SEARCH("voice process",B236)),ISNUMBER(SEARCH("bpo",B236))),"Customer Support",ISNUMBER(SEARCH("engineer",B236)),"Engineer (Technical)",ISNUMBER(SEARCH("manager",B236)),"Manager",OR(ISNUMBER(SEARCH("teacher",B236)),ISNUMBER(SEARCH("trainer",B236)),ISNUMBER(SEARCH("faculty",B236))),"Teacher / Trainer",OR(ISNUMBER(SEARCH("doctor",B236)),ISNUMBER(SEARCH("nurse",B236)),ISNUMBER(SEARCH("medical",B236)),ISNUMBER(SEARCH("pharma",B236)),ISNUMBER(SEARCH("clinical",B236))),"Healthcare",TRUE,"Other")</f>
        <v/>
      </c>
      <c r="B152">
        <f>IF(PROPER(TRIM(Raw_Data!D234))="Bangalore","Bengaluru",IF(PROPER(TRIM(Raw_Data!D234))="Gurgaon","Gurugram",IF(OR(PROPER(TRIM(Raw_Data!D234))="New Delhi",PROPER(TRIM(Raw_Data!D234))="Delhi"),"Delhi",PROPER(TRIM(Raw_Data!D234)))))</f>
        <v/>
      </c>
      <c r="C152">
        <f>IF(TRIM(Raw_Data!F234&amp;"")="","Not Specified",Raw_Data!F234)</f>
        <v/>
      </c>
      <c r="D152">
        <f>Raw_Data!H234</f>
        <v/>
      </c>
      <c r="E152">
        <f>Raw_Data!E234</f>
        <v/>
      </c>
    </row>
    <row r="153">
      <c r="A153">
        <f>_xlfn.IFS(ISNUMBER(SEARCH("data analy",B237)),"Data Analyst",ISNUMBER(SEARCH("business analy",B237)),"Business Analyst",OR(ISNUMBER(SEARCH("developer",B237)),ISNUMBER(SEARCH("software engineer",B237)),ISNUMBER(SEARCH("programmer",B237))),"Software Developer",ISNUMBER(SEARCH("business development",B237)),"Business Development",ISNUMBER(SEARCH("sales",B237)),"Sales Executive",ISNUMBER(SEARCH("marketing",B237)),"Marketing Executive",OR(ISNUMBER(SEARCH("hr ",B237)),ISNUMBER(SEARCH("recruit",B237)),ISNUMBER(SEARCH("human resource",B237))),"HR / Recruiter",OR(ISNUMBER(SEARCH("account",B237)),ISNUMBER(SEARCH("finance",B237)),ISNUMBER(SEARCH("tax",B237)),ISNUMBER(SEARCH("audit",B237))),"Accountant / Finance",OR(ISNUMBER(SEARCH("customer service",B237)),ISNUMBER(SEARCH("customer support",B237)),ISNUMBER(SEARCH("customer care",B237)),ISNUMBER(SEARCH("voice process",B237)),ISNUMBER(SEARCH("bpo",B237))),"Customer Support",ISNUMBER(SEARCH("engineer",B237)),"Engineer (Technical)",ISNUMBER(SEARCH("manager",B237)),"Manager",OR(ISNUMBER(SEARCH("teacher",B237)),ISNUMBER(SEARCH("trainer",B237)),ISNUMBER(SEARCH("faculty",B237))),"Teacher / Trainer",OR(ISNUMBER(SEARCH("doctor",B237)),ISNUMBER(SEARCH("nurse",B237)),ISNUMBER(SEARCH("medical",B237)),ISNUMBER(SEARCH("pharma",B237)),ISNUMBER(SEARCH("clinical",B237))),"Healthcare",TRUE,"Other")</f>
        <v/>
      </c>
      <c r="B153">
        <f>IF(PROPER(TRIM(Raw_Data!D235))="Bangalore","Bengaluru",IF(PROPER(TRIM(Raw_Data!D235))="Gurgaon","Gurugram",IF(OR(PROPER(TRIM(Raw_Data!D235))="New Delhi",PROPER(TRIM(Raw_Data!D235))="Delhi"),"Delhi",PROPER(TRIM(Raw_Data!D235)))))</f>
        <v/>
      </c>
      <c r="C153">
        <f>IF(TRIM(Raw_Data!F235&amp;"")="","Not Specified",Raw_Data!F235)</f>
        <v/>
      </c>
      <c r="D153">
        <f>Raw_Data!H235</f>
        <v/>
      </c>
      <c r="E153">
        <f>Raw_Data!E235</f>
        <v/>
      </c>
    </row>
    <row r="154">
      <c r="A154">
        <f>_xlfn.IFS(ISNUMBER(SEARCH("data analy",B238)),"Data Analyst",ISNUMBER(SEARCH("business analy",B238)),"Business Analyst",OR(ISNUMBER(SEARCH("developer",B238)),ISNUMBER(SEARCH("software engineer",B238)),ISNUMBER(SEARCH("programmer",B238))),"Software Developer",ISNUMBER(SEARCH("business development",B238)),"Business Development",ISNUMBER(SEARCH("sales",B238)),"Sales Executive",ISNUMBER(SEARCH("marketing",B238)),"Marketing Executive",OR(ISNUMBER(SEARCH("hr ",B238)),ISNUMBER(SEARCH("recruit",B238)),ISNUMBER(SEARCH("human resource",B238))),"HR / Recruiter",OR(ISNUMBER(SEARCH("account",B238)),ISNUMBER(SEARCH("finance",B238)),ISNUMBER(SEARCH("tax",B238)),ISNUMBER(SEARCH("audit",B238))),"Accountant / Finance",OR(ISNUMBER(SEARCH("customer service",B238)),ISNUMBER(SEARCH("customer support",B238)),ISNUMBER(SEARCH("customer care",B238)),ISNUMBER(SEARCH("voice process",B238)),ISNUMBER(SEARCH("bpo",B238))),"Customer Support",ISNUMBER(SEARCH("engineer",B238)),"Engineer (Technical)",ISNUMBER(SEARCH("manager",B238)),"Manager",OR(ISNUMBER(SEARCH("teacher",B238)),ISNUMBER(SEARCH("trainer",B238)),ISNUMBER(SEARCH("faculty",B238))),"Teacher / Trainer",OR(ISNUMBER(SEARCH("doctor",B238)),ISNUMBER(SEARCH("nurse",B238)),ISNUMBER(SEARCH("medical",B238)),ISNUMBER(SEARCH("pharma",B238)),ISNUMBER(SEARCH("clinical",B238))),"Healthcare",TRUE,"Other")</f>
        <v/>
      </c>
      <c r="B154">
        <f>IF(PROPER(TRIM(Raw_Data!D236))="Bangalore","Bengaluru",IF(PROPER(TRIM(Raw_Data!D236))="Gurgaon","Gurugram",IF(OR(PROPER(TRIM(Raw_Data!D236))="New Delhi",PROPER(TRIM(Raw_Data!D236))="Delhi"),"Delhi",PROPER(TRIM(Raw_Data!D236)))))</f>
        <v/>
      </c>
      <c r="C154">
        <f>IF(TRIM(Raw_Data!F236&amp;"")="","Not Specified",Raw_Data!F236)</f>
        <v/>
      </c>
      <c r="D154">
        <f>Raw_Data!H236</f>
        <v/>
      </c>
      <c r="E154">
        <f>Raw_Data!E236</f>
        <v/>
      </c>
    </row>
    <row r="155">
      <c r="A155">
        <f>_xlfn.IFS(ISNUMBER(SEARCH("data analy",B239)),"Data Analyst",ISNUMBER(SEARCH("business analy",B239)),"Business Analyst",OR(ISNUMBER(SEARCH("developer",B239)),ISNUMBER(SEARCH("software engineer",B239)),ISNUMBER(SEARCH("programmer",B239))),"Software Developer",ISNUMBER(SEARCH("business development",B239)),"Business Development",ISNUMBER(SEARCH("sales",B239)),"Sales Executive",ISNUMBER(SEARCH("marketing",B239)),"Marketing Executive",OR(ISNUMBER(SEARCH("hr ",B239)),ISNUMBER(SEARCH("recruit",B239)),ISNUMBER(SEARCH("human resource",B239))),"HR / Recruiter",OR(ISNUMBER(SEARCH("account",B239)),ISNUMBER(SEARCH("finance",B239)),ISNUMBER(SEARCH("tax",B239)),ISNUMBER(SEARCH("audit",B239))),"Accountant / Finance",OR(ISNUMBER(SEARCH("customer service",B239)),ISNUMBER(SEARCH("customer support",B239)),ISNUMBER(SEARCH("customer care",B239)),ISNUMBER(SEARCH("voice process",B239)),ISNUMBER(SEARCH("bpo",B239))),"Customer Support",ISNUMBER(SEARCH("engineer",B239)),"Engineer (Technical)",ISNUMBER(SEARCH("manager",B239)),"Manager",OR(ISNUMBER(SEARCH("teacher",B239)),ISNUMBER(SEARCH("trainer",B239)),ISNUMBER(SEARCH("faculty",B239))),"Teacher / Trainer",OR(ISNUMBER(SEARCH("doctor",B239)),ISNUMBER(SEARCH("nurse",B239)),ISNUMBER(SEARCH("medical",B239)),ISNUMBER(SEARCH("pharma",B239)),ISNUMBER(SEARCH("clinical",B239))),"Healthcare",TRUE,"Other")</f>
        <v/>
      </c>
      <c r="B155">
        <f>IF(PROPER(TRIM(Raw_Data!D237))="Bangalore","Bengaluru",IF(PROPER(TRIM(Raw_Data!D237))="Gurgaon","Gurugram",IF(OR(PROPER(TRIM(Raw_Data!D237))="New Delhi",PROPER(TRIM(Raw_Data!D237))="Delhi"),"Delhi",PROPER(TRIM(Raw_Data!D237)))))</f>
        <v/>
      </c>
      <c r="C155">
        <f>IF(TRIM(Raw_Data!F237&amp;"")="","Not Specified",Raw_Data!F237)</f>
        <v/>
      </c>
      <c r="D155">
        <f>Raw_Data!H237</f>
        <v/>
      </c>
      <c r="E155">
        <f>Raw_Data!E237</f>
        <v/>
      </c>
    </row>
    <row r="156">
      <c r="A156">
        <f>_xlfn.IFS(ISNUMBER(SEARCH("data analy",B24)),"Data Analyst",ISNUMBER(SEARCH("business analy",B24)),"Business Analyst",OR(ISNUMBER(SEARCH("developer",B24)),ISNUMBER(SEARCH("software engineer",B24)),ISNUMBER(SEARCH("programmer",B24))),"Software Developer",ISNUMBER(SEARCH("business development",B24)),"Business Development",ISNUMBER(SEARCH("sales",B24)),"Sales Executive",ISNUMBER(SEARCH("marketing",B24)),"Marketing Executive",OR(ISNUMBER(SEARCH("hr ",B24)),ISNUMBER(SEARCH("recruit",B24)),ISNUMBER(SEARCH("human resource",B24))),"HR / Recruiter",OR(ISNUMBER(SEARCH("account",B24)),ISNUMBER(SEARCH("finance",B24)),ISNUMBER(SEARCH("tax",B24)),ISNUMBER(SEARCH("audit",B24))),"Accountant / Finance",OR(ISNUMBER(SEARCH("customer service",B24)),ISNUMBER(SEARCH("customer support",B24)),ISNUMBER(SEARCH("customer care",B24)),ISNUMBER(SEARCH("voice process",B24)),ISNUMBER(SEARCH("bpo",B24))),"Customer Support",ISNUMBER(SEARCH("engineer",B24)),"Engineer (Technical)",ISNUMBER(SEARCH("manager",B24)),"Manager",OR(ISNUMBER(SEARCH("teacher",B24)),ISNUMBER(SEARCH("trainer",B24)),ISNUMBER(SEARCH("faculty",B24))),"Teacher / Trainer",OR(ISNUMBER(SEARCH("doctor",B24)),ISNUMBER(SEARCH("nurse",B24)),ISNUMBER(SEARCH("medical",B24)),ISNUMBER(SEARCH("pharma",B24)),ISNUMBER(SEARCH("clinical",B24))),"Healthcare",TRUE,"Other")</f>
        <v/>
      </c>
      <c r="B156">
        <f>IF(PROPER(TRIM(Raw_Data!D238))="Bangalore","Bengaluru",IF(PROPER(TRIM(Raw_Data!D238))="Gurgaon","Gurugram",IF(OR(PROPER(TRIM(Raw_Data!D238))="New Delhi",PROPER(TRIM(Raw_Data!D238))="Delhi"),"Delhi",PROPER(TRIM(Raw_Data!D238)))))</f>
        <v/>
      </c>
      <c r="C156">
        <f>IF(TRIM(Raw_Data!F238&amp;"")="","Not Specified",Raw_Data!F238)</f>
        <v/>
      </c>
      <c r="D156">
        <f>Raw_Data!H238</f>
        <v/>
      </c>
      <c r="E156">
        <f>Raw_Data!E238</f>
        <v/>
      </c>
    </row>
    <row r="157">
      <c r="A157">
        <f>_xlfn.IFS(ISNUMBER(SEARCH("data analy",B240)),"Data Analyst",ISNUMBER(SEARCH("business analy",B240)),"Business Analyst",OR(ISNUMBER(SEARCH("developer",B240)),ISNUMBER(SEARCH("software engineer",B240)),ISNUMBER(SEARCH("programmer",B240))),"Software Developer",ISNUMBER(SEARCH("business development",B240)),"Business Development",ISNUMBER(SEARCH("sales",B240)),"Sales Executive",ISNUMBER(SEARCH("marketing",B240)),"Marketing Executive",OR(ISNUMBER(SEARCH("hr ",B240)),ISNUMBER(SEARCH("recruit",B240)),ISNUMBER(SEARCH("human resource",B240))),"HR / Recruiter",OR(ISNUMBER(SEARCH("account",B240)),ISNUMBER(SEARCH("finance",B240)),ISNUMBER(SEARCH("tax",B240)),ISNUMBER(SEARCH("audit",B240))),"Accountant / Finance",OR(ISNUMBER(SEARCH("customer service",B240)),ISNUMBER(SEARCH("customer support",B240)),ISNUMBER(SEARCH("customer care",B240)),ISNUMBER(SEARCH("voice process",B240)),ISNUMBER(SEARCH("bpo",B240))),"Customer Support",ISNUMBER(SEARCH("engineer",B240)),"Engineer (Technical)",ISNUMBER(SEARCH("manager",B240)),"Manager",OR(ISNUMBER(SEARCH("teacher",B240)),ISNUMBER(SEARCH("trainer",B240)),ISNUMBER(SEARCH("faculty",B240))),"Teacher / Trainer",OR(ISNUMBER(SEARCH("doctor",B240)),ISNUMBER(SEARCH("nurse",B240)),ISNUMBER(SEARCH("medical",B240)),ISNUMBER(SEARCH("pharma",B240)),ISNUMBER(SEARCH("clinical",B240))),"Healthcare",TRUE,"Other")</f>
        <v/>
      </c>
      <c r="B157">
        <f>IF(PROPER(TRIM(Raw_Data!D239))="Bangalore","Bengaluru",IF(PROPER(TRIM(Raw_Data!D239))="Gurgaon","Gurugram",IF(OR(PROPER(TRIM(Raw_Data!D239))="New Delhi",PROPER(TRIM(Raw_Data!D239))="Delhi"),"Delhi",PROPER(TRIM(Raw_Data!D239)))))</f>
        <v/>
      </c>
      <c r="C157">
        <f>IF(TRIM(Raw_Data!F239&amp;"")="","Not Specified",Raw_Data!F239)</f>
        <v/>
      </c>
      <c r="D157">
        <f>Raw_Data!H239</f>
        <v/>
      </c>
      <c r="E157">
        <f>Raw_Data!E239</f>
        <v/>
      </c>
    </row>
    <row r="158">
      <c r="A158">
        <f>_xlfn.IFS(ISNUMBER(SEARCH("data analy",B241)),"Data Analyst",ISNUMBER(SEARCH("business analy",B241)),"Business Analyst",OR(ISNUMBER(SEARCH("developer",B241)),ISNUMBER(SEARCH("software engineer",B241)),ISNUMBER(SEARCH("programmer",B241))),"Software Developer",ISNUMBER(SEARCH("business development",B241)),"Business Development",ISNUMBER(SEARCH("sales",B241)),"Sales Executive",ISNUMBER(SEARCH("marketing",B241)),"Marketing Executive",OR(ISNUMBER(SEARCH("hr ",B241)),ISNUMBER(SEARCH("recruit",B241)),ISNUMBER(SEARCH("human resource",B241))),"HR / Recruiter",OR(ISNUMBER(SEARCH("account",B241)),ISNUMBER(SEARCH("finance",B241)),ISNUMBER(SEARCH("tax",B241)),ISNUMBER(SEARCH("audit",B241))),"Accountant / Finance",OR(ISNUMBER(SEARCH("customer service",B241)),ISNUMBER(SEARCH("customer support",B241)),ISNUMBER(SEARCH("customer care",B241)),ISNUMBER(SEARCH("voice process",B241)),ISNUMBER(SEARCH("bpo",B241))),"Customer Support",ISNUMBER(SEARCH("engineer",B241)),"Engineer (Technical)",ISNUMBER(SEARCH("manager",B241)),"Manager",OR(ISNUMBER(SEARCH("teacher",B241)),ISNUMBER(SEARCH("trainer",B241)),ISNUMBER(SEARCH("faculty",B241))),"Teacher / Trainer",OR(ISNUMBER(SEARCH("doctor",B241)),ISNUMBER(SEARCH("nurse",B241)),ISNUMBER(SEARCH("medical",B241)),ISNUMBER(SEARCH("pharma",B241)),ISNUMBER(SEARCH("clinical",B241))),"Healthcare",TRUE,"Other")</f>
        <v/>
      </c>
      <c r="B158">
        <f>IF(PROPER(TRIM(Raw_Data!D24))="Bangalore","Bengaluru",IF(PROPER(TRIM(Raw_Data!D24))="Gurgaon","Gurugram",IF(OR(PROPER(TRIM(Raw_Data!D24))="New Delhi",PROPER(TRIM(Raw_Data!D24))="Delhi"),"Delhi",PROPER(TRIM(Raw_Data!D24)))))</f>
        <v/>
      </c>
      <c r="C158">
        <f>IF(TRIM(Raw_Data!F24&amp;"")="","Not Specified",Raw_Data!F24)</f>
        <v/>
      </c>
      <c r="D158">
        <f>Raw_Data!H24</f>
        <v/>
      </c>
      <c r="E158">
        <f>Raw_Data!E24</f>
        <v/>
      </c>
    </row>
    <row r="159">
      <c r="A159">
        <f>_xlfn.IFS(ISNUMBER(SEARCH("data analy",B242)),"Data Analyst",ISNUMBER(SEARCH("business analy",B242)),"Business Analyst",OR(ISNUMBER(SEARCH("developer",B242)),ISNUMBER(SEARCH("software engineer",B242)),ISNUMBER(SEARCH("programmer",B242))),"Software Developer",ISNUMBER(SEARCH("business development",B242)),"Business Development",ISNUMBER(SEARCH("sales",B242)),"Sales Executive",ISNUMBER(SEARCH("marketing",B242)),"Marketing Executive",OR(ISNUMBER(SEARCH("hr ",B242)),ISNUMBER(SEARCH("recruit",B242)),ISNUMBER(SEARCH("human resource",B242))),"HR / Recruiter",OR(ISNUMBER(SEARCH("account",B242)),ISNUMBER(SEARCH("finance",B242)),ISNUMBER(SEARCH("tax",B242)),ISNUMBER(SEARCH("audit",B242))),"Accountant / Finance",OR(ISNUMBER(SEARCH("customer service",B242)),ISNUMBER(SEARCH("customer support",B242)),ISNUMBER(SEARCH("customer care",B242)),ISNUMBER(SEARCH("voice process",B242)),ISNUMBER(SEARCH("bpo",B242))),"Customer Support",ISNUMBER(SEARCH("engineer",B242)),"Engineer (Technical)",ISNUMBER(SEARCH("manager",B242)),"Manager",OR(ISNUMBER(SEARCH("teacher",B242)),ISNUMBER(SEARCH("trainer",B242)),ISNUMBER(SEARCH("faculty",B242))),"Teacher / Trainer",OR(ISNUMBER(SEARCH("doctor",B242)),ISNUMBER(SEARCH("nurse",B242)),ISNUMBER(SEARCH("medical",B242)),ISNUMBER(SEARCH("pharma",B242)),ISNUMBER(SEARCH("clinical",B242))),"Healthcare",TRUE,"Other")</f>
        <v/>
      </c>
      <c r="B159">
        <f>IF(PROPER(TRIM(Raw_Data!D240))="Bangalore","Bengaluru",IF(PROPER(TRIM(Raw_Data!D240))="Gurgaon","Gurugram",IF(OR(PROPER(TRIM(Raw_Data!D240))="New Delhi",PROPER(TRIM(Raw_Data!D240))="Delhi"),"Delhi",PROPER(TRIM(Raw_Data!D240)))))</f>
        <v/>
      </c>
      <c r="C159">
        <f>IF(TRIM(Raw_Data!F240&amp;"")="","Not Specified",Raw_Data!F240)</f>
        <v/>
      </c>
      <c r="D159">
        <f>Raw_Data!H240</f>
        <v/>
      </c>
      <c r="E159">
        <f>Raw_Data!E240</f>
        <v/>
      </c>
    </row>
    <row r="160">
      <c r="A160">
        <f>_xlfn.IFS(ISNUMBER(SEARCH("data analy",B243)),"Data Analyst",ISNUMBER(SEARCH("business analy",B243)),"Business Analyst",OR(ISNUMBER(SEARCH("developer",B243)),ISNUMBER(SEARCH("software engineer",B243)),ISNUMBER(SEARCH("programmer",B243))),"Software Developer",ISNUMBER(SEARCH("business development",B243)),"Business Development",ISNUMBER(SEARCH("sales",B243)),"Sales Executive",ISNUMBER(SEARCH("marketing",B243)),"Marketing Executive",OR(ISNUMBER(SEARCH("hr ",B243)),ISNUMBER(SEARCH("recruit",B243)),ISNUMBER(SEARCH("human resource",B243))),"HR / Recruiter",OR(ISNUMBER(SEARCH("account",B243)),ISNUMBER(SEARCH("finance",B243)),ISNUMBER(SEARCH("tax",B243)),ISNUMBER(SEARCH("audit",B243))),"Accountant / Finance",OR(ISNUMBER(SEARCH("customer service",B243)),ISNUMBER(SEARCH("customer support",B243)),ISNUMBER(SEARCH("customer care",B243)),ISNUMBER(SEARCH("voice process",B243)),ISNUMBER(SEARCH("bpo",B243))),"Customer Support",ISNUMBER(SEARCH("engineer",B243)),"Engineer (Technical)",ISNUMBER(SEARCH("manager",B243)),"Manager",OR(ISNUMBER(SEARCH("teacher",B243)),ISNUMBER(SEARCH("trainer",B243)),ISNUMBER(SEARCH("faculty",B243))),"Teacher / Trainer",OR(ISNUMBER(SEARCH("doctor",B243)),ISNUMBER(SEARCH("nurse",B243)),ISNUMBER(SEARCH("medical",B243)),ISNUMBER(SEARCH("pharma",B243)),ISNUMBER(SEARCH("clinical",B243))),"Healthcare",TRUE,"Other")</f>
        <v/>
      </c>
      <c r="B160">
        <f>IF(PROPER(TRIM(Raw_Data!D241))="Bangalore","Bengaluru",IF(PROPER(TRIM(Raw_Data!D241))="Gurgaon","Gurugram",IF(OR(PROPER(TRIM(Raw_Data!D241))="New Delhi",PROPER(TRIM(Raw_Data!D241))="Delhi"),"Delhi",PROPER(TRIM(Raw_Data!D241)))))</f>
        <v/>
      </c>
      <c r="C160">
        <f>IF(TRIM(Raw_Data!F241&amp;"")="","Not Specified",Raw_Data!F241)</f>
        <v/>
      </c>
      <c r="D160">
        <f>Raw_Data!H241</f>
        <v/>
      </c>
      <c r="E160">
        <f>Raw_Data!E241</f>
        <v/>
      </c>
    </row>
    <row r="161">
      <c r="A161">
        <f>_xlfn.IFS(ISNUMBER(SEARCH("data analy",B244)),"Data Analyst",ISNUMBER(SEARCH("business analy",B244)),"Business Analyst",OR(ISNUMBER(SEARCH("developer",B244)),ISNUMBER(SEARCH("software engineer",B244)),ISNUMBER(SEARCH("programmer",B244))),"Software Developer",ISNUMBER(SEARCH("business development",B244)),"Business Development",ISNUMBER(SEARCH("sales",B244)),"Sales Executive",ISNUMBER(SEARCH("marketing",B244)),"Marketing Executive",OR(ISNUMBER(SEARCH("hr ",B244)),ISNUMBER(SEARCH("recruit",B244)),ISNUMBER(SEARCH("human resource",B244))),"HR / Recruiter",OR(ISNUMBER(SEARCH("account",B244)),ISNUMBER(SEARCH("finance",B244)),ISNUMBER(SEARCH("tax",B244)),ISNUMBER(SEARCH("audit",B244))),"Accountant / Finance",OR(ISNUMBER(SEARCH("customer service",B244)),ISNUMBER(SEARCH("customer support",B244)),ISNUMBER(SEARCH("customer care",B244)),ISNUMBER(SEARCH("voice process",B244)),ISNUMBER(SEARCH("bpo",B244))),"Customer Support",ISNUMBER(SEARCH("engineer",B244)),"Engineer (Technical)",ISNUMBER(SEARCH("manager",B244)),"Manager",OR(ISNUMBER(SEARCH("teacher",B244)),ISNUMBER(SEARCH("trainer",B244)),ISNUMBER(SEARCH("faculty",B244))),"Teacher / Trainer",OR(ISNUMBER(SEARCH("doctor",B244)),ISNUMBER(SEARCH("nurse",B244)),ISNUMBER(SEARCH("medical",B244)),ISNUMBER(SEARCH("pharma",B244)),ISNUMBER(SEARCH("clinical",B244))),"Healthcare",TRUE,"Other")</f>
        <v/>
      </c>
      <c r="B161">
        <f>IF(PROPER(TRIM(Raw_Data!D242))="Bangalore","Bengaluru",IF(PROPER(TRIM(Raw_Data!D242))="Gurgaon","Gurugram",IF(OR(PROPER(TRIM(Raw_Data!D242))="New Delhi",PROPER(TRIM(Raw_Data!D242))="Delhi"),"Delhi",PROPER(TRIM(Raw_Data!D242)))))</f>
        <v/>
      </c>
      <c r="C161">
        <f>IF(TRIM(Raw_Data!F242&amp;"")="","Not Specified",Raw_Data!F242)</f>
        <v/>
      </c>
      <c r="D161">
        <f>Raw_Data!H242</f>
        <v/>
      </c>
      <c r="E161">
        <f>Raw_Data!E242</f>
        <v/>
      </c>
    </row>
    <row r="162">
      <c r="A162">
        <f>_xlfn.IFS(ISNUMBER(SEARCH("data analy",B245)),"Data Analyst",ISNUMBER(SEARCH("business analy",B245)),"Business Analyst",OR(ISNUMBER(SEARCH("developer",B245)),ISNUMBER(SEARCH("software engineer",B245)),ISNUMBER(SEARCH("programmer",B245))),"Software Developer",ISNUMBER(SEARCH("business development",B245)),"Business Development",ISNUMBER(SEARCH("sales",B245)),"Sales Executive",ISNUMBER(SEARCH("marketing",B245)),"Marketing Executive",OR(ISNUMBER(SEARCH("hr ",B245)),ISNUMBER(SEARCH("recruit",B245)),ISNUMBER(SEARCH("human resource",B245))),"HR / Recruiter",OR(ISNUMBER(SEARCH("account",B245)),ISNUMBER(SEARCH("finance",B245)),ISNUMBER(SEARCH("tax",B245)),ISNUMBER(SEARCH("audit",B245))),"Accountant / Finance",OR(ISNUMBER(SEARCH("customer service",B245)),ISNUMBER(SEARCH("customer support",B245)),ISNUMBER(SEARCH("customer care",B245)),ISNUMBER(SEARCH("voice process",B245)),ISNUMBER(SEARCH("bpo",B245))),"Customer Support",ISNUMBER(SEARCH("engineer",B245)),"Engineer (Technical)",ISNUMBER(SEARCH("manager",B245)),"Manager",OR(ISNUMBER(SEARCH("teacher",B245)),ISNUMBER(SEARCH("trainer",B245)),ISNUMBER(SEARCH("faculty",B245))),"Teacher / Trainer",OR(ISNUMBER(SEARCH("doctor",B245)),ISNUMBER(SEARCH("nurse",B245)),ISNUMBER(SEARCH("medical",B245)),ISNUMBER(SEARCH("pharma",B245)),ISNUMBER(SEARCH("clinical",B245))),"Healthcare",TRUE,"Other")</f>
        <v/>
      </c>
      <c r="B162">
        <f>IF(PROPER(TRIM(Raw_Data!D243))="Bangalore","Bengaluru",IF(PROPER(TRIM(Raw_Data!D243))="Gurgaon","Gurugram",IF(OR(PROPER(TRIM(Raw_Data!D243))="New Delhi",PROPER(TRIM(Raw_Data!D243))="Delhi"),"Delhi",PROPER(TRIM(Raw_Data!D243)))))</f>
        <v/>
      </c>
      <c r="C162">
        <f>IF(TRIM(Raw_Data!F243&amp;"")="","Not Specified",Raw_Data!F243)</f>
        <v/>
      </c>
      <c r="D162">
        <f>Raw_Data!H243</f>
        <v/>
      </c>
      <c r="E162">
        <f>Raw_Data!E243</f>
        <v/>
      </c>
    </row>
    <row r="163">
      <c r="A163">
        <f>_xlfn.IFS(ISNUMBER(SEARCH("data analy",B246)),"Data Analyst",ISNUMBER(SEARCH("business analy",B246)),"Business Analyst",OR(ISNUMBER(SEARCH("developer",B246)),ISNUMBER(SEARCH("software engineer",B246)),ISNUMBER(SEARCH("programmer",B246))),"Software Developer",ISNUMBER(SEARCH("business development",B246)),"Business Development",ISNUMBER(SEARCH("sales",B246)),"Sales Executive",ISNUMBER(SEARCH("marketing",B246)),"Marketing Executive",OR(ISNUMBER(SEARCH("hr ",B246)),ISNUMBER(SEARCH("recruit",B246)),ISNUMBER(SEARCH("human resource",B246))),"HR / Recruiter",OR(ISNUMBER(SEARCH("account",B246)),ISNUMBER(SEARCH("finance",B246)),ISNUMBER(SEARCH("tax",B246)),ISNUMBER(SEARCH("audit",B246))),"Accountant / Finance",OR(ISNUMBER(SEARCH("customer service",B246)),ISNUMBER(SEARCH("customer support",B246)),ISNUMBER(SEARCH("customer care",B246)),ISNUMBER(SEARCH("voice process",B246)),ISNUMBER(SEARCH("bpo",B246))),"Customer Support",ISNUMBER(SEARCH("engineer",B246)),"Engineer (Technical)",ISNUMBER(SEARCH("manager",B246)),"Manager",OR(ISNUMBER(SEARCH("teacher",B246)),ISNUMBER(SEARCH("trainer",B246)),ISNUMBER(SEARCH("faculty",B246))),"Teacher / Trainer",OR(ISNUMBER(SEARCH("doctor",B246)),ISNUMBER(SEARCH("nurse",B246)),ISNUMBER(SEARCH("medical",B246)),ISNUMBER(SEARCH("pharma",B246)),ISNUMBER(SEARCH("clinical",B246))),"Healthcare",TRUE,"Other")</f>
        <v/>
      </c>
      <c r="B163">
        <f>IF(PROPER(TRIM(Raw_Data!D244))="Bangalore","Bengaluru",IF(PROPER(TRIM(Raw_Data!D244))="Gurgaon","Gurugram",IF(OR(PROPER(TRIM(Raw_Data!D244))="New Delhi",PROPER(TRIM(Raw_Data!D244))="Delhi"),"Delhi",PROPER(TRIM(Raw_Data!D244)))))</f>
        <v/>
      </c>
      <c r="C163">
        <f>IF(TRIM(Raw_Data!F244&amp;"")="","Not Specified",Raw_Data!F244)</f>
        <v/>
      </c>
      <c r="D163">
        <f>Raw_Data!H244</f>
        <v/>
      </c>
      <c r="E163">
        <f>Raw_Data!E244</f>
        <v/>
      </c>
    </row>
    <row r="164">
      <c r="A164">
        <f>_xlfn.IFS(ISNUMBER(SEARCH("data analy",B247)),"Data Analyst",ISNUMBER(SEARCH("business analy",B247)),"Business Analyst",OR(ISNUMBER(SEARCH("developer",B247)),ISNUMBER(SEARCH("software engineer",B247)),ISNUMBER(SEARCH("programmer",B247))),"Software Developer",ISNUMBER(SEARCH("business development",B247)),"Business Development",ISNUMBER(SEARCH("sales",B247)),"Sales Executive",ISNUMBER(SEARCH("marketing",B247)),"Marketing Executive",OR(ISNUMBER(SEARCH("hr ",B247)),ISNUMBER(SEARCH("recruit",B247)),ISNUMBER(SEARCH("human resource",B247))),"HR / Recruiter",OR(ISNUMBER(SEARCH("account",B247)),ISNUMBER(SEARCH("finance",B247)),ISNUMBER(SEARCH("tax",B247)),ISNUMBER(SEARCH("audit",B247))),"Accountant / Finance",OR(ISNUMBER(SEARCH("customer service",B247)),ISNUMBER(SEARCH("customer support",B247)),ISNUMBER(SEARCH("customer care",B247)),ISNUMBER(SEARCH("voice process",B247)),ISNUMBER(SEARCH("bpo",B247))),"Customer Support",ISNUMBER(SEARCH("engineer",B247)),"Engineer (Technical)",ISNUMBER(SEARCH("manager",B247)),"Manager",OR(ISNUMBER(SEARCH("teacher",B247)),ISNUMBER(SEARCH("trainer",B247)),ISNUMBER(SEARCH("faculty",B247))),"Teacher / Trainer",OR(ISNUMBER(SEARCH("doctor",B247)),ISNUMBER(SEARCH("nurse",B247)),ISNUMBER(SEARCH("medical",B247)),ISNUMBER(SEARCH("pharma",B247)),ISNUMBER(SEARCH("clinical",B247))),"Healthcare",TRUE,"Other")</f>
        <v/>
      </c>
      <c r="B164">
        <f>IF(PROPER(TRIM(Raw_Data!D245))="Bangalore","Bengaluru",IF(PROPER(TRIM(Raw_Data!D245))="Gurgaon","Gurugram",IF(OR(PROPER(TRIM(Raw_Data!D245))="New Delhi",PROPER(TRIM(Raw_Data!D245))="Delhi"),"Delhi",PROPER(TRIM(Raw_Data!D245)))))</f>
        <v/>
      </c>
      <c r="C164">
        <f>IF(TRIM(Raw_Data!F245&amp;"")="","Not Specified",Raw_Data!F245)</f>
        <v/>
      </c>
      <c r="D164">
        <f>Raw_Data!H245</f>
        <v/>
      </c>
      <c r="E164">
        <f>Raw_Data!E245</f>
        <v/>
      </c>
    </row>
    <row r="165">
      <c r="A165">
        <f>_xlfn.IFS(ISNUMBER(SEARCH("data analy",B248)),"Data Analyst",ISNUMBER(SEARCH("business analy",B248)),"Business Analyst",OR(ISNUMBER(SEARCH("developer",B248)),ISNUMBER(SEARCH("software engineer",B248)),ISNUMBER(SEARCH("programmer",B248))),"Software Developer",ISNUMBER(SEARCH("business development",B248)),"Business Development",ISNUMBER(SEARCH("sales",B248)),"Sales Executive",ISNUMBER(SEARCH("marketing",B248)),"Marketing Executive",OR(ISNUMBER(SEARCH("hr ",B248)),ISNUMBER(SEARCH("recruit",B248)),ISNUMBER(SEARCH("human resource",B248))),"HR / Recruiter",OR(ISNUMBER(SEARCH("account",B248)),ISNUMBER(SEARCH("finance",B248)),ISNUMBER(SEARCH("tax",B248)),ISNUMBER(SEARCH("audit",B248))),"Accountant / Finance",OR(ISNUMBER(SEARCH("customer service",B248)),ISNUMBER(SEARCH("customer support",B248)),ISNUMBER(SEARCH("customer care",B248)),ISNUMBER(SEARCH("voice process",B248)),ISNUMBER(SEARCH("bpo",B248))),"Customer Support",ISNUMBER(SEARCH("engineer",B248)),"Engineer (Technical)",ISNUMBER(SEARCH("manager",B248)),"Manager",OR(ISNUMBER(SEARCH("teacher",B248)),ISNUMBER(SEARCH("trainer",B248)),ISNUMBER(SEARCH("faculty",B248))),"Teacher / Trainer",OR(ISNUMBER(SEARCH("doctor",B248)),ISNUMBER(SEARCH("nurse",B248)),ISNUMBER(SEARCH("medical",B248)),ISNUMBER(SEARCH("pharma",B248)),ISNUMBER(SEARCH("clinical",B248))),"Healthcare",TRUE,"Other")</f>
        <v/>
      </c>
      <c r="B165">
        <f>IF(PROPER(TRIM(Raw_Data!D246))="Bangalore","Bengaluru",IF(PROPER(TRIM(Raw_Data!D246))="Gurgaon","Gurugram",IF(OR(PROPER(TRIM(Raw_Data!D246))="New Delhi",PROPER(TRIM(Raw_Data!D246))="Delhi"),"Delhi",PROPER(TRIM(Raw_Data!D246)))))</f>
        <v/>
      </c>
      <c r="C165">
        <f>IF(TRIM(Raw_Data!F246&amp;"")="","Not Specified",Raw_Data!F246)</f>
        <v/>
      </c>
      <c r="D165">
        <f>Raw_Data!H246</f>
        <v/>
      </c>
      <c r="E165">
        <f>Raw_Data!E246</f>
        <v/>
      </c>
    </row>
    <row r="166">
      <c r="A166">
        <f>_xlfn.IFS(ISNUMBER(SEARCH("data analy",B249)),"Data Analyst",ISNUMBER(SEARCH("business analy",B249)),"Business Analyst",OR(ISNUMBER(SEARCH("developer",B249)),ISNUMBER(SEARCH("software engineer",B249)),ISNUMBER(SEARCH("programmer",B249))),"Software Developer",ISNUMBER(SEARCH("business development",B249)),"Business Development",ISNUMBER(SEARCH("sales",B249)),"Sales Executive",ISNUMBER(SEARCH("marketing",B249)),"Marketing Executive",OR(ISNUMBER(SEARCH("hr ",B249)),ISNUMBER(SEARCH("recruit",B249)),ISNUMBER(SEARCH("human resource",B249))),"HR / Recruiter",OR(ISNUMBER(SEARCH("account",B249)),ISNUMBER(SEARCH("finance",B249)),ISNUMBER(SEARCH("tax",B249)),ISNUMBER(SEARCH("audit",B249))),"Accountant / Finance",OR(ISNUMBER(SEARCH("customer service",B249)),ISNUMBER(SEARCH("customer support",B249)),ISNUMBER(SEARCH("customer care",B249)),ISNUMBER(SEARCH("voice process",B249)),ISNUMBER(SEARCH("bpo",B249))),"Customer Support",ISNUMBER(SEARCH("engineer",B249)),"Engineer (Technical)",ISNUMBER(SEARCH("manager",B249)),"Manager",OR(ISNUMBER(SEARCH("teacher",B249)),ISNUMBER(SEARCH("trainer",B249)),ISNUMBER(SEARCH("faculty",B249))),"Teacher / Trainer",OR(ISNUMBER(SEARCH("doctor",B249)),ISNUMBER(SEARCH("nurse",B249)),ISNUMBER(SEARCH("medical",B249)),ISNUMBER(SEARCH("pharma",B249)),ISNUMBER(SEARCH("clinical",B249))),"Healthcare",TRUE,"Other")</f>
        <v/>
      </c>
      <c r="B166">
        <f>IF(PROPER(TRIM(Raw_Data!D247))="Bangalore","Bengaluru",IF(PROPER(TRIM(Raw_Data!D247))="Gurgaon","Gurugram",IF(OR(PROPER(TRIM(Raw_Data!D247))="New Delhi",PROPER(TRIM(Raw_Data!D247))="Delhi"),"Delhi",PROPER(TRIM(Raw_Data!D247)))))</f>
        <v/>
      </c>
      <c r="C166">
        <f>IF(TRIM(Raw_Data!F247&amp;"")="","Not Specified",Raw_Data!F247)</f>
        <v/>
      </c>
      <c r="D166">
        <f>Raw_Data!H247</f>
        <v/>
      </c>
      <c r="E166">
        <f>Raw_Data!E247</f>
        <v/>
      </c>
    </row>
    <row r="167">
      <c r="A167">
        <f>_xlfn.IFS(ISNUMBER(SEARCH("data analy",B25)),"Data Analyst",ISNUMBER(SEARCH("business analy",B25)),"Business Analyst",OR(ISNUMBER(SEARCH("developer",B25)),ISNUMBER(SEARCH("software engineer",B25)),ISNUMBER(SEARCH("programmer",B25))),"Software Developer",ISNUMBER(SEARCH("business development",B25)),"Business Development",ISNUMBER(SEARCH("sales",B25)),"Sales Executive",ISNUMBER(SEARCH("marketing",B25)),"Marketing Executive",OR(ISNUMBER(SEARCH("hr ",B25)),ISNUMBER(SEARCH("recruit",B25)),ISNUMBER(SEARCH("human resource",B25))),"HR / Recruiter",OR(ISNUMBER(SEARCH("account",B25)),ISNUMBER(SEARCH("finance",B25)),ISNUMBER(SEARCH("tax",B25)),ISNUMBER(SEARCH("audit",B25))),"Accountant / Finance",OR(ISNUMBER(SEARCH("customer service",B25)),ISNUMBER(SEARCH("customer support",B25)),ISNUMBER(SEARCH("customer care",B25)),ISNUMBER(SEARCH("voice process",B25)),ISNUMBER(SEARCH("bpo",B25))),"Customer Support",ISNUMBER(SEARCH("engineer",B25)),"Engineer (Technical)",ISNUMBER(SEARCH("manager",B25)),"Manager",OR(ISNUMBER(SEARCH("teacher",B25)),ISNUMBER(SEARCH("trainer",B25)),ISNUMBER(SEARCH("faculty",B25))),"Teacher / Trainer",OR(ISNUMBER(SEARCH("doctor",B25)),ISNUMBER(SEARCH("nurse",B25)),ISNUMBER(SEARCH("medical",B25)),ISNUMBER(SEARCH("pharma",B25)),ISNUMBER(SEARCH("clinical",B25))),"Healthcare",TRUE,"Other")</f>
        <v/>
      </c>
      <c r="B167">
        <f>IF(PROPER(TRIM(Raw_Data!D248))="Bangalore","Bengaluru",IF(PROPER(TRIM(Raw_Data!D248))="Gurgaon","Gurugram",IF(OR(PROPER(TRIM(Raw_Data!D248))="New Delhi",PROPER(TRIM(Raw_Data!D248))="Delhi"),"Delhi",PROPER(TRIM(Raw_Data!D248)))))</f>
        <v/>
      </c>
      <c r="C167">
        <f>IF(TRIM(Raw_Data!F248&amp;"")="","Not Specified",Raw_Data!F248)</f>
        <v/>
      </c>
      <c r="D167">
        <f>Raw_Data!H248</f>
        <v/>
      </c>
      <c r="E167">
        <f>Raw_Data!E248</f>
        <v/>
      </c>
    </row>
    <row r="168">
      <c r="A168">
        <f>_xlfn.IFS(ISNUMBER(SEARCH("data analy",B250)),"Data Analyst",ISNUMBER(SEARCH("business analy",B250)),"Business Analyst",OR(ISNUMBER(SEARCH("developer",B250)),ISNUMBER(SEARCH("software engineer",B250)),ISNUMBER(SEARCH("programmer",B250))),"Software Developer",ISNUMBER(SEARCH("business development",B250)),"Business Development",ISNUMBER(SEARCH("sales",B250)),"Sales Executive",ISNUMBER(SEARCH("marketing",B250)),"Marketing Executive",OR(ISNUMBER(SEARCH("hr ",B250)),ISNUMBER(SEARCH("recruit",B250)),ISNUMBER(SEARCH("human resource",B250))),"HR / Recruiter",OR(ISNUMBER(SEARCH("account",B250)),ISNUMBER(SEARCH("finance",B250)),ISNUMBER(SEARCH("tax",B250)),ISNUMBER(SEARCH("audit",B250))),"Accountant / Finance",OR(ISNUMBER(SEARCH("customer service",B250)),ISNUMBER(SEARCH("customer support",B250)),ISNUMBER(SEARCH("customer care",B250)),ISNUMBER(SEARCH("voice process",B250)),ISNUMBER(SEARCH("bpo",B250))),"Customer Support",ISNUMBER(SEARCH("engineer",B250)),"Engineer (Technical)",ISNUMBER(SEARCH("manager",B250)),"Manager",OR(ISNUMBER(SEARCH("teacher",B250)),ISNUMBER(SEARCH("trainer",B250)),ISNUMBER(SEARCH("faculty",B250))),"Teacher / Trainer",OR(ISNUMBER(SEARCH("doctor",B250)),ISNUMBER(SEARCH("nurse",B250)),ISNUMBER(SEARCH("medical",B250)),ISNUMBER(SEARCH("pharma",B250)),ISNUMBER(SEARCH("clinical",B250))),"Healthcare",TRUE,"Other")</f>
        <v/>
      </c>
      <c r="B168">
        <f>IF(PROPER(TRIM(Raw_Data!D249))="Bangalore","Bengaluru",IF(PROPER(TRIM(Raw_Data!D249))="Gurgaon","Gurugram",IF(OR(PROPER(TRIM(Raw_Data!D249))="New Delhi",PROPER(TRIM(Raw_Data!D249))="Delhi"),"Delhi",PROPER(TRIM(Raw_Data!D249)))))</f>
        <v/>
      </c>
      <c r="C168">
        <f>IF(TRIM(Raw_Data!F249&amp;"")="","Not Specified",Raw_Data!F249)</f>
        <v/>
      </c>
      <c r="D168">
        <f>Raw_Data!H249</f>
        <v/>
      </c>
      <c r="E168">
        <f>Raw_Data!E249</f>
        <v/>
      </c>
    </row>
    <row r="169">
      <c r="A169">
        <f>_xlfn.IFS(ISNUMBER(SEARCH("data analy",B251)),"Data Analyst",ISNUMBER(SEARCH("business analy",B251)),"Business Analyst",OR(ISNUMBER(SEARCH("developer",B251)),ISNUMBER(SEARCH("software engineer",B251)),ISNUMBER(SEARCH("programmer",B251))),"Software Developer",ISNUMBER(SEARCH("business development",B251)),"Business Development",ISNUMBER(SEARCH("sales",B251)),"Sales Executive",ISNUMBER(SEARCH("marketing",B251)),"Marketing Executive",OR(ISNUMBER(SEARCH("hr ",B251)),ISNUMBER(SEARCH("recruit",B251)),ISNUMBER(SEARCH("human resource",B251))),"HR / Recruiter",OR(ISNUMBER(SEARCH("account",B251)),ISNUMBER(SEARCH("finance",B251)),ISNUMBER(SEARCH("tax",B251)),ISNUMBER(SEARCH("audit",B251))),"Accountant / Finance",OR(ISNUMBER(SEARCH("customer service",B251)),ISNUMBER(SEARCH("customer support",B251)),ISNUMBER(SEARCH("customer care",B251)),ISNUMBER(SEARCH("voice process",B251)),ISNUMBER(SEARCH("bpo",B251))),"Customer Support",ISNUMBER(SEARCH("engineer",B251)),"Engineer (Technical)",ISNUMBER(SEARCH("manager",B251)),"Manager",OR(ISNUMBER(SEARCH("teacher",B251)),ISNUMBER(SEARCH("trainer",B251)),ISNUMBER(SEARCH("faculty",B251))),"Teacher / Trainer",OR(ISNUMBER(SEARCH("doctor",B251)),ISNUMBER(SEARCH("nurse",B251)),ISNUMBER(SEARCH("medical",B251)),ISNUMBER(SEARCH("pharma",B251)),ISNUMBER(SEARCH("clinical",B251))),"Healthcare",TRUE,"Other")</f>
        <v/>
      </c>
      <c r="B169">
        <f>IF(PROPER(TRIM(Raw_Data!D25))="Bangalore","Bengaluru",IF(PROPER(TRIM(Raw_Data!D25))="Gurgaon","Gurugram",IF(OR(PROPER(TRIM(Raw_Data!D25))="New Delhi",PROPER(TRIM(Raw_Data!D25))="Delhi"),"Delhi",PROPER(TRIM(Raw_Data!D25)))))</f>
        <v/>
      </c>
      <c r="C169">
        <f>IF(TRIM(Raw_Data!F25&amp;"")="","Not Specified",Raw_Data!F25)</f>
        <v/>
      </c>
      <c r="D169">
        <f>Raw_Data!H25</f>
        <v/>
      </c>
      <c r="E169">
        <f>Raw_Data!E25</f>
        <v/>
      </c>
    </row>
    <row r="170">
      <c r="A170">
        <f>_xlfn.IFS(ISNUMBER(SEARCH("data analy",B252)),"Data Analyst",ISNUMBER(SEARCH("business analy",B252)),"Business Analyst",OR(ISNUMBER(SEARCH("developer",B252)),ISNUMBER(SEARCH("software engineer",B252)),ISNUMBER(SEARCH("programmer",B252))),"Software Developer",ISNUMBER(SEARCH("business development",B252)),"Business Development",ISNUMBER(SEARCH("sales",B252)),"Sales Executive",ISNUMBER(SEARCH("marketing",B252)),"Marketing Executive",OR(ISNUMBER(SEARCH("hr ",B252)),ISNUMBER(SEARCH("recruit",B252)),ISNUMBER(SEARCH("human resource",B252))),"HR / Recruiter",OR(ISNUMBER(SEARCH("account",B252)),ISNUMBER(SEARCH("finance",B252)),ISNUMBER(SEARCH("tax",B252)),ISNUMBER(SEARCH("audit",B252))),"Accountant / Finance",OR(ISNUMBER(SEARCH("customer service",B252)),ISNUMBER(SEARCH("customer support",B252)),ISNUMBER(SEARCH("customer care",B252)),ISNUMBER(SEARCH("voice process",B252)),ISNUMBER(SEARCH("bpo",B252))),"Customer Support",ISNUMBER(SEARCH("engineer",B252)),"Engineer (Technical)",ISNUMBER(SEARCH("manager",B252)),"Manager",OR(ISNUMBER(SEARCH("teacher",B252)),ISNUMBER(SEARCH("trainer",B252)),ISNUMBER(SEARCH("faculty",B252))),"Teacher / Trainer",OR(ISNUMBER(SEARCH("doctor",B252)),ISNUMBER(SEARCH("nurse",B252)),ISNUMBER(SEARCH("medical",B252)),ISNUMBER(SEARCH("pharma",B252)),ISNUMBER(SEARCH("clinical",B252))),"Healthcare",TRUE,"Other")</f>
        <v/>
      </c>
      <c r="B170">
        <f>IF(PROPER(TRIM(Raw_Data!D250))="Bangalore","Bengaluru",IF(PROPER(TRIM(Raw_Data!D250))="Gurgaon","Gurugram",IF(OR(PROPER(TRIM(Raw_Data!D250))="New Delhi",PROPER(TRIM(Raw_Data!D250))="Delhi"),"Delhi",PROPER(TRIM(Raw_Data!D250)))))</f>
        <v/>
      </c>
      <c r="C170">
        <f>IF(TRIM(Raw_Data!F250&amp;"")="","Not Specified",Raw_Data!F250)</f>
        <v/>
      </c>
      <c r="D170">
        <f>Raw_Data!H250</f>
        <v/>
      </c>
      <c r="E170">
        <f>Raw_Data!E250</f>
        <v/>
      </c>
    </row>
    <row r="171">
      <c r="A171">
        <f>_xlfn.IFS(ISNUMBER(SEARCH("data analy",B253)),"Data Analyst",ISNUMBER(SEARCH("business analy",B253)),"Business Analyst",OR(ISNUMBER(SEARCH("developer",B253)),ISNUMBER(SEARCH("software engineer",B253)),ISNUMBER(SEARCH("programmer",B253))),"Software Developer",ISNUMBER(SEARCH("business development",B253)),"Business Development",ISNUMBER(SEARCH("sales",B253)),"Sales Executive",ISNUMBER(SEARCH("marketing",B253)),"Marketing Executive",OR(ISNUMBER(SEARCH("hr ",B253)),ISNUMBER(SEARCH("recruit",B253)),ISNUMBER(SEARCH("human resource",B253))),"HR / Recruiter",OR(ISNUMBER(SEARCH("account",B253)),ISNUMBER(SEARCH("finance",B253)),ISNUMBER(SEARCH("tax",B253)),ISNUMBER(SEARCH("audit",B253))),"Accountant / Finance",OR(ISNUMBER(SEARCH("customer service",B253)),ISNUMBER(SEARCH("customer support",B253)),ISNUMBER(SEARCH("customer care",B253)),ISNUMBER(SEARCH("voice process",B253)),ISNUMBER(SEARCH("bpo",B253))),"Customer Support",ISNUMBER(SEARCH("engineer",B253)),"Engineer (Technical)",ISNUMBER(SEARCH("manager",B253)),"Manager",OR(ISNUMBER(SEARCH("teacher",B253)),ISNUMBER(SEARCH("trainer",B253)),ISNUMBER(SEARCH("faculty",B253))),"Teacher / Trainer",OR(ISNUMBER(SEARCH("doctor",B253)),ISNUMBER(SEARCH("nurse",B253)),ISNUMBER(SEARCH("medical",B253)),ISNUMBER(SEARCH("pharma",B253)),ISNUMBER(SEARCH("clinical",B253))),"Healthcare",TRUE,"Other")</f>
        <v/>
      </c>
      <c r="B171">
        <f>IF(PROPER(TRIM(Raw_Data!D251))="Bangalore","Bengaluru",IF(PROPER(TRIM(Raw_Data!D251))="Gurgaon","Gurugram",IF(OR(PROPER(TRIM(Raw_Data!D251))="New Delhi",PROPER(TRIM(Raw_Data!D251))="Delhi"),"Delhi",PROPER(TRIM(Raw_Data!D251)))))</f>
        <v/>
      </c>
      <c r="C171">
        <f>IF(TRIM(Raw_Data!F251&amp;"")="","Not Specified",Raw_Data!F251)</f>
        <v/>
      </c>
      <c r="D171">
        <f>Raw_Data!H251</f>
        <v/>
      </c>
      <c r="E171">
        <f>Raw_Data!E251</f>
        <v/>
      </c>
    </row>
    <row r="172">
      <c r="A172">
        <f>_xlfn.IFS(ISNUMBER(SEARCH("data analy",B254)),"Data Analyst",ISNUMBER(SEARCH("business analy",B254)),"Business Analyst",OR(ISNUMBER(SEARCH("developer",B254)),ISNUMBER(SEARCH("software engineer",B254)),ISNUMBER(SEARCH("programmer",B254))),"Software Developer",ISNUMBER(SEARCH("business development",B254)),"Business Development",ISNUMBER(SEARCH("sales",B254)),"Sales Executive",ISNUMBER(SEARCH("marketing",B254)),"Marketing Executive",OR(ISNUMBER(SEARCH("hr ",B254)),ISNUMBER(SEARCH("recruit",B254)),ISNUMBER(SEARCH("human resource",B254))),"HR / Recruiter",OR(ISNUMBER(SEARCH("account",B254)),ISNUMBER(SEARCH("finance",B254)),ISNUMBER(SEARCH("tax",B254)),ISNUMBER(SEARCH("audit",B254))),"Accountant / Finance",OR(ISNUMBER(SEARCH("customer service",B254)),ISNUMBER(SEARCH("customer support",B254)),ISNUMBER(SEARCH("customer care",B254)),ISNUMBER(SEARCH("voice process",B254)),ISNUMBER(SEARCH("bpo",B254))),"Customer Support",ISNUMBER(SEARCH("engineer",B254)),"Engineer (Technical)",ISNUMBER(SEARCH("manager",B254)),"Manager",OR(ISNUMBER(SEARCH("teacher",B254)),ISNUMBER(SEARCH("trainer",B254)),ISNUMBER(SEARCH("faculty",B254))),"Teacher / Trainer",OR(ISNUMBER(SEARCH("doctor",B254)),ISNUMBER(SEARCH("nurse",B254)),ISNUMBER(SEARCH("medical",B254)),ISNUMBER(SEARCH("pharma",B254)),ISNUMBER(SEARCH("clinical",B254))),"Healthcare",TRUE,"Other")</f>
        <v/>
      </c>
      <c r="B172">
        <f>IF(PROPER(TRIM(Raw_Data!D252))="Bangalore","Bengaluru",IF(PROPER(TRIM(Raw_Data!D252))="Gurgaon","Gurugram",IF(OR(PROPER(TRIM(Raw_Data!D252))="New Delhi",PROPER(TRIM(Raw_Data!D252))="Delhi"),"Delhi",PROPER(TRIM(Raw_Data!D252)))))</f>
        <v/>
      </c>
      <c r="C172">
        <f>IF(TRIM(Raw_Data!F252&amp;"")="","Not Specified",Raw_Data!F252)</f>
        <v/>
      </c>
      <c r="D172">
        <f>Raw_Data!H252</f>
        <v/>
      </c>
      <c r="E172">
        <f>Raw_Data!E252</f>
        <v/>
      </c>
    </row>
    <row r="173">
      <c r="A173">
        <f>_xlfn.IFS(ISNUMBER(SEARCH("data analy",B255)),"Data Analyst",ISNUMBER(SEARCH("business analy",B255)),"Business Analyst",OR(ISNUMBER(SEARCH("developer",B255)),ISNUMBER(SEARCH("software engineer",B255)),ISNUMBER(SEARCH("programmer",B255))),"Software Developer",ISNUMBER(SEARCH("business development",B255)),"Business Development",ISNUMBER(SEARCH("sales",B255)),"Sales Executive",ISNUMBER(SEARCH("marketing",B255)),"Marketing Executive",OR(ISNUMBER(SEARCH("hr ",B255)),ISNUMBER(SEARCH("recruit",B255)),ISNUMBER(SEARCH("human resource",B255))),"HR / Recruiter",OR(ISNUMBER(SEARCH("account",B255)),ISNUMBER(SEARCH("finance",B255)),ISNUMBER(SEARCH("tax",B255)),ISNUMBER(SEARCH("audit",B255))),"Accountant / Finance",OR(ISNUMBER(SEARCH("customer service",B255)),ISNUMBER(SEARCH("customer support",B255)),ISNUMBER(SEARCH("customer care",B255)),ISNUMBER(SEARCH("voice process",B255)),ISNUMBER(SEARCH("bpo",B255))),"Customer Support",ISNUMBER(SEARCH("engineer",B255)),"Engineer (Technical)",ISNUMBER(SEARCH("manager",B255)),"Manager",OR(ISNUMBER(SEARCH("teacher",B255)),ISNUMBER(SEARCH("trainer",B255)),ISNUMBER(SEARCH("faculty",B255))),"Teacher / Trainer",OR(ISNUMBER(SEARCH("doctor",B255)),ISNUMBER(SEARCH("nurse",B255)),ISNUMBER(SEARCH("medical",B255)),ISNUMBER(SEARCH("pharma",B255)),ISNUMBER(SEARCH("clinical",B255))),"Healthcare",TRUE,"Other")</f>
        <v/>
      </c>
      <c r="B173">
        <f>IF(PROPER(TRIM(Raw_Data!D253))="Bangalore","Bengaluru",IF(PROPER(TRIM(Raw_Data!D253))="Gurgaon","Gurugram",IF(OR(PROPER(TRIM(Raw_Data!D253))="New Delhi",PROPER(TRIM(Raw_Data!D253))="Delhi"),"Delhi",PROPER(TRIM(Raw_Data!D253)))))</f>
        <v/>
      </c>
      <c r="C173">
        <f>IF(TRIM(Raw_Data!F253&amp;"")="","Not Specified",Raw_Data!F253)</f>
        <v/>
      </c>
      <c r="D173">
        <f>Raw_Data!H253</f>
        <v/>
      </c>
      <c r="E173">
        <f>Raw_Data!E253</f>
        <v/>
      </c>
    </row>
    <row r="174">
      <c r="A174">
        <f>_xlfn.IFS(ISNUMBER(SEARCH("data analy",B256)),"Data Analyst",ISNUMBER(SEARCH("business analy",B256)),"Business Analyst",OR(ISNUMBER(SEARCH("developer",B256)),ISNUMBER(SEARCH("software engineer",B256)),ISNUMBER(SEARCH("programmer",B256))),"Software Developer",ISNUMBER(SEARCH("business development",B256)),"Business Development",ISNUMBER(SEARCH("sales",B256)),"Sales Executive",ISNUMBER(SEARCH("marketing",B256)),"Marketing Executive",OR(ISNUMBER(SEARCH("hr ",B256)),ISNUMBER(SEARCH("recruit",B256)),ISNUMBER(SEARCH("human resource",B256))),"HR / Recruiter",OR(ISNUMBER(SEARCH("account",B256)),ISNUMBER(SEARCH("finance",B256)),ISNUMBER(SEARCH("tax",B256)),ISNUMBER(SEARCH("audit",B256))),"Accountant / Finance",OR(ISNUMBER(SEARCH("customer service",B256)),ISNUMBER(SEARCH("customer support",B256)),ISNUMBER(SEARCH("customer care",B256)),ISNUMBER(SEARCH("voice process",B256)),ISNUMBER(SEARCH("bpo",B256))),"Customer Support",ISNUMBER(SEARCH("engineer",B256)),"Engineer (Technical)",ISNUMBER(SEARCH("manager",B256)),"Manager",OR(ISNUMBER(SEARCH("teacher",B256)),ISNUMBER(SEARCH("trainer",B256)),ISNUMBER(SEARCH("faculty",B256))),"Teacher / Trainer",OR(ISNUMBER(SEARCH("doctor",B256)),ISNUMBER(SEARCH("nurse",B256)),ISNUMBER(SEARCH("medical",B256)),ISNUMBER(SEARCH("pharma",B256)),ISNUMBER(SEARCH("clinical",B256))),"Healthcare",TRUE,"Other")</f>
        <v/>
      </c>
      <c r="B174">
        <f>IF(PROPER(TRIM(Raw_Data!D254))="Bangalore","Bengaluru",IF(PROPER(TRIM(Raw_Data!D254))="Gurgaon","Gurugram",IF(OR(PROPER(TRIM(Raw_Data!D254))="New Delhi",PROPER(TRIM(Raw_Data!D254))="Delhi"),"Delhi",PROPER(TRIM(Raw_Data!D254)))))</f>
        <v/>
      </c>
      <c r="C174">
        <f>IF(TRIM(Raw_Data!F254&amp;"")="","Not Specified",Raw_Data!F254)</f>
        <v/>
      </c>
      <c r="D174">
        <f>Raw_Data!H254</f>
        <v/>
      </c>
      <c r="E174">
        <f>Raw_Data!E254</f>
        <v/>
      </c>
    </row>
    <row r="175">
      <c r="A175">
        <f>_xlfn.IFS(ISNUMBER(SEARCH("data analy",B257)),"Data Analyst",ISNUMBER(SEARCH("business analy",B257)),"Business Analyst",OR(ISNUMBER(SEARCH("developer",B257)),ISNUMBER(SEARCH("software engineer",B257)),ISNUMBER(SEARCH("programmer",B257))),"Software Developer",ISNUMBER(SEARCH("business development",B257)),"Business Development",ISNUMBER(SEARCH("sales",B257)),"Sales Executive",ISNUMBER(SEARCH("marketing",B257)),"Marketing Executive",OR(ISNUMBER(SEARCH("hr ",B257)),ISNUMBER(SEARCH("recruit",B257)),ISNUMBER(SEARCH("human resource",B257))),"HR / Recruiter",OR(ISNUMBER(SEARCH("account",B257)),ISNUMBER(SEARCH("finance",B257)),ISNUMBER(SEARCH("tax",B257)),ISNUMBER(SEARCH("audit",B257))),"Accountant / Finance",OR(ISNUMBER(SEARCH("customer service",B257)),ISNUMBER(SEARCH("customer support",B257)),ISNUMBER(SEARCH("customer care",B257)),ISNUMBER(SEARCH("voice process",B257)),ISNUMBER(SEARCH("bpo",B257))),"Customer Support",ISNUMBER(SEARCH("engineer",B257)),"Engineer (Technical)",ISNUMBER(SEARCH("manager",B257)),"Manager",OR(ISNUMBER(SEARCH("teacher",B257)),ISNUMBER(SEARCH("trainer",B257)),ISNUMBER(SEARCH("faculty",B257))),"Teacher / Trainer",OR(ISNUMBER(SEARCH("doctor",B257)),ISNUMBER(SEARCH("nurse",B257)),ISNUMBER(SEARCH("medical",B257)),ISNUMBER(SEARCH("pharma",B257)),ISNUMBER(SEARCH("clinical",B257))),"Healthcare",TRUE,"Other")</f>
        <v/>
      </c>
      <c r="B175">
        <f>IF(PROPER(TRIM(Raw_Data!D255))="Bangalore","Bengaluru",IF(PROPER(TRIM(Raw_Data!D255))="Gurgaon","Gurugram",IF(OR(PROPER(TRIM(Raw_Data!D255))="New Delhi",PROPER(TRIM(Raw_Data!D255))="Delhi"),"Delhi",PROPER(TRIM(Raw_Data!D255)))))</f>
        <v/>
      </c>
      <c r="C175">
        <f>IF(TRIM(Raw_Data!F255&amp;"")="","Not Specified",Raw_Data!F255)</f>
        <v/>
      </c>
      <c r="D175">
        <f>Raw_Data!H255</f>
        <v/>
      </c>
      <c r="E175">
        <f>Raw_Data!E255</f>
        <v/>
      </c>
    </row>
    <row r="176">
      <c r="A176">
        <f>_xlfn.IFS(ISNUMBER(SEARCH("data analy",B258)),"Data Analyst",ISNUMBER(SEARCH("business analy",B258)),"Business Analyst",OR(ISNUMBER(SEARCH("developer",B258)),ISNUMBER(SEARCH("software engineer",B258)),ISNUMBER(SEARCH("programmer",B258))),"Software Developer",ISNUMBER(SEARCH("business development",B258)),"Business Development",ISNUMBER(SEARCH("sales",B258)),"Sales Executive",ISNUMBER(SEARCH("marketing",B258)),"Marketing Executive",OR(ISNUMBER(SEARCH("hr ",B258)),ISNUMBER(SEARCH("recruit",B258)),ISNUMBER(SEARCH("human resource",B258))),"HR / Recruiter",OR(ISNUMBER(SEARCH("account",B258)),ISNUMBER(SEARCH("finance",B258)),ISNUMBER(SEARCH("tax",B258)),ISNUMBER(SEARCH("audit",B258))),"Accountant / Finance",OR(ISNUMBER(SEARCH("customer service",B258)),ISNUMBER(SEARCH("customer support",B258)),ISNUMBER(SEARCH("customer care",B258)),ISNUMBER(SEARCH("voice process",B258)),ISNUMBER(SEARCH("bpo",B258))),"Customer Support",ISNUMBER(SEARCH("engineer",B258)),"Engineer (Technical)",ISNUMBER(SEARCH("manager",B258)),"Manager",OR(ISNUMBER(SEARCH("teacher",B258)),ISNUMBER(SEARCH("trainer",B258)),ISNUMBER(SEARCH("faculty",B258))),"Teacher / Trainer",OR(ISNUMBER(SEARCH("doctor",B258)),ISNUMBER(SEARCH("nurse",B258)),ISNUMBER(SEARCH("medical",B258)),ISNUMBER(SEARCH("pharma",B258)),ISNUMBER(SEARCH("clinical",B258))),"Healthcare",TRUE,"Other")</f>
        <v/>
      </c>
      <c r="B176">
        <f>IF(PROPER(TRIM(Raw_Data!D256))="Bangalore","Bengaluru",IF(PROPER(TRIM(Raw_Data!D256))="Gurgaon","Gurugram",IF(OR(PROPER(TRIM(Raw_Data!D256))="New Delhi",PROPER(TRIM(Raw_Data!D256))="Delhi"),"Delhi",PROPER(TRIM(Raw_Data!D256)))))</f>
        <v/>
      </c>
      <c r="C176">
        <f>IF(TRIM(Raw_Data!F256&amp;"")="","Not Specified",Raw_Data!F256)</f>
        <v/>
      </c>
      <c r="D176">
        <f>Raw_Data!H256</f>
        <v/>
      </c>
      <c r="E176">
        <f>Raw_Data!E256</f>
        <v/>
      </c>
    </row>
    <row r="177">
      <c r="A177">
        <f>_xlfn.IFS(ISNUMBER(SEARCH("data analy",B259)),"Data Analyst",ISNUMBER(SEARCH("business analy",B259)),"Business Analyst",OR(ISNUMBER(SEARCH("developer",B259)),ISNUMBER(SEARCH("software engineer",B259)),ISNUMBER(SEARCH("programmer",B259))),"Software Developer",ISNUMBER(SEARCH("business development",B259)),"Business Development",ISNUMBER(SEARCH("sales",B259)),"Sales Executive",ISNUMBER(SEARCH("marketing",B259)),"Marketing Executive",OR(ISNUMBER(SEARCH("hr ",B259)),ISNUMBER(SEARCH("recruit",B259)),ISNUMBER(SEARCH("human resource",B259))),"HR / Recruiter",OR(ISNUMBER(SEARCH("account",B259)),ISNUMBER(SEARCH("finance",B259)),ISNUMBER(SEARCH("tax",B259)),ISNUMBER(SEARCH("audit",B259))),"Accountant / Finance",OR(ISNUMBER(SEARCH("customer service",B259)),ISNUMBER(SEARCH("customer support",B259)),ISNUMBER(SEARCH("customer care",B259)),ISNUMBER(SEARCH("voice process",B259)),ISNUMBER(SEARCH("bpo",B259))),"Customer Support",ISNUMBER(SEARCH("engineer",B259)),"Engineer (Technical)",ISNUMBER(SEARCH("manager",B259)),"Manager",OR(ISNUMBER(SEARCH("teacher",B259)),ISNUMBER(SEARCH("trainer",B259)),ISNUMBER(SEARCH("faculty",B259))),"Teacher / Trainer",OR(ISNUMBER(SEARCH("doctor",B259)),ISNUMBER(SEARCH("nurse",B259)),ISNUMBER(SEARCH("medical",B259)),ISNUMBER(SEARCH("pharma",B259)),ISNUMBER(SEARCH("clinical",B259))),"Healthcare",TRUE,"Other")</f>
        <v/>
      </c>
      <c r="B177">
        <f>IF(PROPER(TRIM(Raw_Data!D257))="Bangalore","Bengaluru",IF(PROPER(TRIM(Raw_Data!D257))="Gurgaon","Gurugram",IF(OR(PROPER(TRIM(Raw_Data!D257))="New Delhi",PROPER(TRIM(Raw_Data!D257))="Delhi"),"Delhi",PROPER(TRIM(Raw_Data!D257)))))</f>
        <v/>
      </c>
      <c r="C177">
        <f>IF(TRIM(Raw_Data!F257&amp;"")="","Not Specified",Raw_Data!F257)</f>
        <v/>
      </c>
      <c r="D177">
        <f>Raw_Data!H257</f>
        <v/>
      </c>
      <c r="E177">
        <f>Raw_Data!E257</f>
        <v/>
      </c>
    </row>
    <row r="178">
      <c r="A178">
        <f>_xlfn.IFS(ISNUMBER(SEARCH("data analy",B26)),"Data Analyst",ISNUMBER(SEARCH("business analy",B26)),"Business Analyst",OR(ISNUMBER(SEARCH("developer",B26)),ISNUMBER(SEARCH("software engineer",B26)),ISNUMBER(SEARCH("programmer",B26))),"Software Developer",ISNUMBER(SEARCH("business development",B26)),"Business Development",ISNUMBER(SEARCH("sales",B26)),"Sales Executive",ISNUMBER(SEARCH("marketing",B26)),"Marketing Executive",OR(ISNUMBER(SEARCH("hr ",B26)),ISNUMBER(SEARCH("recruit",B26)),ISNUMBER(SEARCH("human resource",B26))),"HR / Recruiter",OR(ISNUMBER(SEARCH("account",B26)),ISNUMBER(SEARCH("finance",B26)),ISNUMBER(SEARCH("tax",B26)),ISNUMBER(SEARCH("audit",B26))),"Accountant / Finance",OR(ISNUMBER(SEARCH("customer service",B26)),ISNUMBER(SEARCH("customer support",B26)),ISNUMBER(SEARCH("customer care",B26)),ISNUMBER(SEARCH("voice process",B26)),ISNUMBER(SEARCH("bpo",B26))),"Customer Support",ISNUMBER(SEARCH("engineer",B26)),"Engineer (Technical)",ISNUMBER(SEARCH("manager",B26)),"Manager",OR(ISNUMBER(SEARCH("teacher",B26)),ISNUMBER(SEARCH("trainer",B26)),ISNUMBER(SEARCH("faculty",B26))),"Teacher / Trainer",OR(ISNUMBER(SEARCH("doctor",B26)),ISNUMBER(SEARCH("nurse",B26)),ISNUMBER(SEARCH("medical",B26)),ISNUMBER(SEARCH("pharma",B26)),ISNUMBER(SEARCH("clinical",B26))),"Healthcare",TRUE,"Other")</f>
        <v/>
      </c>
      <c r="B178">
        <f>IF(PROPER(TRIM(Raw_Data!D258))="Bangalore","Bengaluru",IF(PROPER(TRIM(Raw_Data!D258))="Gurgaon","Gurugram",IF(OR(PROPER(TRIM(Raw_Data!D258))="New Delhi",PROPER(TRIM(Raw_Data!D258))="Delhi"),"Delhi",PROPER(TRIM(Raw_Data!D258)))))</f>
        <v/>
      </c>
      <c r="C178">
        <f>IF(TRIM(Raw_Data!F258&amp;"")="","Not Specified",Raw_Data!F258)</f>
        <v/>
      </c>
      <c r="D178">
        <f>Raw_Data!H258</f>
        <v/>
      </c>
      <c r="E178">
        <f>Raw_Data!E258</f>
        <v/>
      </c>
    </row>
    <row r="179">
      <c r="A179">
        <f>_xlfn.IFS(ISNUMBER(SEARCH("data analy",B260)),"Data Analyst",ISNUMBER(SEARCH("business analy",B260)),"Business Analyst",OR(ISNUMBER(SEARCH("developer",B260)),ISNUMBER(SEARCH("software engineer",B260)),ISNUMBER(SEARCH("programmer",B260))),"Software Developer",ISNUMBER(SEARCH("business development",B260)),"Business Development",ISNUMBER(SEARCH("sales",B260)),"Sales Executive",ISNUMBER(SEARCH("marketing",B260)),"Marketing Executive",OR(ISNUMBER(SEARCH("hr ",B260)),ISNUMBER(SEARCH("recruit",B260)),ISNUMBER(SEARCH("human resource",B260))),"HR / Recruiter",OR(ISNUMBER(SEARCH("account",B260)),ISNUMBER(SEARCH("finance",B260)),ISNUMBER(SEARCH("tax",B260)),ISNUMBER(SEARCH("audit",B260))),"Accountant / Finance",OR(ISNUMBER(SEARCH("customer service",B260)),ISNUMBER(SEARCH("customer support",B260)),ISNUMBER(SEARCH("customer care",B260)),ISNUMBER(SEARCH("voice process",B260)),ISNUMBER(SEARCH("bpo",B260))),"Customer Support",ISNUMBER(SEARCH("engineer",B260)),"Engineer (Technical)",ISNUMBER(SEARCH("manager",B260)),"Manager",OR(ISNUMBER(SEARCH("teacher",B260)),ISNUMBER(SEARCH("trainer",B260)),ISNUMBER(SEARCH("faculty",B260))),"Teacher / Trainer",OR(ISNUMBER(SEARCH("doctor",B260)),ISNUMBER(SEARCH("nurse",B260)),ISNUMBER(SEARCH("medical",B260)),ISNUMBER(SEARCH("pharma",B260)),ISNUMBER(SEARCH("clinical",B260))),"Healthcare",TRUE,"Other")</f>
        <v/>
      </c>
      <c r="B179">
        <f>IF(PROPER(TRIM(Raw_Data!D259))="Bangalore","Bengaluru",IF(PROPER(TRIM(Raw_Data!D259))="Gurgaon","Gurugram",IF(OR(PROPER(TRIM(Raw_Data!D259))="New Delhi",PROPER(TRIM(Raw_Data!D259))="Delhi"),"Delhi",PROPER(TRIM(Raw_Data!D259)))))</f>
        <v/>
      </c>
      <c r="C179">
        <f>IF(TRIM(Raw_Data!F259&amp;"")="","Not Specified",Raw_Data!F259)</f>
        <v/>
      </c>
      <c r="D179">
        <f>Raw_Data!H259</f>
        <v/>
      </c>
      <c r="E179">
        <f>Raw_Data!E259</f>
        <v/>
      </c>
    </row>
    <row r="180">
      <c r="A180">
        <f>_xlfn.IFS(ISNUMBER(SEARCH("data analy",B261)),"Data Analyst",ISNUMBER(SEARCH("business analy",B261)),"Business Analyst",OR(ISNUMBER(SEARCH("developer",B261)),ISNUMBER(SEARCH("software engineer",B261)),ISNUMBER(SEARCH("programmer",B261))),"Software Developer",ISNUMBER(SEARCH("business development",B261)),"Business Development",ISNUMBER(SEARCH("sales",B261)),"Sales Executive",ISNUMBER(SEARCH("marketing",B261)),"Marketing Executive",OR(ISNUMBER(SEARCH("hr ",B261)),ISNUMBER(SEARCH("recruit",B261)),ISNUMBER(SEARCH("human resource",B261))),"HR / Recruiter",OR(ISNUMBER(SEARCH("account",B261)),ISNUMBER(SEARCH("finance",B261)),ISNUMBER(SEARCH("tax",B261)),ISNUMBER(SEARCH("audit",B261))),"Accountant / Finance",OR(ISNUMBER(SEARCH("customer service",B261)),ISNUMBER(SEARCH("customer support",B261)),ISNUMBER(SEARCH("customer care",B261)),ISNUMBER(SEARCH("voice process",B261)),ISNUMBER(SEARCH("bpo",B261))),"Customer Support",ISNUMBER(SEARCH("engineer",B261)),"Engineer (Technical)",ISNUMBER(SEARCH("manager",B261)),"Manager",OR(ISNUMBER(SEARCH("teacher",B261)),ISNUMBER(SEARCH("trainer",B261)),ISNUMBER(SEARCH("faculty",B261))),"Teacher / Trainer",OR(ISNUMBER(SEARCH("doctor",B261)),ISNUMBER(SEARCH("nurse",B261)),ISNUMBER(SEARCH("medical",B261)),ISNUMBER(SEARCH("pharma",B261)),ISNUMBER(SEARCH("clinical",B261))),"Healthcare",TRUE,"Other")</f>
        <v/>
      </c>
      <c r="B180">
        <f>IF(PROPER(TRIM(Raw_Data!D26))="Bangalore","Bengaluru",IF(PROPER(TRIM(Raw_Data!D26))="Gurgaon","Gurugram",IF(OR(PROPER(TRIM(Raw_Data!D26))="New Delhi",PROPER(TRIM(Raw_Data!D26))="Delhi"),"Delhi",PROPER(TRIM(Raw_Data!D26)))))</f>
        <v/>
      </c>
      <c r="C180">
        <f>IF(TRIM(Raw_Data!F26&amp;"")="","Not Specified",Raw_Data!F26)</f>
        <v/>
      </c>
      <c r="D180">
        <f>Raw_Data!H26</f>
        <v/>
      </c>
      <c r="E180">
        <f>Raw_Data!E26</f>
        <v/>
      </c>
    </row>
    <row r="181">
      <c r="A181">
        <f>_xlfn.IFS(ISNUMBER(SEARCH("data analy",B262)),"Data Analyst",ISNUMBER(SEARCH("business analy",B262)),"Business Analyst",OR(ISNUMBER(SEARCH("developer",B262)),ISNUMBER(SEARCH("software engineer",B262)),ISNUMBER(SEARCH("programmer",B262))),"Software Developer",ISNUMBER(SEARCH("business development",B262)),"Business Development",ISNUMBER(SEARCH("sales",B262)),"Sales Executive",ISNUMBER(SEARCH("marketing",B262)),"Marketing Executive",OR(ISNUMBER(SEARCH("hr ",B262)),ISNUMBER(SEARCH("recruit",B262)),ISNUMBER(SEARCH("human resource",B262))),"HR / Recruiter",OR(ISNUMBER(SEARCH("account",B262)),ISNUMBER(SEARCH("finance",B262)),ISNUMBER(SEARCH("tax",B262)),ISNUMBER(SEARCH("audit",B262))),"Accountant / Finance",OR(ISNUMBER(SEARCH("customer service",B262)),ISNUMBER(SEARCH("customer support",B262)),ISNUMBER(SEARCH("customer care",B262)),ISNUMBER(SEARCH("voice process",B262)),ISNUMBER(SEARCH("bpo",B262))),"Customer Support",ISNUMBER(SEARCH("engineer",B262)),"Engineer (Technical)",ISNUMBER(SEARCH("manager",B262)),"Manager",OR(ISNUMBER(SEARCH("teacher",B262)),ISNUMBER(SEARCH("trainer",B262)),ISNUMBER(SEARCH("faculty",B262))),"Teacher / Trainer",OR(ISNUMBER(SEARCH("doctor",B262)),ISNUMBER(SEARCH("nurse",B262)),ISNUMBER(SEARCH("medical",B262)),ISNUMBER(SEARCH("pharma",B262)),ISNUMBER(SEARCH("clinical",B262))),"Healthcare",TRUE,"Other")</f>
        <v/>
      </c>
      <c r="B181">
        <f>IF(PROPER(TRIM(Raw_Data!D260))="Bangalore","Bengaluru",IF(PROPER(TRIM(Raw_Data!D260))="Gurgaon","Gurugram",IF(OR(PROPER(TRIM(Raw_Data!D260))="New Delhi",PROPER(TRIM(Raw_Data!D260))="Delhi"),"Delhi",PROPER(TRIM(Raw_Data!D260)))))</f>
        <v/>
      </c>
      <c r="C181">
        <f>IF(TRIM(Raw_Data!F260&amp;"")="","Not Specified",Raw_Data!F260)</f>
        <v/>
      </c>
      <c r="D181">
        <f>Raw_Data!H260</f>
        <v/>
      </c>
      <c r="E181">
        <f>Raw_Data!E260</f>
        <v/>
      </c>
    </row>
    <row r="182">
      <c r="A182">
        <f>_xlfn.IFS(ISNUMBER(SEARCH("data analy",B263)),"Data Analyst",ISNUMBER(SEARCH("business analy",B263)),"Business Analyst",OR(ISNUMBER(SEARCH("developer",B263)),ISNUMBER(SEARCH("software engineer",B263)),ISNUMBER(SEARCH("programmer",B263))),"Software Developer",ISNUMBER(SEARCH("business development",B263)),"Business Development",ISNUMBER(SEARCH("sales",B263)),"Sales Executive",ISNUMBER(SEARCH("marketing",B263)),"Marketing Executive",OR(ISNUMBER(SEARCH("hr ",B263)),ISNUMBER(SEARCH("recruit",B263)),ISNUMBER(SEARCH("human resource",B263))),"HR / Recruiter",OR(ISNUMBER(SEARCH("account",B263)),ISNUMBER(SEARCH("finance",B263)),ISNUMBER(SEARCH("tax",B263)),ISNUMBER(SEARCH("audit",B263))),"Accountant / Finance",OR(ISNUMBER(SEARCH("customer service",B263)),ISNUMBER(SEARCH("customer support",B263)),ISNUMBER(SEARCH("customer care",B263)),ISNUMBER(SEARCH("voice process",B263)),ISNUMBER(SEARCH("bpo",B263))),"Customer Support",ISNUMBER(SEARCH("engineer",B263)),"Engineer (Technical)",ISNUMBER(SEARCH("manager",B263)),"Manager",OR(ISNUMBER(SEARCH("teacher",B263)),ISNUMBER(SEARCH("trainer",B263)),ISNUMBER(SEARCH("faculty",B263))),"Teacher / Trainer",OR(ISNUMBER(SEARCH("doctor",B263)),ISNUMBER(SEARCH("nurse",B263)),ISNUMBER(SEARCH("medical",B263)),ISNUMBER(SEARCH("pharma",B263)),ISNUMBER(SEARCH("clinical",B263))),"Healthcare",TRUE,"Other")</f>
        <v/>
      </c>
      <c r="B182">
        <f>IF(PROPER(TRIM(Raw_Data!D261))="Bangalore","Bengaluru",IF(PROPER(TRIM(Raw_Data!D261))="Gurgaon","Gurugram",IF(OR(PROPER(TRIM(Raw_Data!D261))="New Delhi",PROPER(TRIM(Raw_Data!D261))="Delhi"),"Delhi",PROPER(TRIM(Raw_Data!D261)))))</f>
        <v/>
      </c>
      <c r="C182">
        <f>IF(TRIM(Raw_Data!F261&amp;"")="","Not Specified",Raw_Data!F261)</f>
        <v/>
      </c>
      <c r="D182">
        <f>Raw_Data!H261</f>
        <v/>
      </c>
      <c r="E182">
        <f>Raw_Data!E261</f>
        <v/>
      </c>
    </row>
    <row r="183">
      <c r="A183">
        <f>_xlfn.IFS(ISNUMBER(SEARCH("data analy",B264)),"Data Analyst",ISNUMBER(SEARCH("business analy",B264)),"Business Analyst",OR(ISNUMBER(SEARCH("developer",B264)),ISNUMBER(SEARCH("software engineer",B264)),ISNUMBER(SEARCH("programmer",B264))),"Software Developer",ISNUMBER(SEARCH("business development",B264)),"Business Development",ISNUMBER(SEARCH("sales",B264)),"Sales Executive",ISNUMBER(SEARCH("marketing",B264)),"Marketing Executive",OR(ISNUMBER(SEARCH("hr ",B264)),ISNUMBER(SEARCH("recruit",B264)),ISNUMBER(SEARCH("human resource",B264))),"HR / Recruiter",OR(ISNUMBER(SEARCH("account",B264)),ISNUMBER(SEARCH("finance",B264)),ISNUMBER(SEARCH("tax",B264)),ISNUMBER(SEARCH("audit",B264))),"Accountant / Finance",OR(ISNUMBER(SEARCH("customer service",B264)),ISNUMBER(SEARCH("customer support",B264)),ISNUMBER(SEARCH("customer care",B264)),ISNUMBER(SEARCH("voice process",B264)),ISNUMBER(SEARCH("bpo",B264))),"Customer Support",ISNUMBER(SEARCH("engineer",B264)),"Engineer (Technical)",ISNUMBER(SEARCH("manager",B264)),"Manager",OR(ISNUMBER(SEARCH("teacher",B264)),ISNUMBER(SEARCH("trainer",B264)),ISNUMBER(SEARCH("faculty",B264))),"Teacher / Trainer",OR(ISNUMBER(SEARCH("doctor",B264)),ISNUMBER(SEARCH("nurse",B264)),ISNUMBER(SEARCH("medical",B264)),ISNUMBER(SEARCH("pharma",B264)),ISNUMBER(SEARCH("clinical",B264))),"Healthcare",TRUE,"Other")</f>
        <v/>
      </c>
      <c r="B183">
        <f>IF(PROPER(TRIM(Raw_Data!D262))="Bangalore","Bengaluru",IF(PROPER(TRIM(Raw_Data!D262))="Gurgaon","Gurugram",IF(OR(PROPER(TRIM(Raw_Data!D262))="New Delhi",PROPER(TRIM(Raw_Data!D262))="Delhi"),"Delhi",PROPER(TRIM(Raw_Data!D262)))))</f>
        <v/>
      </c>
      <c r="C183">
        <f>IF(TRIM(Raw_Data!F262&amp;"")="","Not Specified",Raw_Data!F262)</f>
        <v/>
      </c>
      <c r="D183">
        <f>Raw_Data!H262</f>
        <v/>
      </c>
      <c r="E183">
        <f>Raw_Data!E262</f>
        <v/>
      </c>
    </row>
    <row r="184">
      <c r="A184">
        <f>_xlfn.IFS(ISNUMBER(SEARCH("data analy",B265)),"Data Analyst",ISNUMBER(SEARCH("business analy",B265)),"Business Analyst",OR(ISNUMBER(SEARCH("developer",B265)),ISNUMBER(SEARCH("software engineer",B265)),ISNUMBER(SEARCH("programmer",B265))),"Software Developer",ISNUMBER(SEARCH("business development",B265)),"Business Development",ISNUMBER(SEARCH("sales",B265)),"Sales Executive",ISNUMBER(SEARCH("marketing",B265)),"Marketing Executive",OR(ISNUMBER(SEARCH("hr ",B265)),ISNUMBER(SEARCH("recruit",B265)),ISNUMBER(SEARCH("human resource",B265))),"HR / Recruiter",OR(ISNUMBER(SEARCH("account",B265)),ISNUMBER(SEARCH("finance",B265)),ISNUMBER(SEARCH("tax",B265)),ISNUMBER(SEARCH("audit",B265))),"Accountant / Finance",OR(ISNUMBER(SEARCH("customer service",B265)),ISNUMBER(SEARCH("customer support",B265)),ISNUMBER(SEARCH("customer care",B265)),ISNUMBER(SEARCH("voice process",B265)),ISNUMBER(SEARCH("bpo",B265))),"Customer Support",ISNUMBER(SEARCH("engineer",B265)),"Engineer (Technical)",ISNUMBER(SEARCH("manager",B265)),"Manager",OR(ISNUMBER(SEARCH("teacher",B265)),ISNUMBER(SEARCH("trainer",B265)),ISNUMBER(SEARCH("faculty",B265))),"Teacher / Trainer",OR(ISNUMBER(SEARCH("doctor",B265)),ISNUMBER(SEARCH("nurse",B265)),ISNUMBER(SEARCH("medical",B265)),ISNUMBER(SEARCH("pharma",B265)),ISNUMBER(SEARCH("clinical",B265))),"Healthcare",TRUE,"Other")</f>
        <v/>
      </c>
      <c r="B184">
        <f>IF(PROPER(TRIM(Raw_Data!D263))="Bangalore","Bengaluru",IF(PROPER(TRIM(Raw_Data!D263))="Gurgaon","Gurugram",IF(OR(PROPER(TRIM(Raw_Data!D263))="New Delhi",PROPER(TRIM(Raw_Data!D263))="Delhi"),"Delhi",PROPER(TRIM(Raw_Data!D263)))))</f>
        <v/>
      </c>
      <c r="C184">
        <f>IF(TRIM(Raw_Data!F263&amp;"")="","Not Specified",Raw_Data!F263)</f>
        <v/>
      </c>
      <c r="D184">
        <f>Raw_Data!H263</f>
        <v/>
      </c>
      <c r="E184">
        <f>Raw_Data!E263</f>
        <v/>
      </c>
    </row>
    <row r="185">
      <c r="A185">
        <f>_xlfn.IFS(ISNUMBER(SEARCH("data analy",B266)),"Data Analyst",ISNUMBER(SEARCH("business analy",B266)),"Business Analyst",OR(ISNUMBER(SEARCH("developer",B266)),ISNUMBER(SEARCH("software engineer",B266)),ISNUMBER(SEARCH("programmer",B266))),"Software Developer",ISNUMBER(SEARCH("business development",B266)),"Business Development",ISNUMBER(SEARCH("sales",B266)),"Sales Executive",ISNUMBER(SEARCH("marketing",B266)),"Marketing Executive",OR(ISNUMBER(SEARCH("hr ",B266)),ISNUMBER(SEARCH("recruit",B266)),ISNUMBER(SEARCH("human resource",B266))),"HR / Recruiter",OR(ISNUMBER(SEARCH("account",B266)),ISNUMBER(SEARCH("finance",B266)),ISNUMBER(SEARCH("tax",B266)),ISNUMBER(SEARCH("audit",B266))),"Accountant / Finance",OR(ISNUMBER(SEARCH("customer service",B266)),ISNUMBER(SEARCH("customer support",B266)),ISNUMBER(SEARCH("customer care",B266)),ISNUMBER(SEARCH("voice process",B266)),ISNUMBER(SEARCH("bpo",B266))),"Customer Support",ISNUMBER(SEARCH("engineer",B266)),"Engineer (Technical)",ISNUMBER(SEARCH("manager",B266)),"Manager",OR(ISNUMBER(SEARCH("teacher",B266)),ISNUMBER(SEARCH("trainer",B266)),ISNUMBER(SEARCH("faculty",B266))),"Teacher / Trainer",OR(ISNUMBER(SEARCH("doctor",B266)),ISNUMBER(SEARCH("nurse",B266)),ISNUMBER(SEARCH("medical",B266)),ISNUMBER(SEARCH("pharma",B266)),ISNUMBER(SEARCH("clinical",B266))),"Healthcare",TRUE,"Other")</f>
        <v/>
      </c>
      <c r="B185">
        <f>IF(PROPER(TRIM(Raw_Data!D264))="Bangalore","Bengaluru",IF(PROPER(TRIM(Raw_Data!D264))="Gurgaon","Gurugram",IF(OR(PROPER(TRIM(Raw_Data!D264))="New Delhi",PROPER(TRIM(Raw_Data!D264))="Delhi"),"Delhi",PROPER(TRIM(Raw_Data!D264)))))</f>
        <v/>
      </c>
      <c r="C185">
        <f>IF(TRIM(Raw_Data!F264&amp;"")="","Not Specified",Raw_Data!F264)</f>
        <v/>
      </c>
      <c r="D185">
        <f>Raw_Data!H264</f>
        <v/>
      </c>
      <c r="E185">
        <f>Raw_Data!E264</f>
        <v/>
      </c>
    </row>
    <row r="186">
      <c r="A186">
        <f>_xlfn.IFS(ISNUMBER(SEARCH("data analy",B267)),"Data Analyst",ISNUMBER(SEARCH("business analy",B267)),"Business Analyst",OR(ISNUMBER(SEARCH("developer",B267)),ISNUMBER(SEARCH("software engineer",B267)),ISNUMBER(SEARCH("programmer",B267))),"Software Developer",ISNUMBER(SEARCH("business development",B267)),"Business Development",ISNUMBER(SEARCH("sales",B267)),"Sales Executive",ISNUMBER(SEARCH("marketing",B267)),"Marketing Executive",OR(ISNUMBER(SEARCH("hr ",B267)),ISNUMBER(SEARCH("recruit",B267)),ISNUMBER(SEARCH("human resource",B267))),"HR / Recruiter",OR(ISNUMBER(SEARCH("account",B267)),ISNUMBER(SEARCH("finance",B267)),ISNUMBER(SEARCH("tax",B267)),ISNUMBER(SEARCH("audit",B267))),"Accountant / Finance",OR(ISNUMBER(SEARCH("customer service",B267)),ISNUMBER(SEARCH("customer support",B267)),ISNUMBER(SEARCH("customer care",B267)),ISNUMBER(SEARCH("voice process",B267)),ISNUMBER(SEARCH("bpo",B267))),"Customer Support",ISNUMBER(SEARCH("engineer",B267)),"Engineer (Technical)",ISNUMBER(SEARCH("manager",B267)),"Manager",OR(ISNUMBER(SEARCH("teacher",B267)),ISNUMBER(SEARCH("trainer",B267)),ISNUMBER(SEARCH("faculty",B267))),"Teacher / Trainer",OR(ISNUMBER(SEARCH("doctor",B267)),ISNUMBER(SEARCH("nurse",B267)),ISNUMBER(SEARCH("medical",B267)),ISNUMBER(SEARCH("pharma",B267)),ISNUMBER(SEARCH("clinical",B267))),"Healthcare",TRUE,"Other")</f>
        <v/>
      </c>
      <c r="B186">
        <f>IF(PROPER(TRIM(Raw_Data!D265))="Bangalore","Bengaluru",IF(PROPER(TRIM(Raw_Data!D265))="Gurgaon","Gurugram",IF(OR(PROPER(TRIM(Raw_Data!D265))="New Delhi",PROPER(TRIM(Raw_Data!D265))="Delhi"),"Delhi",PROPER(TRIM(Raw_Data!D265)))))</f>
        <v/>
      </c>
      <c r="C186">
        <f>IF(TRIM(Raw_Data!F265&amp;"")="","Not Specified",Raw_Data!F265)</f>
        <v/>
      </c>
      <c r="D186">
        <f>Raw_Data!H265</f>
        <v/>
      </c>
      <c r="E186">
        <f>Raw_Data!E265</f>
        <v/>
      </c>
    </row>
    <row r="187">
      <c r="A187">
        <f>_xlfn.IFS(ISNUMBER(SEARCH("data analy",B268)),"Data Analyst",ISNUMBER(SEARCH("business analy",B268)),"Business Analyst",OR(ISNUMBER(SEARCH("developer",B268)),ISNUMBER(SEARCH("software engineer",B268)),ISNUMBER(SEARCH("programmer",B268))),"Software Developer",ISNUMBER(SEARCH("business development",B268)),"Business Development",ISNUMBER(SEARCH("sales",B268)),"Sales Executive",ISNUMBER(SEARCH("marketing",B268)),"Marketing Executive",OR(ISNUMBER(SEARCH("hr ",B268)),ISNUMBER(SEARCH("recruit",B268)),ISNUMBER(SEARCH("human resource",B268))),"HR / Recruiter",OR(ISNUMBER(SEARCH("account",B268)),ISNUMBER(SEARCH("finance",B268)),ISNUMBER(SEARCH("tax",B268)),ISNUMBER(SEARCH("audit",B268))),"Accountant / Finance",OR(ISNUMBER(SEARCH("customer service",B268)),ISNUMBER(SEARCH("customer support",B268)),ISNUMBER(SEARCH("customer care",B268)),ISNUMBER(SEARCH("voice process",B268)),ISNUMBER(SEARCH("bpo",B268))),"Customer Support",ISNUMBER(SEARCH("engineer",B268)),"Engineer (Technical)",ISNUMBER(SEARCH("manager",B268)),"Manager",OR(ISNUMBER(SEARCH("teacher",B268)),ISNUMBER(SEARCH("trainer",B268)),ISNUMBER(SEARCH("faculty",B268))),"Teacher / Trainer",OR(ISNUMBER(SEARCH("doctor",B268)),ISNUMBER(SEARCH("nurse",B268)),ISNUMBER(SEARCH("medical",B268)),ISNUMBER(SEARCH("pharma",B268)),ISNUMBER(SEARCH("clinical",B268))),"Healthcare",TRUE,"Other")</f>
        <v/>
      </c>
      <c r="B187">
        <f>IF(PROPER(TRIM(Raw_Data!D266))="Bangalore","Bengaluru",IF(PROPER(TRIM(Raw_Data!D266))="Gurgaon","Gurugram",IF(OR(PROPER(TRIM(Raw_Data!D266))="New Delhi",PROPER(TRIM(Raw_Data!D266))="Delhi"),"Delhi",PROPER(TRIM(Raw_Data!D266)))))</f>
        <v/>
      </c>
      <c r="C187">
        <f>IF(TRIM(Raw_Data!F266&amp;"")="","Not Specified",Raw_Data!F266)</f>
        <v/>
      </c>
      <c r="D187">
        <f>Raw_Data!H266</f>
        <v/>
      </c>
      <c r="E187">
        <f>Raw_Data!E266</f>
        <v/>
      </c>
    </row>
    <row r="188">
      <c r="A188">
        <f>_xlfn.IFS(ISNUMBER(SEARCH("data analy",B269)),"Data Analyst",ISNUMBER(SEARCH("business analy",B269)),"Business Analyst",OR(ISNUMBER(SEARCH("developer",B269)),ISNUMBER(SEARCH("software engineer",B269)),ISNUMBER(SEARCH("programmer",B269))),"Software Developer",ISNUMBER(SEARCH("business development",B269)),"Business Development",ISNUMBER(SEARCH("sales",B269)),"Sales Executive",ISNUMBER(SEARCH("marketing",B269)),"Marketing Executive",OR(ISNUMBER(SEARCH("hr ",B269)),ISNUMBER(SEARCH("recruit",B269)),ISNUMBER(SEARCH("human resource",B269))),"HR / Recruiter",OR(ISNUMBER(SEARCH("account",B269)),ISNUMBER(SEARCH("finance",B269)),ISNUMBER(SEARCH("tax",B269)),ISNUMBER(SEARCH("audit",B269))),"Accountant / Finance",OR(ISNUMBER(SEARCH("customer service",B269)),ISNUMBER(SEARCH("customer support",B269)),ISNUMBER(SEARCH("customer care",B269)),ISNUMBER(SEARCH("voice process",B269)),ISNUMBER(SEARCH("bpo",B269))),"Customer Support",ISNUMBER(SEARCH("engineer",B269)),"Engineer (Technical)",ISNUMBER(SEARCH("manager",B269)),"Manager",OR(ISNUMBER(SEARCH("teacher",B269)),ISNUMBER(SEARCH("trainer",B269)),ISNUMBER(SEARCH("faculty",B269))),"Teacher / Trainer",OR(ISNUMBER(SEARCH("doctor",B269)),ISNUMBER(SEARCH("nurse",B269)),ISNUMBER(SEARCH("medical",B269)),ISNUMBER(SEARCH("pharma",B269)),ISNUMBER(SEARCH("clinical",B269))),"Healthcare",TRUE,"Other")</f>
        <v/>
      </c>
      <c r="B188">
        <f>IF(PROPER(TRIM(Raw_Data!D267))="Bangalore","Bengaluru",IF(PROPER(TRIM(Raw_Data!D267))="Gurgaon","Gurugram",IF(OR(PROPER(TRIM(Raw_Data!D267))="New Delhi",PROPER(TRIM(Raw_Data!D267))="Delhi"),"Delhi",PROPER(TRIM(Raw_Data!D267)))))</f>
        <v/>
      </c>
      <c r="C188">
        <f>IF(TRIM(Raw_Data!F267&amp;"")="","Not Specified",Raw_Data!F267)</f>
        <v/>
      </c>
      <c r="D188">
        <f>Raw_Data!H267</f>
        <v/>
      </c>
      <c r="E188">
        <f>Raw_Data!E267</f>
        <v/>
      </c>
    </row>
    <row r="189">
      <c r="A189">
        <f>_xlfn.IFS(ISNUMBER(SEARCH("data analy",B27)),"Data Analyst",ISNUMBER(SEARCH("business analy",B27)),"Business Analyst",OR(ISNUMBER(SEARCH("developer",B27)),ISNUMBER(SEARCH("software engineer",B27)),ISNUMBER(SEARCH("programmer",B27))),"Software Developer",ISNUMBER(SEARCH("business development",B27)),"Business Development",ISNUMBER(SEARCH("sales",B27)),"Sales Executive",ISNUMBER(SEARCH("marketing",B27)),"Marketing Executive",OR(ISNUMBER(SEARCH("hr ",B27)),ISNUMBER(SEARCH("recruit",B27)),ISNUMBER(SEARCH("human resource",B27))),"HR / Recruiter",OR(ISNUMBER(SEARCH("account",B27)),ISNUMBER(SEARCH("finance",B27)),ISNUMBER(SEARCH("tax",B27)),ISNUMBER(SEARCH("audit",B27))),"Accountant / Finance",OR(ISNUMBER(SEARCH("customer service",B27)),ISNUMBER(SEARCH("customer support",B27)),ISNUMBER(SEARCH("customer care",B27)),ISNUMBER(SEARCH("voice process",B27)),ISNUMBER(SEARCH("bpo",B27))),"Customer Support",ISNUMBER(SEARCH("engineer",B27)),"Engineer (Technical)",ISNUMBER(SEARCH("manager",B27)),"Manager",OR(ISNUMBER(SEARCH("teacher",B27)),ISNUMBER(SEARCH("trainer",B27)),ISNUMBER(SEARCH("faculty",B27))),"Teacher / Trainer",OR(ISNUMBER(SEARCH("doctor",B27)),ISNUMBER(SEARCH("nurse",B27)),ISNUMBER(SEARCH("medical",B27)),ISNUMBER(SEARCH("pharma",B27)),ISNUMBER(SEARCH("clinical",B27))),"Healthcare",TRUE,"Other")</f>
        <v/>
      </c>
      <c r="B189">
        <f>IF(PROPER(TRIM(Raw_Data!D268))="Bangalore","Bengaluru",IF(PROPER(TRIM(Raw_Data!D268))="Gurgaon","Gurugram",IF(OR(PROPER(TRIM(Raw_Data!D268))="New Delhi",PROPER(TRIM(Raw_Data!D268))="Delhi"),"Delhi",PROPER(TRIM(Raw_Data!D268)))))</f>
        <v/>
      </c>
      <c r="C189">
        <f>IF(TRIM(Raw_Data!F268&amp;"")="","Not Specified",Raw_Data!F268)</f>
        <v/>
      </c>
      <c r="D189">
        <f>Raw_Data!H268</f>
        <v/>
      </c>
      <c r="E189">
        <f>Raw_Data!E268</f>
        <v/>
      </c>
    </row>
    <row r="190">
      <c r="A190">
        <f>_xlfn.IFS(ISNUMBER(SEARCH("data analy",B270)),"Data Analyst",ISNUMBER(SEARCH("business analy",B270)),"Business Analyst",OR(ISNUMBER(SEARCH("developer",B270)),ISNUMBER(SEARCH("software engineer",B270)),ISNUMBER(SEARCH("programmer",B270))),"Software Developer",ISNUMBER(SEARCH("business development",B270)),"Business Development",ISNUMBER(SEARCH("sales",B270)),"Sales Executive",ISNUMBER(SEARCH("marketing",B270)),"Marketing Executive",OR(ISNUMBER(SEARCH("hr ",B270)),ISNUMBER(SEARCH("recruit",B270)),ISNUMBER(SEARCH("human resource",B270))),"HR / Recruiter",OR(ISNUMBER(SEARCH("account",B270)),ISNUMBER(SEARCH("finance",B270)),ISNUMBER(SEARCH("tax",B270)),ISNUMBER(SEARCH("audit",B270))),"Accountant / Finance",OR(ISNUMBER(SEARCH("customer service",B270)),ISNUMBER(SEARCH("customer support",B270)),ISNUMBER(SEARCH("customer care",B270)),ISNUMBER(SEARCH("voice process",B270)),ISNUMBER(SEARCH("bpo",B270))),"Customer Support",ISNUMBER(SEARCH("engineer",B270)),"Engineer (Technical)",ISNUMBER(SEARCH("manager",B270)),"Manager",OR(ISNUMBER(SEARCH("teacher",B270)),ISNUMBER(SEARCH("trainer",B270)),ISNUMBER(SEARCH("faculty",B270))),"Teacher / Trainer",OR(ISNUMBER(SEARCH("doctor",B270)),ISNUMBER(SEARCH("nurse",B270)),ISNUMBER(SEARCH("medical",B270)),ISNUMBER(SEARCH("pharma",B270)),ISNUMBER(SEARCH("clinical",B270))),"Healthcare",TRUE,"Other")</f>
        <v/>
      </c>
      <c r="B190">
        <f>IF(PROPER(TRIM(Raw_Data!D269))="Bangalore","Bengaluru",IF(PROPER(TRIM(Raw_Data!D269))="Gurgaon","Gurugram",IF(OR(PROPER(TRIM(Raw_Data!D269))="New Delhi",PROPER(TRIM(Raw_Data!D269))="Delhi"),"Delhi",PROPER(TRIM(Raw_Data!D269)))))</f>
        <v/>
      </c>
      <c r="C190">
        <f>IF(TRIM(Raw_Data!F269&amp;"")="","Not Specified",Raw_Data!F269)</f>
        <v/>
      </c>
      <c r="D190">
        <f>Raw_Data!H269</f>
        <v/>
      </c>
      <c r="E190">
        <f>Raw_Data!E269</f>
        <v/>
      </c>
    </row>
    <row r="191">
      <c r="A191">
        <f>_xlfn.IFS(ISNUMBER(SEARCH("data analy",B271)),"Data Analyst",ISNUMBER(SEARCH("business analy",B271)),"Business Analyst",OR(ISNUMBER(SEARCH("developer",B271)),ISNUMBER(SEARCH("software engineer",B271)),ISNUMBER(SEARCH("programmer",B271))),"Software Developer",ISNUMBER(SEARCH("business development",B271)),"Business Development",ISNUMBER(SEARCH("sales",B271)),"Sales Executive",ISNUMBER(SEARCH("marketing",B271)),"Marketing Executive",OR(ISNUMBER(SEARCH("hr ",B271)),ISNUMBER(SEARCH("recruit",B271)),ISNUMBER(SEARCH("human resource",B271))),"HR / Recruiter",OR(ISNUMBER(SEARCH("account",B271)),ISNUMBER(SEARCH("finance",B271)),ISNUMBER(SEARCH("tax",B271)),ISNUMBER(SEARCH("audit",B271))),"Accountant / Finance",OR(ISNUMBER(SEARCH("customer service",B271)),ISNUMBER(SEARCH("customer support",B271)),ISNUMBER(SEARCH("customer care",B271)),ISNUMBER(SEARCH("voice process",B271)),ISNUMBER(SEARCH("bpo",B271))),"Customer Support",ISNUMBER(SEARCH("engineer",B271)),"Engineer (Technical)",ISNUMBER(SEARCH("manager",B271)),"Manager",OR(ISNUMBER(SEARCH("teacher",B271)),ISNUMBER(SEARCH("trainer",B271)),ISNUMBER(SEARCH("faculty",B271))),"Teacher / Trainer",OR(ISNUMBER(SEARCH("doctor",B271)),ISNUMBER(SEARCH("nurse",B271)),ISNUMBER(SEARCH("medical",B271)),ISNUMBER(SEARCH("pharma",B271)),ISNUMBER(SEARCH("clinical",B271))),"Healthcare",TRUE,"Other")</f>
        <v/>
      </c>
      <c r="B191">
        <f>IF(PROPER(TRIM(Raw_Data!D27))="Bangalore","Bengaluru",IF(PROPER(TRIM(Raw_Data!D27))="Gurgaon","Gurugram",IF(OR(PROPER(TRIM(Raw_Data!D27))="New Delhi",PROPER(TRIM(Raw_Data!D27))="Delhi"),"Delhi",PROPER(TRIM(Raw_Data!D27)))))</f>
        <v/>
      </c>
      <c r="C191">
        <f>IF(TRIM(Raw_Data!F27&amp;"")="","Not Specified",Raw_Data!F27)</f>
        <v/>
      </c>
      <c r="D191">
        <f>Raw_Data!H27</f>
        <v/>
      </c>
      <c r="E191">
        <f>Raw_Data!E27</f>
        <v/>
      </c>
    </row>
    <row r="192">
      <c r="A192">
        <f>_xlfn.IFS(ISNUMBER(SEARCH("data analy",B272)),"Data Analyst",ISNUMBER(SEARCH("business analy",B272)),"Business Analyst",OR(ISNUMBER(SEARCH("developer",B272)),ISNUMBER(SEARCH("software engineer",B272)),ISNUMBER(SEARCH("programmer",B272))),"Software Developer",ISNUMBER(SEARCH("business development",B272)),"Business Development",ISNUMBER(SEARCH("sales",B272)),"Sales Executive",ISNUMBER(SEARCH("marketing",B272)),"Marketing Executive",OR(ISNUMBER(SEARCH("hr ",B272)),ISNUMBER(SEARCH("recruit",B272)),ISNUMBER(SEARCH("human resource",B272))),"HR / Recruiter",OR(ISNUMBER(SEARCH("account",B272)),ISNUMBER(SEARCH("finance",B272)),ISNUMBER(SEARCH("tax",B272)),ISNUMBER(SEARCH("audit",B272))),"Accountant / Finance",OR(ISNUMBER(SEARCH("customer service",B272)),ISNUMBER(SEARCH("customer support",B272)),ISNUMBER(SEARCH("customer care",B272)),ISNUMBER(SEARCH("voice process",B272)),ISNUMBER(SEARCH("bpo",B272))),"Customer Support",ISNUMBER(SEARCH("engineer",B272)),"Engineer (Technical)",ISNUMBER(SEARCH("manager",B272)),"Manager",OR(ISNUMBER(SEARCH("teacher",B272)),ISNUMBER(SEARCH("trainer",B272)),ISNUMBER(SEARCH("faculty",B272))),"Teacher / Trainer",OR(ISNUMBER(SEARCH("doctor",B272)),ISNUMBER(SEARCH("nurse",B272)),ISNUMBER(SEARCH("medical",B272)),ISNUMBER(SEARCH("pharma",B272)),ISNUMBER(SEARCH("clinical",B272))),"Healthcare",TRUE,"Other")</f>
        <v/>
      </c>
      <c r="B192">
        <f>IF(PROPER(TRIM(Raw_Data!D270))="Bangalore","Bengaluru",IF(PROPER(TRIM(Raw_Data!D270))="Gurgaon","Gurugram",IF(OR(PROPER(TRIM(Raw_Data!D270))="New Delhi",PROPER(TRIM(Raw_Data!D270))="Delhi"),"Delhi",PROPER(TRIM(Raw_Data!D270)))))</f>
        <v/>
      </c>
      <c r="C192">
        <f>IF(TRIM(Raw_Data!F270&amp;"")="","Not Specified",Raw_Data!F270)</f>
        <v/>
      </c>
      <c r="D192">
        <f>Raw_Data!H270</f>
        <v/>
      </c>
      <c r="E192">
        <f>Raw_Data!E270</f>
        <v/>
      </c>
    </row>
    <row r="193">
      <c r="A193">
        <f>_xlfn.IFS(ISNUMBER(SEARCH("data analy",B273)),"Data Analyst",ISNUMBER(SEARCH("business analy",B273)),"Business Analyst",OR(ISNUMBER(SEARCH("developer",B273)),ISNUMBER(SEARCH("software engineer",B273)),ISNUMBER(SEARCH("programmer",B273))),"Software Developer",ISNUMBER(SEARCH("business development",B273)),"Business Development",ISNUMBER(SEARCH("sales",B273)),"Sales Executive",ISNUMBER(SEARCH("marketing",B273)),"Marketing Executive",OR(ISNUMBER(SEARCH("hr ",B273)),ISNUMBER(SEARCH("recruit",B273)),ISNUMBER(SEARCH("human resource",B273))),"HR / Recruiter",OR(ISNUMBER(SEARCH("account",B273)),ISNUMBER(SEARCH("finance",B273)),ISNUMBER(SEARCH("tax",B273)),ISNUMBER(SEARCH("audit",B273))),"Accountant / Finance",OR(ISNUMBER(SEARCH("customer service",B273)),ISNUMBER(SEARCH("customer support",B273)),ISNUMBER(SEARCH("customer care",B273)),ISNUMBER(SEARCH("voice process",B273)),ISNUMBER(SEARCH("bpo",B273))),"Customer Support",ISNUMBER(SEARCH("engineer",B273)),"Engineer (Technical)",ISNUMBER(SEARCH("manager",B273)),"Manager",OR(ISNUMBER(SEARCH("teacher",B273)),ISNUMBER(SEARCH("trainer",B273)),ISNUMBER(SEARCH("faculty",B273))),"Teacher / Trainer",OR(ISNUMBER(SEARCH("doctor",B273)),ISNUMBER(SEARCH("nurse",B273)),ISNUMBER(SEARCH("medical",B273)),ISNUMBER(SEARCH("pharma",B273)),ISNUMBER(SEARCH("clinical",B273))),"Healthcare",TRUE,"Other")</f>
        <v/>
      </c>
      <c r="B193">
        <f>IF(PROPER(TRIM(Raw_Data!D271))="Bangalore","Bengaluru",IF(PROPER(TRIM(Raw_Data!D271))="Gurgaon","Gurugram",IF(OR(PROPER(TRIM(Raw_Data!D271))="New Delhi",PROPER(TRIM(Raw_Data!D271))="Delhi"),"Delhi",PROPER(TRIM(Raw_Data!D271)))))</f>
        <v/>
      </c>
      <c r="C193">
        <f>IF(TRIM(Raw_Data!F271&amp;"")="","Not Specified",Raw_Data!F271)</f>
        <v/>
      </c>
      <c r="D193">
        <f>Raw_Data!H271</f>
        <v/>
      </c>
      <c r="E193">
        <f>Raw_Data!E271</f>
        <v/>
      </c>
    </row>
    <row r="194">
      <c r="A194">
        <f>_xlfn.IFS(ISNUMBER(SEARCH("data analy",B274)),"Data Analyst",ISNUMBER(SEARCH("business analy",B274)),"Business Analyst",OR(ISNUMBER(SEARCH("developer",B274)),ISNUMBER(SEARCH("software engineer",B274)),ISNUMBER(SEARCH("programmer",B274))),"Software Developer",ISNUMBER(SEARCH("business development",B274)),"Business Development",ISNUMBER(SEARCH("sales",B274)),"Sales Executive",ISNUMBER(SEARCH("marketing",B274)),"Marketing Executive",OR(ISNUMBER(SEARCH("hr ",B274)),ISNUMBER(SEARCH("recruit",B274)),ISNUMBER(SEARCH("human resource",B274))),"HR / Recruiter",OR(ISNUMBER(SEARCH("account",B274)),ISNUMBER(SEARCH("finance",B274)),ISNUMBER(SEARCH("tax",B274)),ISNUMBER(SEARCH("audit",B274))),"Accountant / Finance",OR(ISNUMBER(SEARCH("customer service",B274)),ISNUMBER(SEARCH("customer support",B274)),ISNUMBER(SEARCH("customer care",B274)),ISNUMBER(SEARCH("voice process",B274)),ISNUMBER(SEARCH("bpo",B274))),"Customer Support",ISNUMBER(SEARCH("engineer",B274)),"Engineer (Technical)",ISNUMBER(SEARCH("manager",B274)),"Manager",OR(ISNUMBER(SEARCH("teacher",B274)),ISNUMBER(SEARCH("trainer",B274)),ISNUMBER(SEARCH("faculty",B274))),"Teacher / Trainer",OR(ISNUMBER(SEARCH("doctor",B274)),ISNUMBER(SEARCH("nurse",B274)),ISNUMBER(SEARCH("medical",B274)),ISNUMBER(SEARCH("pharma",B274)),ISNUMBER(SEARCH("clinical",B274))),"Healthcare",TRUE,"Other")</f>
        <v/>
      </c>
      <c r="B194">
        <f>IF(PROPER(TRIM(Raw_Data!D272))="Bangalore","Bengaluru",IF(PROPER(TRIM(Raw_Data!D272))="Gurgaon","Gurugram",IF(OR(PROPER(TRIM(Raw_Data!D272))="New Delhi",PROPER(TRIM(Raw_Data!D272))="Delhi"),"Delhi",PROPER(TRIM(Raw_Data!D272)))))</f>
        <v/>
      </c>
      <c r="C194">
        <f>IF(TRIM(Raw_Data!F272&amp;"")="","Not Specified",Raw_Data!F272)</f>
        <v/>
      </c>
      <c r="D194">
        <f>Raw_Data!H272</f>
        <v/>
      </c>
      <c r="E194">
        <f>Raw_Data!E272</f>
        <v/>
      </c>
    </row>
    <row r="195">
      <c r="A195">
        <f>_xlfn.IFS(ISNUMBER(SEARCH("data analy",B275)),"Data Analyst",ISNUMBER(SEARCH("business analy",B275)),"Business Analyst",OR(ISNUMBER(SEARCH("developer",B275)),ISNUMBER(SEARCH("software engineer",B275)),ISNUMBER(SEARCH("programmer",B275))),"Software Developer",ISNUMBER(SEARCH("business development",B275)),"Business Development",ISNUMBER(SEARCH("sales",B275)),"Sales Executive",ISNUMBER(SEARCH("marketing",B275)),"Marketing Executive",OR(ISNUMBER(SEARCH("hr ",B275)),ISNUMBER(SEARCH("recruit",B275)),ISNUMBER(SEARCH("human resource",B275))),"HR / Recruiter",OR(ISNUMBER(SEARCH("account",B275)),ISNUMBER(SEARCH("finance",B275)),ISNUMBER(SEARCH("tax",B275)),ISNUMBER(SEARCH("audit",B275))),"Accountant / Finance",OR(ISNUMBER(SEARCH("customer service",B275)),ISNUMBER(SEARCH("customer support",B275)),ISNUMBER(SEARCH("customer care",B275)),ISNUMBER(SEARCH("voice process",B275)),ISNUMBER(SEARCH("bpo",B275))),"Customer Support",ISNUMBER(SEARCH("engineer",B275)),"Engineer (Technical)",ISNUMBER(SEARCH("manager",B275)),"Manager",OR(ISNUMBER(SEARCH("teacher",B275)),ISNUMBER(SEARCH("trainer",B275)),ISNUMBER(SEARCH("faculty",B275))),"Teacher / Trainer",OR(ISNUMBER(SEARCH("doctor",B275)),ISNUMBER(SEARCH("nurse",B275)),ISNUMBER(SEARCH("medical",B275)),ISNUMBER(SEARCH("pharma",B275)),ISNUMBER(SEARCH("clinical",B275))),"Healthcare",TRUE,"Other")</f>
        <v/>
      </c>
      <c r="B195">
        <f>IF(PROPER(TRIM(Raw_Data!D273))="Bangalore","Bengaluru",IF(PROPER(TRIM(Raw_Data!D273))="Gurgaon","Gurugram",IF(OR(PROPER(TRIM(Raw_Data!D273))="New Delhi",PROPER(TRIM(Raw_Data!D273))="Delhi"),"Delhi",PROPER(TRIM(Raw_Data!D273)))))</f>
        <v/>
      </c>
      <c r="C195">
        <f>IF(TRIM(Raw_Data!F273&amp;"")="","Not Specified",Raw_Data!F273)</f>
        <v/>
      </c>
      <c r="D195">
        <f>Raw_Data!H273</f>
        <v/>
      </c>
      <c r="E195">
        <f>Raw_Data!E273</f>
        <v/>
      </c>
    </row>
    <row r="196">
      <c r="A196">
        <f>_xlfn.IFS(ISNUMBER(SEARCH("data analy",B276)),"Data Analyst",ISNUMBER(SEARCH("business analy",B276)),"Business Analyst",OR(ISNUMBER(SEARCH("developer",B276)),ISNUMBER(SEARCH("software engineer",B276)),ISNUMBER(SEARCH("programmer",B276))),"Software Developer",ISNUMBER(SEARCH("business development",B276)),"Business Development",ISNUMBER(SEARCH("sales",B276)),"Sales Executive",ISNUMBER(SEARCH("marketing",B276)),"Marketing Executive",OR(ISNUMBER(SEARCH("hr ",B276)),ISNUMBER(SEARCH("recruit",B276)),ISNUMBER(SEARCH("human resource",B276))),"HR / Recruiter",OR(ISNUMBER(SEARCH("account",B276)),ISNUMBER(SEARCH("finance",B276)),ISNUMBER(SEARCH("tax",B276)),ISNUMBER(SEARCH("audit",B276))),"Accountant / Finance",OR(ISNUMBER(SEARCH("customer service",B276)),ISNUMBER(SEARCH("customer support",B276)),ISNUMBER(SEARCH("customer care",B276)),ISNUMBER(SEARCH("voice process",B276)),ISNUMBER(SEARCH("bpo",B276))),"Customer Support",ISNUMBER(SEARCH("engineer",B276)),"Engineer (Technical)",ISNUMBER(SEARCH("manager",B276)),"Manager",OR(ISNUMBER(SEARCH("teacher",B276)),ISNUMBER(SEARCH("trainer",B276)),ISNUMBER(SEARCH("faculty",B276))),"Teacher / Trainer",OR(ISNUMBER(SEARCH("doctor",B276)),ISNUMBER(SEARCH("nurse",B276)),ISNUMBER(SEARCH("medical",B276)),ISNUMBER(SEARCH("pharma",B276)),ISNUMBER(SEARCH("clinical",B276))),"Healthcare",TRUE,"Other")</f>
        <v/>
      </c>
      <c r="B196">
        <f>IF(PROPER(TRIM(Raw_Data!D274))="Bangalore","Bengaluru",IF(PROPER(TRIM(Raw_Data!D274))="Gurgaon","Gurugram",IF(OR(PROPER(TRIM(Raw_Data!D274))="New Delhi",PROPER(TRIM(Raw_Data!D274))="Delhi"),"Delhi",PROPER(TRIM(Raw_Data!D274)))))</f>
        <v/>
      </c>
      <c r="C196">
        <f>IF(TRIM(Raw_Data!F274&amp;"")="","Not Specified",Raw_Data!F274)</f>
        <v/>
      </c>
      <c r="D196">
        <f>Raw_Data!H274</f>
        <v/>
      </c>
      <c r="E196">
        <f>Raw_Data!E274</f>
        <v/>
      </c>
    </row>
    <row r="197">
      <c r="A197">
        <f>_xlfn.IFS(ISNUMBER(SEARCH("data analy",B277)),"Data Analyst",ISNUMBER(SEARCH("business analy",B277)),"Business Analyst",OR(ISNUMBER(SEARCH("developer",B277)),ISNUMBER(SEARCH("software engineer",B277)),ISNUMBER(SEARCH("programmer",B277))),"Software Developer",ISNUMBER(SEARCH("business development",B277)),"Business Development",ISNUMBER(SEARCH("sales",B277)),"Sales Executive",ISNUMBER(SEARCH("marketing",B277)),"Marketing Executive",OR(ISNUMBER(SEARCH("hr ",B277)),ISNUMBER(SEARCH("recruit",B277)),ISNUMBER(SEARCH("human resource",B277))),"HR / Recruiter",OR(ISNUMBER(SEARCH("account",B277)),ISNUMBER(SEARCH("finance",B277)),ISNUMBER(SEARCH("tax",B277)),ISNUMBER(SEARCH("audit",B277))),"Accountant / Finance",OR(ISNUMBER(SEARCH("customer service",B277)),ISNUMBER(SEARCH("customer support",B277)),ISNUMBER(SEARCH("customer care",B277)),ISNUMBER(SEARCH("voice process",B277)),ISNUMBER(SEARCH("bpo",B277))),"Customer Support",ISNUMBER(SEARCH("engineer",B277)),"Engineer (Technical)",ISNUMBER(SEARCH("manager",B277)),"Manager",OR(ISNUMBER(SEARCH("teacher",B277)),ISNUMBER(SEARCH("trainer",B277)),ISNUMBER(SEARCH("faculty",B277))),"Teacher / Trainer",OR(ISNUMBER(SEARCH("doctor",B277)),ISNUMBER(SEARCH("nurse",B277)),ISNUMBER(SEARCH("medical",B277)),ISNUMBER(SEARCH("pharma",B277)),ISNUMBER(SEARCH("clinical",B277))),"Healthcare",TRUE,"Other")</f>
        <v/>
      </c>
      <c r="B197">
        <f>IF(PROPER(TRIM(Raw_Data!D275))="Bangalore","Bengaluru",IF(PROPER(TRIM(Raw_Data!D275))="Gurgaon","Gurugram",IF(OR(PROPER(TRIM(Raw_Data!D275))="New Delhi",PROPER(TRIM(Raw_Data!D275))="Delhi"),"Delhi",PROPER(TRIM(Raw_Data!D275)))))</f>
        <v/>
      </c>
      <c r="C197">
        <f>IF(TRIM(Raw_Data!F275&amp;"")="","Not Specified",Raw_Data!F275)</f>
        <v/>
      </c>
      <c r="D197">
        <f>Raw_Data!H275</f>
        <v/>
      </c>
      <c r="E197">
        <f>Raw_Data!E275</f>
        <v/>
      </c>
    </row>
    <row r="198">
      <c r="A198">
        <f>_xlfn.IFS(ISNUMBER(SEARCH("data analy",B278)),"Data Analyst",ISNUMBER(SEARCH("business analy",B278)),"Business Analyst",OR(ISNUMBER(SEARCH("developer",B278)),ISNUMBER(SEARCH("software engineer",B278)),ISNUMBER(SEARCH("programmer",B278))),"Software Developer",ISNUMBER(SEARCH("business development",B278)),"Business Development",ISNUMBER(SEARCH("sales",B278)),"Sales Executive",ISNUMBER(SEARCH("marketing",B278)),"Marketing Executive",OR(ISNUMBER(SEARCH("hr ",B278)),ISNUMBER(SEARCH("recruit",B278)),ISNUMBER(SEARCH("human resource",B278))),"HR / Recruiter",OR(ISNUMBER(SEARCH("account",B278)),ISNUMBER(SEARCH("finance",B278)),ISNUMBER(SEARCH("tax",B278)),ISNUMBER(SEARCH("audit",B278))),"Accountant / Finance",OR(ISNUMBER(SEARCH("customer service",B278)),ISNUMBER(SEARCH("customer support",B278)),ISNUMBER(SEARCH("customer care",B278)),ISNUMBER(SEARCH("voice process",B278)),ISNUMBER(SEARCH("bpo",B278))),"Customer Support",ISNUMBER(SEARCH("engineer",B278)),"Engineer (Technical)",ISNUMBER(SEARCH("manager",B278)),"Manager",OR(ISNUMBER(SEARCH("teacher",B278)),ISNUMBER(SEARCH("trainer",B278)),ISNUMBER(SEARCH("faculty",B278))),"Teacher / Trainer",OR(ISNUMBER(SEARCH("doctor",B278)),ISNUMBER(SEARCH("nurse",B278)),ISNUMBER(SEARCH("medical",B278)),ISNUMBER(SEARCH("pharma",B278)),ISNUMBER(SEARCH("clinical",B278))),"Healthcare",TRUE,"Other")</f>
        <v/>
      </c>
      <c r="B198">
        <f>IF(PROPER(TRIM(Raw_Data!D276))="Bangalore","Bengaluru",IF(PROPER(TRIM(Raw_Data!D276))="Gurgaon","Gurugram",IF(OR(PROPER(TRIM(Raw_Data!D276))="New Delhi",PROPER(TRIM(Raw_Data!D276))="Delhi"),"Delhi",PROPER(TRIM(Raw_Data!D276)))))</f>
        <v/>
      </c>
      <c r="C198">
        <f>IF(TRIM(Raw_Data!F276&amp;"")="","Not Specified",Raw_Data!F276)</f>
        <v/>
      </c>
      <c r="D198">
        <f>Raw_Data!H276</f>
        <v/>
      </c>
      <c r="E198">
        <f>Raw_Data!E276</f>
        <v/>
      </c>
    </row>
    <row r="199">
      <c r="A199">
        <f>_xlfn.IFS(ISNUMBER(SEARCH("data analy",B279)),"Data Analyst",ISNUMBER(SEARCH("business analy",B279)),"Business Analyst",OR(ISNUMBER(SEARCH("developer",B279)),ISNUMBER(SEARCH("software engineer",B279)),ISNUMBER(SEARCH("programmer",B279))),"Software Developer",ISNUMBER(SEARCH("business development",B279)),"Business Development",ISNUMBER(SEARCH("sales",B279)),"Sales Executive",ISNUMBER(SEARCH("marketing",B279)),"Marketing Executive",OR(ISNUMBER(SEARCH("hr ",B279)),ISNUMBER(SEARCH("recruit",B279)),ISNUMBER(SEARCH("human resource",B279))),"HR / Recruiter",OR(ISNUMBER(SEARCH("account",B279)),ISNUMBER(SEARCH("finance",B279)),ISNUMBER(SEARCH("tax",B279)),ISNUMBER(SEARCH("audit",B279))),"Accountant / Finance",OR(ISNUMBER(SEARCH("customer service",B279)),ISNUMBER(SEARCH("customer support",B279)),ISNUMBER(SEARCH("customer care",B279)),ISNUMBER(SEARCH("voice process",B279)),ISNUMBER(SEARCH("bpo",B279))),"Customer Support",ISNUMBER(SEARCH("engineer",B279)),"Engineer (Technical)",ISNUMBER(SEARCH("manager",B279)),"Manager",OR(ISNUMBER(SEARCH("teacher",B279)),ISNUMBER(SEARCH("trainer",B279)),ISNUMBER(SEARCH("faculty",B279))),"Teacher / Trainer",OR(ISNUMBER(SEARCH("doctor",B279)),ISNUMBER(SEARCH("nurse",B279)),ISNUMBER(SEARCH("medical",B279)),ISNUMBER(SEARCH("pharma",B279)),ISNUMBER(SEARCH("clinical",B279))),"Healthcare",TRUE,"Other")</f>
        <v/>
      </c>
      <c r="B199">
        <f>IF(PROPER(TRIM(Raw_Data!D277))="Bangalore","Bengaluru",IF(PROPER(TRIM(Raw_Data!D277))="Gurgaon","Gurugram",IF(OR(PROPER(TRIM(Raw_Data!D277))="New Delhi",PROPER(TRIM(Raw_Data!D277))="Delhi"),"Delhi",PROPER(TRIM(Raw_Data!D277)))))</f>
        <v/>
      </c>
      <c r="C199">
        <f>IF(TRIM(Raw_Data!F277&amp;"")="","Not Specified",Raw_Data!F277)</f>
        <v/>
      </c>
      <c r="D199">
        <f>Raw_Data!H277</f>
        <v/>
      </c>
      <c r="E199">
        <f>Raw_Data!E277</f>
        <v/>
      </c>
    </row>
    <row r="200">
      <c r="A200">
        <f>_xlfn.IFS(ISNUMBER(SEARCH("data analy",B28)),"Data Analyst",ISNUMBER(SEARCH("business analy",B28)),"Business Analyst",OR(ISNUMBER(SEARCH("developer",B28)),ISNUMBER(SEARCH("software engineer",B28)),ISNUMBER(SEARCH("programmer",B28))),"Software Developer",ISNUMBER(SEARCH("business development",B28)),"Business Development",ISNUMBER(SEARCH("sales",B28)),"Sales Executive",ISNUMBER(SEARCH("marketing",B28)),"Marketing Executive",OR(ISNUMBER(SEARCH("hr ",B28)),ISNUMBER(SEARCH("recruit",B28)),ISNUMBER(SEARCH("human resource",B28))),"HR / Recruiter",OR(ISNUMBER(SEARCH("account",B28)),ISNUMBER(SEARCH("finance",B28)),ISNUMBER(SEARCH("tax",B28)),ISNUMBER(SEARCH("audit",B28))),"Accountant / Finance",OR(ISNUMBER(SEARCH("customer service",B28)),ISNUMBER(SEARCH("customer support",B28)),ISNUMBER(SEARCH("customer care",B28)),ISNUMBER(SEARCH("voice process",B28)),ISNUMBER(SEARCH("bpo",B28))),"Customer Support",ISNUMBER(SEARCH("engineer",B28)),"Engineer (Technical)",ISNUMBER(SEARCH("manager",B28)),"Manager",OR(ISNUMBER(SEARCH("teacher",B28)),ISNUMBER(SEARCH("trainer",B28)),ISNUMBER(SEARCH("faculty",B28))),"Teacher / Trainer",OR(ISNUMBER(SEARCH("doctor",B28)),ISNUMBER(SEARCH("nurse",B28)),ISNUMBER(SEARCH("medical",B28)),ISNUMBER(SEARCH("pharma",B28)),ISNUMBER(SEARCH("clinical",B28))),"Healthcare",TRUE,"Other")</f>
        <v/>
      </c>
      <c r="B200">
        <f>IF(PROPER(TRIM(Raw_Data!D278))="Bangalore","Bengaluru",IF(PROPER(TRIM(Raw_Data!D278))="Gurgaon","Gurugram",IF(OR(PROPER(TRIM(Raw_Data!D278))="New Delhi",PROPER(TRIM(Raw_Data!D278))="Delhi"),"Delhi",PROPER(TRIM(Raw_Data!D278)))))</f>
        <v/>
      </c>
      <c r="C200">
        <f>IF(TRIM(Raw_Data!F278&amp;"")="","Not Specified",Raw_Data!F278)</f>
        <v/>
      </c>
      <c r="D200">
        <f>Raw_Data!H278</f>
        <v/>
      </c>
      <c r="E200">
        <f>Raw_Data!E278</f>
        <v/>
      </c>
    </row>
    <row r="201">
      <c r="A201">
        <f>_xlfn.IFS(ISNUMBER(SEARCH("data analy",B280)),"Data Analyst",ISNUMBER(SEARCH("business analy",B280)),"Business Analyst",OR(ISNUMBER(SEARCH("developer",B280)),ISNUMBER(SEARCH("software engineer",B280)),ISNUMBER(SEARCH("programmer",B280))),"Software Developer",ISNUMBER(SEARCH("business development",B280)),"Business Development",ISNUMBER(SEARCH("sales",B280)),"Sales Executive",ISNUMBER(SEARCH("marketing",B280)),"Marketing Executive",OR(ISNUMBER(SEARCH("hr ",B280)),ISNUMBER(SEARCH("recruit",B280)),ISNUMBER(SEARCH("human resource",B280))),"HR / Recruiter",OR(ISNUMBER(SEARCH("account",B280)),ISNUMBER(SEARCH("finance",B280)),ISNUMBER(SEARCH("tax",B280)),ISNUMBER(SEARCH("audit",B280))),"Accountant / Finance",OR(ISNUMBER(SEARCH("customer service",B280)),ISNUMBER(SEARCH("customer support",B280)),ISNUMBER(SEARCH("customer care",B280)),ISNUMBER(SEARCH("voice process",B280)),ISNUMBER(SEARCH("bpo",B280))),"Customer Support",ISNUMBER(SEARCH("engineer",B280)),"Engineer (Technical)",ISNUMBER(SEARCH("manager",B280)),"Manager",OR(ISNUMBER(SEARCH("teacher",B280)),ISNUMBER(SEARCH("trainer",B280)),ISNUMBER(SEARCH("faculty",B280))),"Teacher / Trainer",OR(ISNUMBER(SEARCH("doctor",B280)),ISNUMBER(SEARCH("nurse",B280)),ISNUMBER(SEARCH("medical",B280)),ISNUMBER(SEARCH("pharma",B280)),ISNUMBER(SEARCH("clinical",B280))),"Healthcare",TRUE,"Other")</f>
        <v/>
      </c>
      <c r="B201">
        <f>IF(PROPER(TRIM(Raw_Data!D279))="Bangalore","Bengaluru",IF(PROPER(TRIM(Raw_Data!D279))="Gurgaon","Gurugram",IF(OR(PROPER(TRIM(Raw_Data!D279))="New Delhi",PROPER(TRIM(Raw_Data!D279))="Delhi"),"Delhi",PROPER(TRIM(Raw_Data!D279)))))</f>
        <v/>
      </c>
      <c r="C201">
        <f>IF(TRIM(Raw_Data!F279&amp;"")="","Not Specified",Raw_Data!F279)</f>
        <v/>
      </c>
      <c r="D201">
        <f>Raw_Data!H279</f>
        <v/>
      </c>
      <c r="E201">
        <f>Raw_Data!E279</f>
        <v/>
      </c>
    </row>
    <row r="202">
      <c r="A202">
        <f>_xlfn.IFS(ISNUMBER(SEARCH("data analy",B281)),"Data Analyst",ISNUMBER(SEARCH("business analy",B281)),"Business Analyst",OR(ISNUMBER(SEARCH("developer",B281)),ISNUMBER(SEARCH("software engineer",B281)),ISNUMBER(SEARCH("programmer",B281))),"Software Developer",ISNUMBER(SEARCH("business development",B281)),"Business Development",ISNUMBER(SEARCH("sales",B281)),"Sales Executive",ISNUMBER(SEARCH("marketing",B281)),"Marketing Executive",OR(ISNUMBER(SEARCH("hr ",B281)),ISNUMBER(SEARCH("recruit",B281)),ISNUMBER(SEARCH("human resource",B281))),"HR / Recruiter",OR(ISNUMBER(SEARCH("account",B281)),ISNUMBER(SEARCH("finance",B281)),ISNUMBER(SEARCH("tax",B281)),ISNUMBER(SEARCH("audit",B281))),"Accountant / Finance",OR(ISNUMBER(SEARCH("customer service",B281)),ISNUMBER(SEARCH("customer support",B281)),ISNUMBER(SEARCH("customer care",B281)),ISNUMBER(SEARCH("voice process",B281)),ISNUMBER(SEARCH("bpo",B281))),"Customer Support",ISNUMBER(SEARCH("engineer",B281)),"Engineer (Technical)",ISNUMBER(SEARCH("manager",B281)),"Manager",OR(ISNUMBER(SEARCH("teacher",B281)),ISNUMBER(SEARCH("trainer",B281)),ISNUMBER(SEARCH("faculty",B281))),"Teacher / Trainer",OR(ISNUMBER(SEARCH("doctor",B281)),ISNUMBER(SEARCH("nurse",B281)),ISNUMBER(SEARCH("medical",B281)),ISNUMBER(SEARCH("pharma",B281)),ISNUMBER(SEARCH("clinical",B281))),"Healthcare",TRUE,"Other")</f>
        <v/>
      </c>
      <c r="B202">
        <f>IF(PROPER(TRIM(Raw_Data!D28))="Bangalore","Bengaluru",IF(PROPER(TRIM(Raw_Data!D28))="Gurgaon","Gurugram",IF(OR(PROPER(TRIM(Raw_Data!D28))="New Delhi",PROPER(TRIM(Raw_Data!D28))="Delhi"),"Delhi",PROPER(TRIM(Raw_Data!D28)))))</f>
        <v/>
      </c>
      <c r="C202">
        <f>IF(TRIM(Raw_Data!F28&amp;"")="","Not Specified",Raw_Data!F28)</f>
        <v/>
      </c>
      <c r="D202">
        <f>Raw_Data!H28</f>
        <v/>
      </c>
      <c r="E202">
        <f>Raw_Data!E28</f>
        <v/>
      </c>
    </row>
    <row r="203">
      <c r="A203">
        <f>_xlfn.IFS(ISNUMBER(SEARCH("data analy",B282)),"Data Analyst",ISNUMBER(SEARCH("business analy",B282)),"Business Analyst",OR(ISNUMBER(SEARCH("developer",B282)),ISNUMBER(SEARCH("software engineer",B282)),ISNUMBER(SEARCH("programmer",B282))),"Software Developer",ISNUMBER(SEARCH("business development",B282)),"Business Development",ISNUMBER(SEARCH("sales",B282)),"Sales Executive",ISNUMBER(SEARCH("marketing",B282)),"Marketing Executive",OR(ISNUMBER(SEARCH("hr ",B282)),ISNUMBER(SEARCH("recruit",B282)),ISNUMBER(SEARCH("human resource",B282))),"HR / Recruiter",OR(ISNUMBER(SEARCH("account",B282)),ISNUMBER(SEARCH("finance",B282)),ISNUMBER(SEARCH("tax",B282)),ISNUMBER(SEARCH("audit",B282))),"Accountant / Finance",OR(ISNUMBER(SEARCH("customer service",B282)),ISNUMBER(SEARCH("customer support",B282)),ISNUMBER(SEARCH("customer care",B282)),ISNUMBER(SEARCH("voice process",B282)),ISNUMBER(SEARCH("bpo",B282))),"Customer Support",ISNUMBER(SEARCH("engineer",B282)),"Engineer (Technical)",ISNUMBER(SEARCH("manager",B282)),"Manager",OR(ISNUMBER(SEARCH("teacher",B282)),ISNUMBER(SEARCH("trainer",B282)),ISNUMBER(SEARCH("faculty",B282))),"Teacher / Trainer",OR(ISNUMBER(SEARCH("doctor",B282)),ISNUMBER(SEARCH("nurse",B282)),ISNUMBER(SEARCH("medical",B282)),ISNUMBER(SEARCH("pharma",B282)),ISNUMBER(SEARCH("clinical",B282))),"Healthcare",TRUE,"Other")</f>
        <v/>
      </c>
      <c r="B203">
        <f>IF(PROPER(TRIM(Raw_Data!D280))="Bangalore","Bengaluru",IF(PROPER(TRIM(Raw_Data!D280))="Gurgaon","Gurugram",IF(OR(PROPER(TRIM(Raw_Data!D280))="New Delhi",PROPER(TRIM(Raw_Data!D280))="Delhi"),"Delhi",PROPER(TRIM(Raw_Data!D280)))))</f>
        <v/>
      </c>
      <c r="C203">
        <f>IF(TRIM(Raw_Data!F280&amp;"")="","Not Specified",Raw_Data!F280)</f>
        <v/>
      </c>
      <c r="D203">
        <f>Raw_Data!H280</f>
        <v/>
      </c>
      <c r="E203">
        <f>Raw_Data!E280</f>
        <v/>
      </c>
    </row>
    <row r="204">
      <c r="A204">
        <f>_xlfn.IFS(ISNUMBER(SEARCH("data analy",B283)),"Data Analyst",ISNUMBER(SEARCH("business analy",B283)),"Business Analyst",OR(ISNUMBER(SEARCH("developer",B283)),ISNUMBER(SEARCH("software engineer",B283)),ISNUMBER(SEARCH("programmer",B283))),"Software Developer",ISNUMBER(SEARCH("business development",B283)),"Business Development",ISNUMBER(SEARCH("sales",B283)),"Sales Executive",ISNUMBER(SEARCH("marketing",B283)),"Marketing Executive",OR(ISNUMBER(SEARCH("hr ",B283)),ISNUMBER(SEARCH("recruit",B283)),ISNUMBER(SEARCH("human resource",B283))),"HR / Recruiter",OR(ISNUMBER(SEARCH("account",B283)),ISNUMBER(SEARCH("finance",B283)),ISNUMBER(SEARCH("tax",B283)),ISNUMBER(SEARCH("audit",B283))),"Accountant / Finance",OR(ISNUMBER(SEARCH("customer service",B283)),ISNUMBER(SEARCH("customer support",B283)),ISNUMBER(SEARCH("customer care",B283)),ISNUMBER(SEARCH("voice process",B283)),ISNUMBER(SEARCH("bpo",B283))),"Customer Support",ISNUMBER(SEARCH("engineer",B283)),"Engineer (Technical)",ISNUMBER(SEARCH("manager",B283)),"Manager",OR(ISNUMBER(SEARCH("teacher",B283)),ISNUMBER(SEARCH("trainer",B283)),ISNUMBER(SEARCH("faculty",B283))),"Teacher / Trainer",OR(ISNUMBER(SEARCH("doctor",B283)),ISNUMBER(SEARCH("nurse",B283)),ISNUMBER(SEARCH("medical",B283)),ISNUMBER(SEARCH("pharma",B283)),ISNUMBER(SEARCH("clinical",B283))),"Healthcare",TRUE,"Other")</f>
        <v/>
      </c>
      <c r="B204">
        <f>IF(PROPER(TRIM(Raw_Data!D281))="Bangalore","Bengaluru",IF(PROPER(TRIM(Raw_Data!D281))="Gurgaon","Gurugram",IF(OR(PROPER(TRIM(Raw_Data!D281))="New Delhi",PROPER(TRIM(Raw_Data!D281))="Delhi"),"Delhi",PROPER(TRIM(Raw_Data!D281)))))</f>
        <v/>
      </c>
      <c r="C204">
        <f>IF(TRIM(Raw_Data!F281&amp;"")="","Not Specified",Raw_Data!F281)</f>
        <v/>
      </c>
      <c r="D204">
        <f>Raw_Data!H281</f>
        <v/>
      </c>
      <c r="E204">
        <f>Raw_Data!E281</f>
        <v/>
      </c>
    </row>
    <row r="205">
      <c r="A205">
        <f>_xlfn.IFS(ISNUMBER(SEARCH("data analy",B284)),"Data Analyst",ISNUMBER(SEARCH("business analy",B284)),"Business Analyst",OR(ISNUMBER(SEARCH("developer",B284)),ISNUMBER(SEARCH("software engineer",B284)),ISNUMBER(SEARCH("programmer",B284))),"Software Developer",ISNUMBER(SEARCH("business development",B284)),"Business Development",ISNUMBER(SEARCH("sales",B284)),"Sales Executive",ISNUMBER(SEARCH("marketing",B284)),"Marketing Executive",OR(ISNUMBER(SEARCH("hr ",B284)),ISNUMBER(SEARCH("recruit",B284)),ISNUMBER(SEARCH("human resource",B284))),"HR / Recruiter",OR(ISNUMBER(SEARCH("account",B284)),ISNUMBER(SEARCH("finance",B284)),ISNUMBER(SEARCH("tax",B284)),ISNUMBER(SEARCH("audit",B284))),"Accountant / Finance",OR(ISNUMBER(SEARCH("customer service",B284)),ISNUMBER(SEARCH("customer support",B284)),ISNUMBER(SEARCH("customer care",B284)),ISNUMBER(SEARCH("voice process",B284)),ISNUMBER(SEARCH("bpo",B284))),"Customer Support",ISNUMBER(SEARCH("engineer",B284)),"Engineer (Technical)",ISNUMBER(SEARCH("manager",B284)),"Manager",OR(ISNUMBER(SEARCH("teacher",B284)),ISNUMBER(SEARCH("trainer",B284)),ISNUMBER(SEARCH("faculty",B284))),"Teacher / Trainer",OR(ISNUMBER(SEARCH("doctor",B284)),ISNUMBER(SEARCH("nurse",B284)),ISNUMBER(SEARCH("medical",B284)),ISNUMBER(SEARCH("pharma",B284)),ISNUMBER(SEARCH("clinical",B284))),"Healthcare",TRUE,"Other")</f>
        <v/>
      </c>
      <c r="B205">
        <f>IF(PROPER(TRIM(Raw_Data!D282))="Bangalore","Bengaluru",IF(PROPER(TRIM(Raw_Data!D282))="Gurgaon","Gurugram",IF(OR(PROPER(TRIM(Raw_Data!D282))="New Delhi",PROPER(TRIM(Raw_Data!D282))="Delhi"),"Delhi",PROPER(TRIM(Raw_Data!D282)))))</f>
        <v/>
      </c>
      <c r="C205">
        <f>IF(TRIM(Raw_Data!F282&amp;"")="","Not Specified",Raw_Data!F282)</f>
        <v/>
      </c>
      <c r="D205">
        <f>Raw_Data!H282</f>
        <v/>
      </c>
      <c r="E205">
        <f>Raw_Data!E282</f>
        <v/>
      </c>
    </row>
    <row r="206">
      <c r="A206">
        <f>_xlfn.IFS(ISNUMBER(SEARCH("data analy",B285)),"Data Analyst",ISNUMBER(SEARCH("business analy",B285)),"Business Analyst",OR(ISNUMBER(SEARCH("developer",B285)),ISNUMBER(SEARCH("software engineer",B285)),ISNUMBER(SEARCH("programmer",B285))),"Software Developer",ISNUMBER(SEARCH("business development",B285)),"Business Development",ISNUMBER(SEARCH("sales",B285)),"Sales Executive",ISNUMBER(SEARCH("marketing",B285)),"Marketing Executive",OR(ISNUMBER(SEARCH("hr ",B285)),ISNUMBER(SEARCH("recruit",B285)),ISNUMBER(SEARCH("human resource",B285))),"HR / Recruiter",OR(ISNUMBER(SEARCH("account",B285)),ISNUMBER(SEARCH("finance",B285)),ISNUMBER(SEARCH("tax",B285)),ISNUMBER(SEARCH("audit",B285))),"Accountant / Finance",OR(ISNUMBER(SEARCH("customer service",B285)),ISNUMBER(SEARCH("customer support",B285)),ISNUMBER(SEARCH("customer care",B285)),ISNUMBER(SEARCH("voice process",B285)),ISNUMBER(SEARCH("bpo",B285))),"Customer Support",ISNUMBER(SEARCH("engineer",B285)),"Engineer (Technical)",ISNUMBER(SEARCH("manager",B285)),"Manager",OR(ISNUMBER(SEARCH("teacher",B285)),ISNUMBER(SEARCH("trainer",B285)),ISNUMBER(SEARCH("faculty",B285))),"Teacher / Trainer",OR(ISNUMBER(SEARCH("doctor",B285)),ISNUMBER(SEARCH("nurse",B285)),ISNUMBER(SEARCH("medical",B285)),ISNUMBER(SEARCH("pharma",B285)),ISNUMBER(SEARCH("clinical",B285))),"Healthcare",TRUE,"Other")</f>
        <v/>
      </c>
      <c r="B206">
        <f>IF(PROPER(TRIM(Raw_Data!D283))="Bangalore","Bengaluru",IF(PROPER(TRIM(Raw_Data!D283))="Gurgaon","Gurugram",IF(OR(PROPER(TRIM(Raw_Data!D283))="New Delhi",PROPER(TRIM(Raw_Data!D283))="Delhi"),"Delhi",PROPER(TRIM(Raw_Data!D283)))))</f>
        <v/>
      </c>
      <c r="C206">
        <f>IF(TRIM(Raw_Data!F283&amp;"")="","Not Specified",Raw_Data!F283)</f>
        <v/>
      </c>
      <c r="D206">
        <f>Raw_Data!H283</f>
        <v/>
      </c>
      <c r="E206">
        <f>Raw_Data!E283</f>
        <v/>
      </c>
    </row>
    <row r="207">
      <c r="A207">
        <f>_xlfn.IFS(ISNUMBER(SEARCH("data analy",B286)),"Data Analyst",ISNUMBER(SEARCH("business analy",B286)),"Business Analyst",OR(ISNUMBER(SEARCH("developer",B286)),ISNUMBER(SEARCH("software engineer",B286)),ISNUMBER(SEARCH("programmer",B286))),"Software Developer",ISNUMBER(SEARCH("business development",B286)),"Business Development",ISNUMBER(SEARCH("sales",B286)),"Sales Executive",ISNUMBER(SEARCH("marketing",B286)),"Marketing Executive",OR(ISNUMBER(SEARCH("hr ",B286)),ISNUMBER(SEARCH("recruit",B286)),ISNUMBER(SEARCH("human resource",B286))),"HR / Recruiter",OR(ISNUMBER(SEARCH("account",B286)),ISNUMBER(SEARCH("finance",B286)),ISNUMBER(SEARCH("tax",B286)),ISNUMBER(SEARCH("audit",B286))),"Accountant / Finance",OR(ISNUMBER(SEARCH("customer service",B286)),ISNUMBER(SEARCH("customer support",B286)),ISNUMBER(SEARCH("customer care",B286)),ISNUMBER(SEARCH("voice process",B286)),ISNUMBER(SEARCH("bpo",B286))),"Customer Support",ISNUMBER(SEARCH("engineer",B286)),"Engineer (Technical)",ISNUMBER(SEARCH("manager",B286)),"Manager",OR(ISNUMBER(SEARCH("teacher",B286)),ISNUMBER(SEARCH("trainer",B286)),ISNUMBER(SEARCH("faculty",B286))),"Teacher / Trainer",OR(ISNUMBER(SEARCH("doctor",B286)),ISNUMBER(SEARCH("nurse",B286)),ISNUMBER(SEARCH("medical",B286)),ISNUMBER(SEARCH("pharma",B286)),ISNUMBER(SEARCH("clinical",B286))),"Healthcare",TRUE,"Other")</f>
        <v/>
      </c>
      <c r="B207">
        <f>IF(PROPER(TRIM(Raw_Data!D284))="Bangalore","Bengaluru",IF(PROPER(TRIM(Raw_Data!D284))="Gurgaon","Gurugram",IF(OR(PROPER(TRIM(Raw_Data!D284))="New Delhi",PROPER(TRIM(Raw_Data!D284))="Delhi"),"Delhi",PROPER(TRIM(Raw_Data!D284)))))</f>
        <v/>
      </c>
      <c r="C207">
        <f>IF(TRIM(Raw_Data!F284&amp;"")="","Not Specified",Raw_Data!F284)</f>
        <v/>
      </c>
      <c r="D207">
        <f>Raw_Data!H284</f>
        <v/>
      </c>
      <c r="E207">
        <f>Raw_Data!E284</f>
        <v/>
      </c>
    </row>
    <row r="208">
      <c r="A208">
        <f>_xlfn.IFS(ISNUMBER(SEARCH("data analy",B287)),"Data Analyst",ISNUMBER(SEARCH("business analy",B287)),"Business Analyst",OR(ISNUMBER(SEARCH("developer",B287)),ISNUMBER(SEARCH("software engineer",B287)),ISNUMBER(SEARCH("programmer",B287))),"Software Developer",ISNUMBER(SEARCH("business development",B287)),"Business Development",ISNUMBER(SEARCH("sales",B287)),"Sales Executive",ISNUMBER(SEARCH("marketing",B287)),"Marketing Executive",OR(ISNUMBER(SEARCH("hr ",B287)),ISNUMBER(SEARCH("recruit",B287)),ISNUMBER(SEARCH("human resource",B287))),"HR / Recruiter",OR(ISNUMBER(SEARCH("account",B287)),ISNUMBER(SEARCH("finance",B287)),ISNUMBER(SEARCH("tax",B287)),ISNUMBER(SEARCH("audit",B287))),"Accountant / Finance",OR(ISNUMBER(SEARCH("customer service",B287)),ISNUMBER(SEARCH("customer support",B287)),ISNUMBER(SEARCH("customer care",B287)),ISNUMBER(SEARCH("voice process",B287)),ISNUMBER(SEARCH("bpo",B287))),"Customer Support",ISNUMBER(SEARCH("engineer",B287)),"Engineer (Technical)",ISNUMBER(SEARCH("manager",B287)),"Manager",OR(ISNUMBER(SEARCH("teacher",B287)),ISNUMBER(SEARCH("trainer",B287)),ISNUMBER(SEARCH("faculty",B287))),"Teacher / Trainer",OR(ISNUMBER(SEARCH("doctor",B287)),ISNUMBER(SEARCH("nurse",B287)),ISNUMBER(SEARCH("medical",B287)),ISNUMBER(SEARCH("pharma",B287)),ISNUMBER(SEARCH("clinical",B287))),"Healthcare",TRUE,"Other")</f>
        <v/>
      </c>
      <c r="B208">
        <f>IF(PROPER(TRIM(Raw_Data!D285))="Bangalore","Bengaluru",IF(PROPER(TRIM(Raw_Data!D285))="Gurgaon","Gurugram",IF(OR(PROPER(TRIM(Raw_Data!D285))="New Delhi",PROPER(TRIM(Raw_Data!D285))="Delhi"),"Delhi",PROPER(TRIM(Raw_Data!D285)))))</f>
        <v/>
      </c>
      <c r="C208">
        <f>IF(TRIM(Raw_Data!F285&amp;"")="","Not Specified",Raw_Data!F285)</f>
        <v/>
      </c>
      <c r="D208">
        <f>Raw_Data!H285</f>
        <v/>
      </c>
      <c r="E208">
        <f>Raw_Data!E285</f>
        <v/>
      </c>
    </row>
    <row r="209">
      <c r="A209">
        <f>_xlfn.IFS(ISNUMBER(SEARCH("data analy",B288)),"Data Analyst",ISNUMBER(SEARCH("business analy",B288)),"Business Analyst",OR(ISNUMBER(SEARCH("developer",B288)),ISNUMBER(SEARCH("software engineer",B288)),ISNUMBER(SEARCH("programmer",B288))),"Software Developer",ISNUMBER(SEARCH("business development",B288)),"Business Development",ISNUMBER(SEARCH("sales",B288)),"Sales Executive",ISNUMBER(SEARCH("marketing",B288)),"Marketing Executive",OR(ISNUMBER(SEARCH("hr ",B288)),ISNUMBER(SEARCH("recruit",B288)),ISNUMBER(SEARCH("human resource",B288))),"HR / Recruiter",OR(ISNUMBER(SEARCH("account",B288)),ISNUMBER(SEARCH("finance",B288)),ISNUMBER(SEARCH("tax",B288)),ISNUMBER(SEARCH("audit",B288))),"Accountant / Finance",OR(ISNUMBER(SEARCH("customer service",B288)),ISNUMBER(SEARCH("customer support",B288)),ISNUMBER(SEARCH("customer care",B288)),ISNUMBER(SEARCH("voice process",B288)),ISNUMBER(SEARCH("bpo",B288))),"Customer Support",ISNUMBER(SEARCH("engineer",B288)),"Engineer (Technical)",ISNUMBER(SEARCH("manager",B288)),"Manager",OR(ISNUMBER(SEARCH("teacher",B288)),ISNUMBER(SEARCH("trainer",B288)),ISNUMBER(SEARCH("faculty",B288))),"Teacher / Trainer",OR(ISNUMBER(SEARCH("doctor",B288)),ISNUMBER(SEARCH("nurse",B288)),ISNUMBER(SEARCH("medical",B288)),ISNUMBER(SEARCH("pharma",B288)),ISNUMBER(SEARCH("clinical",B288))),"Healthcare",TRUE,"Other")</f>
        <v/>
      </c>
      <c r="B209">
        <f>IF(PROPER(TRIM(Raw_Data!D286))="Bangalore","Bengaluru",IF(PROPER(TRIM(Raw_Data!D286))="Gurgaon","Gurugram",IF(OR(PROPER(TRIM(Raw_Data!D286))="New Delhi",PROPER(TRIM(Raw_Data!D286))="Delhi"),"Delhi",PROPER(TRIM(Raw_Data!D286)))))</f>
        <v/>
      </c>
      <c r="C209">
        <f>IF(TRIM(Raw_Data!F286&amp;"")="","Not Specified",Raw_Data!F286)</f>
        <v/>
      </c>
      <c r="D209">
        <f>Raw_Data!H286</f>
        <v/>
      </c>
      <c r="E209">
        <f>Raw_Data!E286</f>
        <v/>
      </c>
    </row>
    <row r="210">
      <c r="A210">
        <f>_xlfn.IFS(ISNUMBER(SEARCH("data analy",B289)),"Data Analyst",ISNUMBER(SEARCH("business analy",B289)),"Business Analyst",OR(ISNUMBER(SEARCH("developer",B289)),ISNUMBER(SEARCH("software engineer",B289)),ISNUMBER(SEARCH("programmer",B289))),"Software Developer",ISNUMBER(SEARCH("business development",B289)),"Business Development",ISNUMBER(SEARCH("sales",B289)),"Sales Executive",ISNUMBER(SEARCH("marketing",B289)),"Marketing Executive",OR(ISNUMBER(SEARCH("hr ",B289)),ISNUMBER(SEARCH("recruit",B289)),ISNUMBER(SEARCH("human resource",B289))),"HR / Recruiter",OR(ISNUMBER(SEARCH("account",B289)),ISNUMBER(SEARCH("finance",B289)),ISNUMBER(SEARCH("tax",B289)),ISNUMBER(SEARCH("audit",B289))),"Accountant / Finance",OR(ISNUMBER(SEARCH("customer service",B289)),ISNUMBER(SEARCH("customer support",B289)),ISNUMBER(SEARCH("customer care",B289)),ISNUMBER(SEARCH("voice process",B289)),ISNUMBER(SEARCH("bpo",B289))),"Customer Support",ISNUMBER(SEARCH("engineer",B289)),"Engineer (Technical)",ISNUMBER(SEARCH("manager",B289)),"Manager",OR(ISNUMBER(SEARCH("teacher",B289)),ISNUMBER(SEARCH("trainer",B289)),ISNUMBER(SEARCH("faculty",B289))),"Teacher / Trainer",OR(ISNUMBER(SEARCH("doctor",B289)),ISNUMBER(SEARCH("nurse",B289)),ISNUMBER(SEARCH("medical",B289)),ISNUMBER(SEARCH("pharma",B289)),ISNUMBER(SEARCH("clinical",B289))),"Healthcare",TRUE,"Other")</f>
        <v/>
      </c>
      <c r="B210">
        <f>IF(PROPER(TRIM(Raw_Data!D287))="Bangalore","Bengaluru",IF(PROPER(TRIM(Raw_Data!D287))="Gurgaon","Gurugram",IF(OR(PROPER(TRIM(Raw_Data!D287))="New Delhi",PROPER(TRIM(Raw_Data!D287))="Delhi"),"Delhi",PROPER(TRIM(Raw_Data!D287)))))</f>
        <v/>
      </c>
      <c r="C210">
        <f>IF(TRIM(Raw_Data!F287&amp;"")="","Not Specified",Raw_Data!F287)</f>
        <v/>
      </c>
      <c r="D210">
        <f>Raw_Data!H287</f>
        <v/>
      </c>
      <c r="E210">
        <f>Raw_Data!E287</f>
        <v/>
      </c>
    </row>
    <row r="211">
      <c r="A211">
        <f>_xlfn.IFS(ISNUMBER(SEARCH("data analy",B29)),"Data Analyst",ISNUMBER(SEARCH("business analy",B29)),"Business Analyst",OR(ISNUMBER(SEARCH("developer",B29)),ISNUMBER(SEARCH("software engineer",B29)),ISNUMBER(SEARCH("programmer",B29))),"Software Developer",ISNUMBER(SEARCH("business development",B29)),"Business Development",ISNUMBER(SEARCH("sales",B29)),"Sales Executive",ISNUMBER(SEARCH("marketing",B29)),"Marketing Executive",OR(ISNUMBER(SEARCH("hr ",B29)),ISNUMBER(SEARCH("recruit",B29)),ISNUMBER(SEARCH("human resource",B29))),"HR / Recruiter",OR(ISNUMBER(SEARCH("account",B29)),ISNUMBER(SEARCH("finance",B29)),ISNUMBER(SEARCH("tax",B29)),ISNUMBER(SEARCH("audit",B29))),"Accountant / Finance",OR(ISNUMBER(SEARCH("customer service",B29)),ISNUMBER(SEARCH("customer support",B29)),ISNUMBER(SEARCH("customer care",B29)),ISNUMBER(SEARCH("voice process",B29)),ISNUMBER(SEARCH("bpo",B29))),"Customer Support",ISNUMBER(SEARCH("engineer",B29)),"Engineer (Technical)",ISNUMBER(SEARCH("manager",B29)),"Manager",OR(ISNUMBER(SEARCH("teacher",B29)),ISNUMBER(SEARCH("trainer",B29)),ISNUMBER(SEARCH("faculty",B29))),"Teacher / Trainer",OR(ISNUMBER(SEARCH("doctor",B29)),ISNUMBER(SEARCH("nurse",B29)),ISNUMBER(SEARCH("medical",B29)),ISNUMBER(SEARCH("pharma",B29)),ISNUMBER(SEARCH("clinical",B29))),"Healthcare",TRUE,"Other")</f>
        <v/>
      </c>
      <c r="B211">
        <f>IF(PROPER(TRIM(Raw_Data!D288))="Bangalore","Bengaluru",IF(PROPER(TRIM(Raw_Data!D288))="Gurgaon","Gurugram",IF(OR(PROPER(TRIM(Raw_Data!D288))="New Delhi",PROPER(TRIM(Raw_Data!D288))="Delhi"),"Delhi",PROPER(TRIM(Raw_Data!D288)))))</f>
        <v/>
      </c>
      <c r="C211">
        <f>IF(TRIM(Raw_Data!F288&amp;"")="","Not Specified",Raw_Data!F288)</f>
        <v/>
      </c>
      <c r="D211">
        <f>Raw_Data!H288</f>
        <v/>
      </c>
      <c r="E211">
        <f>Raw_Data!E288</f>
        <v/>
      </c>
    </row>
    <row r="212">
      <c r="A212">
        <f>_xlfn.IFS(ISNUMBER(SEARCH("data analy",B290)),"Data Analyst",ISNUMBER(SEARCH("business analy",B290)),"Business Analyst",OR(ISNUMBER(SEARCH("developer",B290)),ISNUMBER(SEARCH("software engineer",B290)),ISNUMBER(SEARCH("programmer",B290))),"Software Developer",ISNUMBER(SEARCH("business development",B290)),"Business Development",ISNUMBER(SEARCH("sales",B290)),"Sales Executive",ISNUMBER(SEARCH("marketing",B290)),"Marketing Executive",OR(ISNUMBER(SEARCH("hr ",B290)),ISNUMBER(SEARCH("recruit",B290)),ISNUMBER(SEARCH("human resource",B290))),"HR / Recruiter",OR(ISNUMBER(SEARCH("account",B290)),ISNUMBER(SEARCH("finance",B290)),ISNUMBER(SEARCH("tax",B290)),ISNUMBER(SEARCH("audit",B290))),"Accountant / Finance",OR(ISNUMBER(SEARCH("customer service",B290)),ISNUMBER(SEARCH("customer support",B290)),ISNUMBER(SEARCH("customer care",B290)),ISNUMBER(SEARCH("voice process",B290)),ISNUMBER(SEARCH("bpo",B290))),"Customer Support",ISNUMBER(SEARCH("engineer",B290)),"Engineer (Technical)",ISNUMBER(SEARCH("manager",B290)),"Manager",OR(ISNUMBER(SEARCH("teacher",B290)),ISNUMBER(SEARCH("trainer",B290)),ISNUMBER(SEARCH("faculty",B290))),"Teacher / Trainer",OR(ISNUMBER(SEARCH("doctor",B290)),ISNUMBER(SEARCH("nurse",B290)),ISNUMBER(SEARCH("medical",B290)),ISNUMBER(SEARCH("pharma",B290)),ISNUMBER(SEARCH("clinical",B290))),"Healthcare",TRUE,"Other")</f>
        <v/>
      </c>
      <c r="B212">
        <f>IF(PROPER(TRIM(Raw_Data!D289))="Bangalore","Bengaluru",IF(PROPER(TRIM(Raw_Data!D289))="Gurgaon","Gurugram",IF(OR(PROPER(TRIM(Raw_Data!D289))="New Delhi",PROPER(TRIM(Raw_Data!D289))="Delhi"),"Delhi",PROPER(TRIM(Raw_Data!D289)))))</f>
        <v/>
      </c>
      <c r="C212">
        <f>IF(TRIM(Raw_Data!F289&amp;"")="","Not Specified",Raw_Data!F289)</f>
        <v/>
      </c>
      <c r="D212">
        <f>Raw_Data!H289</f>
        <v/>
      </c>
      <c r="E212">
        <f>Raw_Data!E289</f>
        <v/>
      </c>
    </row>
    <row r="213">
      <c r="A213">
        <f>_xlfn.IFS(ISNUMBER(SEARCH("data analy",B291)),"Data Analyst",ISNUMBER(SEARCH("business analy",B291)),"Business Analyst",OR(ISNUMBER(SEARCH("developer",B291)),ISNUMBER(SEARCH("software engineer",B291)),ISNUMBER(SEARCH("programmer",B291))),"Software Developer",ISNUMBER(SEARCH("business development",B291)),"Business Development",ISNUMBER(SEARCH("sales",B291)),"Sales Executive",ISNUMBER(SEARCH("marketing",B291)),"Marketing Executive",OR(ISNUMBER(SEARCH("hr ",B291)),ISNUMBER(SEARCH("recruit",B291)),ISNUMBER(SEARCH("human resource",B291))),"HR / Recruiter",OR(ISNUMBER(SEARCH("account",B291)),ISNUMBER(SEARCH("finance",B291)),ISNUMBER(SEARCH("tax",B291)),ISNUMBER(SEARCH("audit",B291))),"Accountant / Finance",OR(ISNUMBER(SEARCH("customer service",B291)),ISNUMBER(SEARCH("customer support",B291)),ISNUMBER(SEARCH("customer care",B291)),ISNUMBER(SEARCH("voice process",B291)),ISNUMBER(SEARCH("bpo",B291))),"Customer Support",ISNUMBER(SEARCH("engineer",B291)),"Engineer (Technical)",ISNUMBER(SEARCH("manager",B291)),"Manager",OR(ISNUMBER(SEARCH("teacher",B291)),ISNUMBER(SEARCH("trainer",B291)),ISNUMBER(SEARCH("faculty",B291))),"Teacher / Trainer",OR(ISNUMBER(SEARCH("doctor",B291)),ISNUMBER(SEARCH("nurse",B291)),ISNUMBER(SEARCH("medical",B291)),ISNUMBER(SEARCH("pharma",B291)),ISNUMBER(SEARCH("clinical",B291))),"Healthcare",TRUE,"Other")</f>
        <v/>
      </c>
      <c r="B213">
        <f>IF(PROPER(TRIM(Raw_Data!D29))="Bangalore","Bengaluru",IF(PROPER(TRIM(Raw_Data!D29))="Gurgaon","Gurugram",IF(OR(PROPER(TRIM(Raw_Data!D29))="New Delhi",PROPER(TRIM(Raw_Data!D29))="Delhi"),"Delhi",PROPER(TRIM(Raw_Data!D29)))))</f>
        <v/>
      </c>
      <c r="C213">
        <f>IF(TRIM(Raw_Data!F29&amp;"")="","Not Specified",Raw_Data!F29)</f>
        <v/>
      </c>
      <c r="D213">
        <f>Raw_Data!H29</f>
        <v/>
      </c>
      <c r="E213">
        <f>Raw_Data!E29</f>
        <v/>
      </c>
    </row>
    <row r="214">
      <c r="A214">
        <f>_xlfn.IFS(ISNUMBER(SEARCH("data analy",B292)),"Data Analyst",ISNUMBER(SEARCH("business analy",B292)),"Business Analyst",OR(ISNUMBER(SEARCH("developer",B292)),ISNUMBER(SEARCH("software engineer",B292)),ISNUMBER(SEARCH("programmer",B292))),"Software Developer",ISNUMBER(SEARCH("business development",B292)),"Business Development",ISNUMBER(SEARCH("sales",B292)),"Sales Executive",ISNUMBER(SEARCH("marketing",B292)),"Marketing Executive",OR(ISNUMBER(SEARCH("hr ",B292)),ISNUMBER(SEARCH("recruit",B292)),ISNUMBER(SEARCH("human resource",B292))),"HR / Recruiter",OR(ISNUMBER(SEARCH("account",B292)),ISNUMBER(SEARCH("finance",B292)),ISNUMBER(SEARCH("tax",B292)),ISNUMBER(SEARCH("audit",B292))),"Accountant / Finance",OR(ISNUMBER(SEARCH("customer service",B292)),ISNUMBER(SEARCH("customer support",B292)),ISNUMBER(SEARCH("customer care",B292)),ISNUMBER(SEARCH("voice process",B292)),ISNUMBER(SEARCH("bpo",B292))),"Customer Support",ISNUMBER(SEARCH("engineer",B292)),"Engineer (Technical)",ISNUMBER(SEARCH("manager",B292)),"Manager",OR(ISNUMBER(SEARCH("teacher",B292)),ISNUMBER(SEARCH("trainer",B292)),ISNUMBER(SEARCH("faculty",B292))),"Teacher / Trainer",OR(ISNUMBER(SEARCH("doctor",B292)),ISNUMBER(SEARCH("nurse",B292)),ISNUMBER(SEARCH("medical",B292)),ISNUMBER(SEARCH("pharma",B292)),ISNUMBER(SEARCH("clinical",B292))),"Healthcare",TRUE,"Other")</f>
        <v/>
      </c>
      <c r="B214">
        <f>IF(PROPER(TRIM(Raw_Data!D290))="Bangalore","Bengaluru",IF(PROPER(TRIM(Raw_Data!D290))="Gurgaon","Gurugram",IF(OR(PROPER(TRIM(Raw_Data!D290))="New Delhi",PROPER(TRIM(Raw_Data!D290))="Delhi"),"Delhi",PROPER(TRIM(Raw_Data!D290)))))</f>
        <v/>
      </c>
      <c r="C214">
        <f>IF(TRIM(Raw_Data!F290&amp;"")="","Not Specified",Raw_Data!F290)</f>
        <v/>
      </c>
      <c r="D214">
        <f>Raw_Data!H290</f>
        <v/>
      </c>
      <c r="E214">
        <f>Raw_Data!E290</f>
        <v/>
      </c>
    </row>
    <row r="215">
      <c r="A215">
        <f>_xlfn.IFS(ISNUMBER(SEARCH("data analy",B293)),"Data Analyst",ISNUMBER(SEARCH("business analy",B293)),"Business Analyst",OR(ISNUMBER(SEARCH("developer",B293)),ISNUMBER(SEARCH("software engineer",B293)),ISNUMBER(SEARCH("programmer",B293))),"Software Developer",ISNUMBER(SEARCH("business development",B293)),"Business Development",ISNUMBER(SEARCH("sales",B293)),"Sales Executive",ISNUMBER(SEARCH("marketing",B293)),"Marketing Executive",OR(ISNUMBER(SEARCH("hr ",B293)),ISNUMBER(SEARCH("recruit",B293)),ISNUMBER(SEARCH("human resource",B293))),"HR / Recruiter",OR(ISNUMBER(SEARCH("account",B293)),ISNUMBER(SEARCH("finance",B293)),ISNUMBER(SEARCH("tax",B293)),ISNUMBER(SEARCH("audit",B293))),"Accountant / Finance",OR(ISNUMBER(SEARCH("customer service",B293)),ISNUMBER(SEARCH("customer support",B293)),ISNUMBER(SEARCH("customer care",B293)),ISNUMBER(SEARCH("voice process",B293)),ISNUMBER(SEARCH("bpo",B293))),"Customer Support",ISNUMBER(SEARCH("engineer",B293)),"Engineer (Technical)",ISNUMBER(SEARCH("manager",B293)),"Manager",OR(ISNUMBER(SEARCH("teacher",B293)),ISNUMBER(SEARCH("trainer",B293)),ISNUMBER(SEARCH("faculty",B293))),"Teacher / Trainer",OR(ISNUMBER(SEARCH("doctor",B293)),ISNUMBER(SEARCH("nurse",B293)),ISNUMBER(SEARCH("medical",B293)),ISNUMBER(SEARCH("pharma",B293)),ISNUMBER(SEARCH("clinical",B293))),"Healthcare",TRUE,"Other")</f>
        <v/>
      </c>
      <c r="B215">
        <f>IF(PROPER(TRIM(Raw_Data!D291))="Bangalore","Bengaluru",IF(PROPER(TRIM(Raw_Data!D291))="Gurgaon","Gurugram",IF(OR(PROPER(TRIM(Raw_Data!D291))="New Delhi",PROPER(TRIM(Raw_Data!D291))="Delhi"),"Delhi",PROPER(TRIM(Raw_Data!D291)))))</f>
        <v/>
      </c>
      <c r="C215">
        <f>IF(TRIM(Raw_Data!F291&amp;"")="","Not Specified",Raw_Data!F291)</f>
        <v/>
      </c>
      <c r="D215">
        <f>Raw_Data!H291</f>
        <v/>
      </c>
      <c r="E215">
        <f>Raw_Data!E291</f>
        <v/>
      </c>
    </row>
    <row r="216">
      <c r="A216">
        <f>_xlfn.IFS(ISNUMBER(SEARCH("data analy",B294)),"Data Analyst",ISNUMBER(SEARCH("business analy",B294)),"Business Analyst",OR(ISNUMBER(SEARCH("developer",B294)),ISNUMBER(SEARCH("software engineer",B294)),ISNUMBER(SEARCH("programmer",B294))),"Software Developer",ISNUMBER(SEARCH("business development",B294)),"Business Development",ISNUMBER(SEARCH("sales",B294)),"Sales Executive",ISNUMBER(SEARCH("marketing",B294)),"Marketing Executive",OR(ISNUMBER(SEARCH("hr ",B294)),ISNUMBER(SEARCH("recruit",B294)),ISNUMBER(SEARCH("human resource",B294))),"HR / Recruiter",OR(ISNUMBER(SEARCH("account",B294)),ISNUMBER(SEARCH("finance",B294)),ISNUMBER(SEARCH("tax",B294)),ISNUMBER(SEARCH("audit",B294))),"Accountant / Finance",OR(ISNUMBER(SEARCH("customer service",B294)),ISNUMBER(SEARCH("customer support",B294)),ISNUMBER(SEARCH("customer care",B294)),ISNUMBER(SEARCH("voice process",B294)),ISNUMBER(SEARCH("bpo",B294))),"Customer Support",ISNUMBER(SEARCH("engineer",B294)),"Engineer (Technical)",ISNUMBER(SEARCH("manager",B294)),"Manager",OR(ISNUMBER(SEARCH("teacher",B294)),ISNUMBER(SEARCH("trainer",B294)),ISNUMBER(SEARCH("faculty",B294))),"Teacher / Trainer",OR(ISNUMBER(SEARCH("doctor",B294)),ISNUMBER(SEARCH("nurse",B294)),ISNUMBER(SEARCH("medical",B294)),ISNUMBER(SEARCH("pharma",B294)),ISNUMBER(SEARCH("clinical",B294))),"Healthcare",TRUE,"Other")</f>
        <v/>
      </c>
      <c r="B216">
        <f>IF(PROPER(TRIM(Raw_Data!D292))="Bangalore","Bengaluru",IF(PROPER(TRIM(Raw_Data!D292))="Gurgaon","Gurugram",IF(OR(PROPER(TRIM(Raw_Data!D292))="New Delhi",PROPER(TRIM(Raw_Data!D292))="Delhi"),"Delhi",PROPER(TRIM(Raw_Data!D292)))))</f>
        <v/>
      </c>
      <c r="C216">
        <f>IF(TRIM(Raw_Data!F292&amp;"")="","Not Specified",Raw_Data!F292)</f>
        <v/>
      </c>
      <c r="D216">
        <f>Raw_Data!H292</f>
        <v/>
      </c>
      <c r="E216">
        <f>Raw_Data!E292</f>
        <v/>
      </c>
    </row>
    <row r="217">
      <c r="A217">
        <f>_xlfn.IFS(ISNUMBER(SEARCH("data analy",B295)),"Data Analyst",ISNUMBER(SEARCH("business analy",B295)),"Business Analyst",OR(ISNUMBER(SEARCH("developer",B295)),ISNUMBER(SEARCH("software engineer",B295)),ISNUMBER(SEARCH("programmer",B295))),"Software Developer",ISNUMBER(SEARCH("business development",B295)),"Business Development",ISNUMBER(SEARCH("sales",B295)),"Sales Executive",ISNUMBER(SEARCH("marketing",B295)),"Marketing Executive",OR(ISNUMBER(SEARCH("hr ",B295)),ISNUMBER(SEARCH("recruit",B295)),ISNUMBER(SEARCH("human resource",B295))),"HR / Recruiter",OR(ISNUMBER(SEARCH("account",B295)),ISNUMBER(SEARCH("finance",B295)),ISNUMBER(SEARCH("tax",B295)),ISNUMBER(SEARCH("audit",B295))),"Accountant / Finance",OR(ISNUMBER(SEARCH("customer service",B295)),ISNUMBER(SEARCH("customer support",B295)),ISNUMBER(SEARCH("customer care",B295)),ISNUMBER(SEARCH("voice process",B295)),ISNUMBER(SEARCH("bpo",B295))),"Customer Support",ISNUMBER(SEARCH("engineer",B295)),"Engineer (Technical)",ISNUMBER(SEARCH("manager",B295)),"Manager",OR(ISNUMBER(SEARCH("teacher",B295)),ISNUMBER(SEARCH("trainer",B295)),ISNUMBER(SEARCH("faculty",B295))),"Teacher / Trainer",OR(ISNUMBER(SEARCH("doctor",B295)),ISNUMBER(SEARCH("nurse",B295)),ISNUMBER(SEARCH("medical",B295)),ISNUMBER(SEARCH("pharma",B295)),ISNUMBER(SEARCH("clinical",B295))),"Healthcare",TRUE,"Other")</f>
        <v/>
      </c>
      <c r="B217">
        <f>IF(PROPER(TRIM(Raw_Data!D293))="Bangalore","Bengaluru",IF(PROPER(TRIM(Raw_Data!D293))="Gurgaon","Gurugram",IF(OR(PROPER(TRIM(Raw_Data!D293))="New Delhi",PROPER(TRIM(Raw_Data!D293))="Delhi"),"Delhi",PROPER(TRIM(Raw_Data!D293)))))</f>
        <v/>
      </c>
      <c r="C217">
        <f>IF(TRIM(Raw_Data!F293&amp;"")="","Not Specified",Raw_Data!F293)</f>
        <v/>
      </c>
      <c r="D217">
        <f>Raw_Data!H293</f>
        <v/>
      </c>
      <c r="E217">
        <f>Raw_Data!E293</f>
        <v/>
      </c>
    </row>
    <row r="218">
      <c r="A218">
        <f>_xlfn.IFS(ISNUMBER(SEARCH("data analy",B296)),"Data Analyst",ISNUMBER(SEARCH("business analy",B296)),"Business Analyst",OR(ISNUMBER(SEARCH("developer",B296)),ISNUMBER(SEARCH("software engineer",B296)),ISNUMBER(SEARCH("programmer",B296))),"Software Developer",ISNUMBER(SEARCH("business development",B296)),"Business Development",ISNUMBER(SEARCH("sales",B296)),"Sales Executive",ISNUMBER(SEARCH("marketing",B296)),"Marketing Executive",OR(ISNUMBER(SEARCH("hr ",B296)),ISNUMBER(SEARCH("recruit",B296)),ISNUMBER(SEARCH("human resource",B296))),"HR / Recruiter",OR(ISNUMBER(SEARCH("account",B296)),ISNUMBER(SEARCH("finance",B296)),ISNUMBER(SEARCH("tax",B296)),ISNUMBER(SEARCH("audit",B296))),"Accountant / Finance",OR(ISNUMBER(SEARCH("customer service",B296)),ISNUMBER(SEARCH("customer support",B296)),ISNUMBER(SEARCH("customer care",B296)),ISNUMBER(SEARCH("voice process",B296)),ISNUMBER(SEARCH("bpo",B296))),"Customer Support",ISNUMBER(SEARCH("engineer",B296)),"Engineer (Technical)",ISNUMBER(SEARCH("manager",B296)),"Manager",OR(ISNUMBER(SEARCH("teacher",B296)),ISNUMBER(SEARCH("trainer",B296)),ISNUMBER(SEARCH("faculty",B296))),"Teacher / Trainer",OR(ISNUMBER(SEARCH("doctor",B296)),ISNUMBER(SEARCH("nurse",B296)),ISNUMBER(SEARCH("medical",B296)),ISNUMBER(SEARCH("pharma",B296)),ISNUMBER(SEARCH("clinical",B296))),"Healthcare",TRUE,"Other")</f>
        <v/>
      </c>
      <c r="B218">
        <f>IF(PROPER(TRIM(Raw_Data!D294))="Bangalore","Bengaluru",IF(PROPER(TRIM(Raw_Data!D294))="Gurgaon","Gurugram",IF(OR(PROPER(TRIM(Raw_Data!D294))="New Delhi",PROPER(TRIM(Raw_Data!D294))="Delhi"),"Delhi",PROPER(TRIM(Raw_Data!D294)))))</f>
        <v/>
      </c>
      <c r="C218">
        <f>IF(TRIM(Raw_Data!F294&amp;"")="","Not Specified",Raw_Data!F294)</f>
        <v/>
      </c>
      <c r="D218">
        <f>Raw_Data!H294</f>
        <v/>
      </c>
      <c r="E218">
        <f>Raw_Data!E294</f>
        <v/>
      </c>
    </row>
    <row r="219">
      <c r="A219">
        <f>_xlfn.IFS(ISNUMBER(SEARCH("data analy",B297)),"Data Analyst",ISNUMBER(SEARCH("business analy",B297)),"Business Analyst",OR(ISNUMBER(SEARCH("developer",B297)),ISNUMBER(SEARCH("software engineer",B297)),ISNUMBER(SEARCH("programmer",B297))),"Software Developer",ISNUMBER(SEARCH("business development",B297)),"Business Development",ISNUMBER(SEARCH("sales",B297)),"Sales Executive",ISNUMBER(SEARCH("marketing",B297)),"Marketing Executive",OR(ISNUMBER(SEARCH("hr ",B297)),ISNUMBER(SEARCH("recruit",B297)),ISNUMBER(SEARCH("human resource",B297))),"HR / Recruiter",OR(ISNUMBER(SEARCH("account",B297)),ISNUMBER(SEARCH("finance",B297)),ISNUMBER(SEARCH("tax",B297)),ISNUMBER(SEARCH("audit",B297))),"Accountant / Finance",OR(ISNUMBER(SEARCH("customer service",B297)),ISNUMBER(SEARCH("customer support",B297)),ISNUMBER(SEARCH("customer care",B297)),ISNUMBER(SEARCH("voice process",B297)),ISNUMBER(SEARCH("bpo",B297))),"Customer Support",ISNUMBER(SEARCH("engineer",B297)),"Engineer (Technical)",ISNUMBER(SEARCH("manager",B297)),"Manager",OR(ISNUMBER(SEARCH("teacher",B297)),ISNUMBER(SEARCH("trainer",B297)),ISNUMBER(SEARCH("faculty",B297))),"Teacher / Trainer",OR(ISNUMBER(SEARCH("doctor",B297)),ISNUMBER(SEARCH("nurse",B297)),ISNUMBER(SEARCH("medical",B297)),ISNUMBER(SEARCH("pharma",B297)),ISNUMBER(SEARCH("clinical",B297))),"Healthcare",TRUE,"Other")</f>
        <v/>
      </c>
      <c r="B219">
        <f>IF(PROPER(TRIM(Raw_Data!D295))="Bangalore","Bengaluru",IF(PROPER(TRIM(Raw_Data!D295))="Gurgaon","Gurugram",IF(OR(PROPER(TRIM(Raw_Data!D295))="New Delhi",PROPER(TRIM(Raw_Data!D295))="Delhi"),"Delhi",PROPER(TRIM(Raw_Data!D295)))))</f>
        <v/>
      </c>
      <c r="C219">
        <f>IF(TRIM(Raw_Data!F295&amp;"")="","Not Specified",Raw_Data!F295)</f>
        <v/>
      </c>
      <c r="D219">
        <f>Raw_Data!H295</f>
        <v/>
      </c>
      <c r="E219">
        <f>Raw_Data!E295</f>
        <v/>
      </c>
    </row>
    <row r="220">
      <c r="A220">
        <f>_xlfn.IFS(ISNUMBER(SEARCH("data analy",B298)),"Data Analyst",ISNUMBER(SEARCH("business analy",B298)),"Business Analyst",OR(ISNUMBER(SEARCH("developer",B298)),ISNUMBER(SEARCH("software engineer",B298)),ISNUMBER(SEARCH("programmer",B298))),"Software Developer",ISNUMBER(SEARCH("business development",B298)),"Business Development",ISNUMBER(SEARCH("sales",B298)),"Sales Executive",ISNUMBER(SEARCH("marketing",B298)),"Marketing Executive",OR(ISNUMBER(SEARCH("hr ",B298)),ISNUMBER(SEARCH("recruit",B298)),ISNUMBER(SEARCH("human resource",B298))),"HR / Recruiter",OR(ISNUMBER(SEARCH("account",B298)),ISNUMBER(SEARCH("finance",B298)),ISNUMBER(SEARCH("tax",B298)),ISNUMBER(SEARCH("audit",B298))),"Accountant / Finance",OR(ISNUMBER(SEARCH("customer service",B298)),ISNUMBER(SEARCH("customer support",B298)),ISNUMBER(SEARCH("customer care",B298)),ISNUMBER(SEARCH("voice process",B298)),ISNUMBER(SEARCH("bpo",B298))),"Customer Support",ISNUMBER(SEARCH("engineer",B298)),"Engineer (Technical)",ISNUMBER(SEARCH("manager",B298)),"Manager",OR(ISNUMBER(SEARCH("teacher",B298)),ISNUMBER(SEARCH("trainer",B298)),ISNUMBER(SEARCH("faculty",B298))),"Teacher / Trainer",OR(ISNUMBER(SEARCH("doctor",B298)),ISNUMBER(SEARCH("nurse",B298)),ISNUMBER(SEARCH("medical",B298)),ISNUMBER(SEARCH("pharma",B298)),ISNUMBER(SEARCH("clinical",B298))),"Healthcare",TRUE,"Other")</f>
        <v/>
      </c>
      <c r="B220">
        <f>IF(PROPER(TRIM(Raw_Data!D296))="Bangalore","Bengaluru",IF(PROPER(TRIM(Raw_Data!D296))="Gurgaon","Gurugram",IF(OR(PROPER(TRIM(Raw_Data!D296))="New Delhi",PROPER(TRIM(Raw_Data!D296))="Delhi"),"Delhi",PROPER(TRIM(Raw_Data!D296)))))</f>
        <v/>
      </c>
      <c r="C220">
        <f>IF(TRIM(Raw_Data!F296&amp;"")="","Not Specified",Raw_Data!F296)</f>
        <v/>
      </c>
      <c r="D220">
        <f>Raw_Data!H296</f>
        <v/>
      </c>
      <c r="E220">
        <f>Raw_Data!E296</f>
        <v/>
      </c>
    </row>
    <row r="221">
      <c r="A221">
        <f>_xlfn.IFS(ISNUMBER(SEARCH("data analy",B299)),"Data Analyst",ISNUMBER(SEARCH("business analy",B299)),"Business Analyst",OR(ISNUMBER(SEARCH("developer",B299)),ISNUMBER(SEARCH("software engineer",B299)),ISNUMBER(SEARCH("programmer",B299))),"Software Developer",ISNUMBER(SEARCH("business development",B299)),"Business Development",ISNUMBER(SEARCH("sales",B299)),"Sales Executive",ISNUMBER(SEARCH("marketing",B299)),"Marketing Executive",OR(ISNUMBER(SEARCH("hr ",B299)),ISNUMBER(SEARCH("recruit",B299)),ISNUMBER(SEARCH("human resource",B299))),"HR / Recruiter",OR(ISNUMBER(SEARCH("account",B299)),ISNUMBER(SEARCH("finance",B299)),ISNUMBER(SEARCH("tax",B299)),ISNUMBER(SEARCH("audit",B299))),"Accountant / Finance",OR(ISNUMBER(SEARCH("customer service",B299)),ISNUMBER(SEARCH("customer support",B299)),ISNUMBER(SEARCH("customer care",B299)),ISNUMBER(SEARCH("voice process",B299)),ISNUMBER(SEARCH("bpo",B299))),"Customer Support",ISNUMBER(SEARCH("engineer",B299)),"Engineer (Technical)",ISNUMBER(SEARCH("manager",B299)),"Manager",OR(ISNUMBER(SEARCH("teacher",B299)),ISNUMBER(SEARCH("trainer",B299)),ISNUMBER(SEARCH("faculty",B299))),"Teacher / Trainer",OR(ISNUMBER(SEARCH("doctor",B299)),ISNUMBER(SEARCH("nurse",B299)),ISNUMBER(SEARCH("medical",B299)),ISNUMBER(SEARCH("pharma",B299)),ISNUMBER(SEARCH("clinical",B299))),"Healthcare",TRUE,"Other")</f>
        <v/>
      </c>
      <c r="B221">
        <f>IF(PROPER(TRIM(Raw_Data!D297))="Bangalore","Bengaluru",IF(PROPER(TRIM(Raw_Data!D297))="Gurgaon","Gurugram",IF(OR(PROPER(TRIM(Raw_Data!D297))="New Delhi",PROPER(TRIM(Raw_Data!D297))="Delhi"),"Delhi",PROPER(TRIM(Raw_Data!D297)))))</f>
        <v/>
      </c>
      <c r="C221">
        <f>IF(TRIM(Raw_Data!F297&amp;"")="","Not Specified",Raw_Data!F297)</f>
        <v/>
      </c>
      <c r="D221">
        <f>Raw_Data!H297</f>
        <v/>
      </c>
      <c r="E221">
        <f>Raw_Data!E297</f>
        <v/>
      </c>
    </row>
    <row r="222">
      <c r="A222">
        <f>_xlfn.IFS(ISNUMBER(SEARCH("data analy",B30)),"Data Analyst",ISNUMBER(SEARCH("business analy",B30)),"Business Analyst",OR(ISNUMBER(SEARCH("developer",B30)),ISNUMBER(SEARCH("software engineer",B30)),ISNUMBER(SEARCH("programmer",B30))),"Software Developer",ISNUMBER(SEARCH("business development",B30)),"Business Development",ISNUMBER(SEARCH("sales",B30)),"Sales Executive",ISNUMBER(SEARCH("marketing",B30)),"Marketing Executive",OR(ISNUMBER(SEARCH("hr ",B30)),ISNUMBER(SEARCH("recruit",B30)),ISNUMBER(SEARCH("human resource",B30))),"HR / Recruiter",OR(ISNUMBER(SEARCH("account",B30)),ISNUMBER(SEARCH("finance",B30)),ISNUMBER(SEARCH("tax",B30)),ISNUMBER(SEARCH("audit",B30))),"Accountant / Finance",OR(ISNUMBER(SEARCH("customer service",B30)),ISNUMBER(SEARCH("customer support",B30)),ISNUMBER(SEARCH("customer care",B30)),ISNUMBER(SEARCH("voice process",B30)),ISNUMBER(SEARCH("bpo",B30))),"Customer Support",ISNUMBER(SEARCH("engineer",B30)),"Engineer (Technical)",ISNUMBER(SEARCH("manager",B30)),"Manager",OR(ISNUMBER(SEARCH("teacher",B30)),ISNUMBER(SEARCH("trainer",B30)),ISNUMBER(SEARCH("faculty",B30))),"Teacher / Trainer",OR(ISNUMBER(SEARCH("doctor",B30)),ISNUMBER(SEARCH("nurse",B30)),ISNUMBER(SEARCH("medical",B30)),ISNUMBER(SEARCH("pharma",B30)),ISNUMBER(SEARCH("clinical",B30))),"Healthcare",TRUE,"Other")</f>
        <v/>
      </c>
      <c r="B222">
        <f>IF(PROPER(TRIM(Raw_Data!D298))="Bangalore","Bengaluru",IF(PROPER(TRIM(Raw_Data!D298))="Gurgaon","Gurugram",IF(OR(PROPER(TRIM(Raw_Data!D298))="New Delhi",PROPER(TRIM(Raw_Data!D298))="Delhi"),"Delhi",PROPER(TRIM(Raw_Data!D298)))))</f>
        <v/>
      </c>
      <c r="C222">
        <f>IF(TRIM(Raw_Data!F298&amp;"")="","Not Specified",Raw_Data!F298)</f>
        <v/>
      </c>
      <c r="D222">
        <f>Raw_Data!H298</f>
        <v/>
      </c>
      <c r="E222">
        <f>Raw_Data!E298</f>
        <v/>
      </c>
    </row>
    <row r="223">
      <c r="A223">
        <f>_xlfn.IFS(ISNUMBER(SEARCH("data analy",B300)),"Data Analyst",ISNUMBER(SEARCH("business analy",B300)),"Business Analyst",OR(ISNUMBER(SEARCH("developer",B300)),ISNUMBER(SEARCH("software engineer",B300)),ISNUMBER(SEARCH("programmer",B300))),"Software Developer",ISNUMBER(SEARCH("business development",B300)),"Business Development",ISNUMBER(SEARCH("sales",B300)),"Sales Executive",ISNUMBER(SEARCH("marketing",B300)),"Marketing Executive",OR(ISNUMBER(SEARCH("hr ",B300)),ISNUMBER(SEARCH("recruit",B300)),ISNUMBER(SEARCH("human resource",B300))),"HR / Recruiter",OR(ISNUMBER(SEARCH("account",B300)),ISNUMBER(SEARCH("finance",B300)),ISNUMBER(SEARCH("tax",B300)),ISNUMBER(SEARCH("audit",B300))),"Accountant / Finance",OR(ISNUMBER(SEARCH("customer service",B300)),ISNUMBER(SEARCH("customer support",B300)),ISNUMBER(SEARCH("customer care",B300)),ISNUMBER(SEARCH("voice process",B300)),ISNUMBER(SEARCH("bpo",B300))),"Customer Support",ISNUMBER(SEARCH("engineer",B300)),"Engineer (Technical)",ISNUMBER(SEARCH("manager",B300)),"Manager",OR(ISNUMBER(SEARCH("teacher",B300)),ISNUMBER(SEARCH("trainer",B300)),ISNUMBER(SEARCH("faculty",B300))),"Teacher / Trainer",OR(ISNUMBER(SEARCH("doctor",B300)),ISNUMBER(SEARCH("nurse",B300)),ISNUMBER(SEARCH("medical",B300)),ISNUMBER(SEARCH("pharma",B300)),ISNUMBER(SEARCH("clinical",B300))),"Healthcare",TRUE,"Other")</f>
        <v/>
      </c>
      <c r="B223">
        <f>IF(PROPER(TRIM(Raw_Data!D299))="Bangalore","Bengaluru",IF(PROPER(TRIM(Raw_Data!D299))="Gurgaon","Gurugram",IF(OR(PROPER(TRIM(Raw_Data!D299))="New Delhi",PROPER(TRIM(Raw_Data!D299))="Delhi"),"Delhi",PROPER(TRIM(Raw_Data!D299)))))</f>
        <v/>
      </c>
      <c r="C223">
        <f>IF(TRIM(Raw_Data!F299&amp;"")="","Not Specified",Raw_Data!F299)</f>
        <v/>
      </c>
      <c r="D223">
        <f>Raw_Data!H299</f>
        <v/>
      </c>
      <c r="E223">
        <f>Raw_Data!E299</f>
        <v/>
      </c>
    </row>
    <row r="224">
      <c r="A224">
        <f>_xlfn.IFS(ISNUMBER(SEARCH("data analy",B301)),"Data Analyst",ISNUMBER(SEARCH("business analy",B301)),"Business Analyst",OR(ISNUMBER(SEARCH("developer",B301)),ISNUMBER(SEARCH("software engineer",B301)),ISNUMBER(SEARCH("programmer",B301))),"Software Developer",ISNUMBER(SEARCH("business development",B301)),"Business Development",ISNUMBER(SEARCH("sales",B301)),"Sales Executive",ISNUMBER(SEARCH("marketing",B301)),"Marketing Executive",OR(ISNUMBER(SEARCH("hr ",B301)),ISNUMBER(SEARCH("recruit",B301)),ISNUMBER(SEARCH("human resource",B301))),"HR / Recruiter",OR(ISNUMBER(SEARCH("account",B301)),ISNUMBER(SEARCH("finance",B301)),ISNUMBER(SEARCH("tax",B301)),ISNUMBER(SEARCH("audit",B301))),"Accountant / Finance",OR(ISNUMBER(SEARCH("customer service",B301)),ISNUMBER(SEARCH("customer support",B301)),ISNUMBER(SEARCH("customer care",B301)),ISNUMBER(SEARCH("voice process",B301)),ISNUMBER(SEARCH("bpo",B301))),"Customer Support",ISNUMBER(SEARCH("engineer",B301)),"Engineer (Technical)",ISNUMBER(SEARCH("manager",B301)),"Manager",OR(ISNUMBER(SEARCH("teacher",B301)),ISNUMBER(SEARCH("trainer",B301)),ISNUMBER(SEARCH("faculty",B301))),"Teacher / Trainer",OR(ISNUMBER(SEARCH("doctor",B301)),ISNUMBER(SEARCH("nurse",B301)),ISNUMBER(SEARCH("medical",B301)),ISNUMBER(SEARCH("pharma",B301)),ISNUMBER(SEARCH("clinical",B301))),"Healthcare",TRUE,"Other")</f>
        <v/>
      </c>
      <c r="B224">
        <f>IF(PROPER(TRIM(Raw_Data!D3))="Bangalore","Bengaluru",IF(PROPER(TRIM(Raw_Data!D3))="Gurgaon","Gurugram",IF(OR(PROPER(TRIM(Raw_Data!D3))="New Delhi",PROPER(TRIM(Raw_Data!D3))="Delhi"),"Delhi",PROPER(TRIM(Raw_Data!D3)))))</f>
        <v/>
      </c>
      <c r="C224">
        <f>IF(TRIM(Raw_Data!F3&amp;"")="","Not Specified",Raw_Data!F3)</f>
        <v/>
      </c>
      <c r="D224">
        <f>Raw_Data!H3</f>
        <v/>
      </c>
      <c r="E224">
        <f>Raw_Data!E3</f>
        <v/>
      </c>
    </row>
    <row r="225">
      <c r="A225">
        <f>_xlfn.IFS(ISNUMBER(SEARCH("data analy",B302)),"Data Analyst",ISNUMBER(SEARCH("business analy",B302)),"Business Analyst",OR(ISNUMBER(SEARCH("developer",B302)),ISNUMBER(SEARCH("software engineer",B302)),ISNUMBER(SEARCH("programmer",B302))),"Software Developer",ISNUMBER(SEARCH("business development",B302)),"Business Development",ISNUMBER(SEARCH("sales",B302)),"Sales Executive",ISNUMBER(SEARCH("marketing",B302)),"Marketing Executive",OR(ISNUMBER(SEARCH("hr ",B302)),ISNUMBER(SEARCH("recruit",B302)),ISNUMBER(SEARCH("human resource",B302))),"HR / Recruiter",OR(ISNUMBER(SEARCH("account",B302)),ISNUMBER(SEARCH("finance",B302)),ISNUMBER(SEARCH("tax",B302)),ISNUMBER(SEARCH("audit",B302))),"Accountant / Finance",OR(ISNUMBER(SEARCH("customer service",B302)),ISNUMBER(SEARCH("customer support",B302)),ISNUMBER(SEARCH("customer care",B302)),ISNUMBER(SEARCH("voice process",B302)),ISNUMBER(SEARCH("bpo",B302))),"Customer Support",ISNUMBER(SEARCH("engineer",B302)),"Engineer (Technical)",ISNUMBER(SEARCH("manager",B302)),"Manager",OR(ISNUMBER(SEARCH("teacher",B302)),ISNUMBER(SEARCH("trainer",B302)),ISNUMBER(SEARCH("faculty",B302))),"Teacher / Trainer",OR(ISNUMBER(SEARCH("doctor",B302)),ISNUMBER(SEARCH("nurse",B302)),ISNUMBER(SEARCH("medical",B302)),ISNUMBER(SEARCH("pharma",B302)),ISNUMBER(SEARCH("clinical",B302))),"Healthcare",TRUE,"Other")</f>
        <v/>
      </c>
      <c r="B225">
        <f>IF(PROPER(TRIM(Raw_Data!D30))="Bangalore","Bengaluru",IF(PROPER(TRIM(Raw_Data!D30))="Gurgaon","Gurugram",IF(OR(PROPER(TRIM(Raw_Data!D30))="New Delhi",PROPER(TRIM(Raw_Data!D30))="Delhi"),"Delhi",PROPER(TRIM(Raw_Data!D30)))))</f>
        <v/>
      </c>
      <c r="C225">
        <f>IF(TRIM(Raw_Data!F30&amp;"")="","Not Specified",Raw_Data!F30)</f>
        <v/>
      </c>
      <c r="D225">
        <f>Raw_Data!H30</f>
        <v/>
      </c>
      <c r="E225">
        <f>Raw_Data!E30</f>
        <v/>
      </c>
    </row>
    <row r="226">
      <c r="A226">
        <f>_xlfn.IFS(ISNUMBER(SEARCH("data analy",B303)),"Data Analyst",ISNUMBER(SEARCH("business analy",B303)),"Business Analyst",OR(ISNUMBER(SEARCH("developer",B303)),ISNUMBER(SEARCH("software engineer",B303)),ISNUMBER(SEARCH("programmer",B303))),"Software Developer",ISNUMBER(SEARCH("business development",B303)),"Business Development",ISNUMBER(SEARCH("sales",B303)),"Sales Executive",ISNUMBER(SEARCH("marketing",B303)),"Marketing Executive",OR(ISNUMBER(SEARCH("hr ",B303)),ISNUMBER(SEARCH("recruit",B303)),ISNUMBER(SEARCH("human resource",B303))),"HR / Recruiter",OR(ISNUMBER(SEARCH("account",B303)),ISNUMBER(SEARCH("finance",B303)),ISNUMBER(SEARCH("tax",B303)),ISNUMBER(SEARCH("audit",B303))),"Accountant / Finance",OR(ISNUMBER(SEARCH("customer service",B303)),ISNUMBER(SEARCH("customer support",B303)),ISNUMBER(SEARCH("customer care",B303)),ISNUMBER(SEARCH("voice process",B303)),ISNUMBER(SEARCH("bpo",B303))),"Customer Support",ISNUMBER(SEARCH("engineer",B303)),"Engineer (Technical)",ISNUMBER(SEARCH("manager",B303)),"Manager",OR(ISNUMBER(SEARCH("teacher",B303)),ISNUMBER(SEARCH("trainer",B303)),ISNUMBER(SEARCH("faculty",B303))),"Teacher / Trainer",OR(ISNUMBER(SEARCH("doctor",B303)),ISNUMBER(SEARCH("nurse",B303)),ISNUMBER(SEARCH("medical",B303)),ISNUMBER(SEARCH("pharma",B303)),ISNUMBER(SEARCH("clinical",B303))),"Healthcare",TRUE,"Other")</f>
        <v/>
      </c>
      <c r="B226">
        <f>IF(PROPER(TRIM(Raw_Data!D300))="Bangalore","Bengaluru",IF(PROPER(TRIM(Raw_Data!D300))="Gurgaon","Gurugram",IF(OR(PROPER(TRIM(Raw_Data!D300))="New Delhi",PROPER(TRIM(Raw_Data!D300))="Delhi"),"Delhi",PROPER(TRIM(Raw_Data!D300)))))</f>
        <v/>
      </c>
      <c r="C226">
        <f>IF(TRIM(Raw_Data!F300&amp;"")="","Not Specified",Raw_Data!F300)</f>
        <v/>
      </c>
      <c r="D226">
        <f>Raw_Data!H300</f>
        <v/>
      </c>
      <c r="E226">
        <f>Raw_Data!E300</f>
        <v/>
      </c>
    </row>
    <row r="227">
      <c r="A227">
        <f>_xlfn.IFS(ISNUMBER(SEARCH("data analy",B304)),"Data Analyst",ISNUMBER(SEARCH("business analy",B304)),"Business Analyst",OR(ISNUMBER(SEARCH("developer",B304)),ISNUMBER(SEARCH("software engineer",B304)),ISNUMBER(SEARCH("programmer",B304))),"Software Developer",ISNUMBER(SEARCH("business development",B304)),"Business Development",ISNUMBER(SEARCH("sales",B304)),"Sales Executive",ISNUMBER(SEARCH("marketing",B304)),"Marketing Executive",OR(ISNUMBER(SEARCH("hr ",B304)),ISNUMBER(SEARCH("recruit",B304)),ISNUMBER(SEARCH("human resource",B304))),"HR / Recruiter",OR(ISNUMBER(SEARCH("account",B304)),ISNUMBER(SEARCH("finance",B304)),ISNUMBER(SEARCH("tax",B304)),ISNUMBER(SEARCH("audit",B304))),"Accountant / Finance",OR(ISNUMBER(SEARCH("customer service",B304)),ISNUMBER(SEARCH("customer support",B304)),ISNUMBER(SEARCH("customer care",B304)),ISNUMBER(SEARCH("voice process",B304)),ISNUMBER(SEARCH("bpo",B304))),"Customer Support",ISNUMBER(SEARCH("engineer",B304)),"Engineer (Technical)",ISNUMBER(SEARCH("manager",B304)),"Manager",OR(ISNUMBER(SEARCH("teacher",B304)),ISNUMBER(SEARCH("trainer",B304)),ISNUMBER(SEARCH("faculty",B304))),"Teacher / Trainer",OR(ISNUMBER(SEARCH("doctor",B304)),ISNUMBER(SEARCH("nurse",B304)),ISNUMBER(SEARCH("medical",B304)),ISNUMBER(SEARCH("pharma",B304)),ISNUMBER(SEARCH("clinical",B304))),"Healthcare",TRUE,"Other")</f>
        <v/>
      </c>
      <c r="B227">
        <f>IF(PROPER(TRIM(Raw_Data!D301))="Bangalore","Bengaluru",IF(PROPER(TRIM(Raw_Data!D301))="Gurgaon","Gurugram",IF(OR(PROPER(TRIM(Raw_Data!D301))="New Delhi",PROPER(TRIM(Raw_Data!D301))="Delhi"),"Delhi",PROPER(TRIM(Raw_Data!D301)))))</f>
        <v/>
      </c>
      <c r="C227">
        <f>IF(TRIM(Raw_Data!F301&amp;"")="","Not Specified",Raw_Data!F301)</f>
        <v/>
      </c>
      <c r="D227">
        <f>Raw_Data!H301</f>
        <v/>
      </c>
      <c r="E227">
        <f>Raw_Data!E301</f>
        <v/>
      </c>
    </row>
    <row r="228">
      <c r="A228">
        <f>_xlfn.IFS(ISNUMBER(SEARCH("data analy",B305)),"Data Analyst",ISNUMBER(SEARCH("business analy",B305)),"Business Analyst",OR(ISNUMBER(SEARCH("developer",B305)),ISNUMBER(SEARCH("software engineer",B305)),ISNUMBER(SEARCH("programmer",B305))),"Software Developer",ISNUMBER(SEARCH("business development",B305)),"Business Development",ISNUMBER(SEARCH("sales",B305)),"Sales Executive",ISNUMBER(SEARCH("marketing",B305)),"Marketing Executive",OR(ISNUMBER(SEARCH("hr ",B305)),ISNUMBER(SEARCH("recruit",B305)),ISNUMBER(SEARCH("human resource",B305))),"HR / Recruiter",OR(ISNUMBER(SEARCH("account",B305)),ISNUMBER(SEARCH("finance",B305)),ISNUMBER(SEARCH("tax",B305)),ISNUMBER(SEARCH("audit",B305))),"Accountant / Finance",OR(ISNUMBER(SEARCH("customer service",B305)),ISNUMBER(SEARCH("customer support",B305)),ISNUMBER(SEARCH("customer care",B305)),ISNUMBER(SEARCH("voice process",B305)),ISNUMBER(SEARCH("bpo",B305))),"Customer Support",ISNUMBER(SEARCH("engineer",B305)),"Engineer (Technical)",ISNUMBER(SEARCH("manager",B305)),"Manager",OR(ISNUMBER(SEARCH("teacher",B305)),ISNUMBER(SEARCH("trainer",B305)),ISNUMBER(SEARCH("faculty",B305))),"Teacher / Trainer",OR(ISNUMBER(SEARCH("doctor",B305)),ISNUMBER(SEARCH("nurse",B305)),ISNUMBER(SEARCH("medical",B305)),ISNUMBER(SEARCH("pharma",B305)),ISNUMBER(SEARCH("clinical",B305))),"Healthcare",TRUE,"Other")</f>
        <v/>
      </c>
      <c r="B228">
        <f>IF(PROPER(TRIM(Raw_Data!D302))="Bangalore","Bengaluru",IF(PROPER(TRIM(Raw_Data!D302))="Gurgaon","Gurugram",IF(OR(PROPER(TRIM(Raw_Data!D302))="New Delhi",PROPER(TRIM(Raw_Data!D302))="Delhi"),"Delhi",PROPER(TRIM(Raw_Data!D302)))))</f>
        <v/>
      </c>
      <c r="C228">
        <f>IF(TRIM(Raw_Data!F302&amp;"")="","Not Specified",Raw_Data!F302)</f>
        <v/>
      </c>
      <c r="D228">
        <f>Raw_Data!H302</f>
        <v/>
      </c>
      <c r="E228">
        <f>Raw_Data!E302</f>
        <v/>
      </c>
    </row>
    <row r="229">
      <c r="A229">
        <f>_xlfn.IFS(ISNUMBER(SEARCH("data analy",B306)),"Data Analyst",ISNUMBER(SEARCH("business analy",B306)),"Business Analyst",OR(ISNUMBER(SEARCH("developer",B306)),ISNUMBER(SEARCH("software engineer",B306)),ISNUMBER(SEARCH("programmer",B306))),"Software Developer",ISNUMBER(SEARCH("business development",B306)),"Business Development",ISNUMBER(SEARCH("sales",B306)),"Sales Executive",ISNUMBER(SEARCH("marketing",B306)),"Marketing Executive",OR(ISNUMBER(SEARCH("hr ",B306)),ISNUMBER(SEARCH("recruit",B306)),ISNUMBER(SEARCH("human resource",B306))),"HR / Recruiter",OR(ISNUMBER(SEARCH("account",B306)),ISNUMBER(SEARCH("finance",B306)),ISNUMBER(SEARCH("tax",B306)),ISNUMBER(SEARCH("audit",B306))),"Accountant / Finance",OR(ISNUMBER(SEARCH("customer service",B306)),ISNUMBER(SEARCH("customer support",B306)),ISNUMBER(SEARCH("customer care",B306)),ISNUMBER(SEARCH("voice process",B306)),ISNUMBER(SEARCH("bpo",B306))),"Customer Support",ISNUMBER(SEARCH("engineer",B306)),"Engineer (Technical)",ISNUMBER(SEARCH("manager",B306)),"Manager",OR(ISNUMBER(SEARCH("teacher",B306)),ISNUMBER(SEARCH("trainer",B306)),ISNUMBER(SEARCH("faculty",B306))),"Teacher / Trainer",OR(ISNUMBER(SEARCH("doctor",B306)),ISNUMBER(SEARCH("nurse",B306)),ISNUMBER(SEARCH("medical",B306)),ISNUMBER(SEARCH("pharma",B306)),ISNUMBER(SEARCH("clinical",B306))),"Healthcare",TRUE,"Other")</f>
        <v/>
      </c>
      <c r="B229">
        <f>IF(PROPER(TRIM(Raw_Data!D303))="Bangalore","Bengaluru",IF(PROPER(TRIM(Raw_Data!D303))="Gurgaon","Gurugram",IF(OR(PROPER(TRIM(Raw_Data!D303))="New Delhi",PROPER(TRIM(Raw_Data!D303))="Delhi"),"Delhi",PROPER(TRIM(Raw_Data!D303)))))</f>
        <v/>
      </c>
      <c r="C229">
        <f>IF(TRIM(Raw_Data!F303&amp;"")="","Not Specified",Raw_Data!F303)</f>
        <v/>
      </c>
      <c r="D229">
        <f>Raw_Data!H303</f>
        <v/>
      </c>
      <c r="E229">
        <f>Raw_Data!E303</f>
        <v/>
      </c>
    </row>
    <row r="230">
      <c r="A230">
        <f>_xlfn.IFS(ISNUMBER(SEARCH("data analy",B307)),"Data Analyst",ISNUMBER(SEARCH("business analy",B307)),"Business Analyst",OR(ISNUMBER(SEARCH("developer",B307)),ISNUMBER(SEARCH("software engineer",B307)),ISNUMBER(SEARCH("programmer",B307))),"Software Developer",ISNUMBER(SEARCH("business development",B307)),"Business Development",ISNUMBER(SEARCH("sales",B307)),"Sales Executive",ISNUMBER(SEARCH("marketing",B307)),"Marketing Executive",OR(ISNUMBER(SEARCH("hr ",B307)),ISNUMBER(SEARCH("recruit",B307)),ISNUMBER(SEARCH("human resource",B307))),"HR / Recruiter",OR(ISNUMBER(SEARCH("account",B307)),ISNUMBER(SEARCH("finance",B307)),ISNUMBER(SEARCH("tax",B307)),ISNUMBER(SEARCH("audit",B307))),"Accountant / Finance",OR(ISNUMBER(SEARCH("customer service",B307)),ISNUMBER(SEARCH("customer support",B307)),ISNUMBER(SEARCH("customer care",B307)),ISNUMBER(SEARCH("voice process",B307)),ISNUMBER(SEARCH("bpo",B307))),"Customer Support",ISNUMBER(SEARCH("engineer",B307)),"Engineer (Technical)",ISNUMBER(SEARCH("manager",B307)),"Manager",OR(ISNUMBER(SEARCH("teacher",B307)),ISNUMBER(SEARCH("trainer",B307)),ISNUMBER(SEARCH("faculty",B307))),"Teacher / Trainer",OR(ISNUMBER(SEARCH("doctor",B307)),ISNUMBER(SEARCH("nurse",B307)),ISNUMBER(SEARCH("medical",B307)),ISNUMBER(SEARCH("pharma",B307)),ISNUMBER(SEARCH("clinical",B307))),"Healthcare",TRUE,"Other")</f>
        <v/>
      </c>
      <c r="B230">
        <f>IF(PROPER(TRIM(Raw_Data!D304))="Bangalore","Bengaluru",IF(PROPER(TRIM(Raw_Data!D304))="Gurgaon","Gurugram",IF(OR(PROPER(TRIM(Raw_Data!D304))="New Delhi",PROPER(TRIM(Raw_Data!D304))="Delhi"),"Delhi",PROPER(TRIM(Raw_Data!D304)))))</f>
        <v/>
      </c>
      <c r="C230">
        <f>IF(TRIM(Raw_Data!F304&amp;"")="","Not Specified",Raw_Data!F304)</f>
        <v/>
      </c>
      <c r="D230">
        <f>Raw_Data!H304</f>
        <v/>
      </c>
      <c r="E230">
        <f>Raw_Data!E304</f>
        <v/>
      </c>
    </row>
    <row r="231">
      <c r="A231">
        <f>_xlfn.IFS(ISNUMBER(SEARCH("data analy",B308)),"Data Analyst",ISNUMBER(SEARCH("business analy",B308)),"Business Analyst",OR(ISNUMBER(SEARCH("developer",B308)),ISNUMBER(SEARCH("software engineer",B308)),ISNUMBER(SEARCH("programmer",B308))),"Software Developer",ISNUMBER(SEARCH("business development",B308)),"Business Development",ISNUMBER(SEARCH("sales",B308)),"Sales Executive",ISNUMBER(SEARCH("marketing",B308)),"Marketing Executive",OR(ISNUMBER(SEARCH("hr ",B308)),ISNUMBER(SEARCH("recruit",B308)),ISNUMBER(SEARCH("human resource",B308))),"HR / Recruiter",OR(ISNUMBER(SEARCH("account",B308)),ISNUMBER(SEARCH("finance",B308)),ISNUMBER(SEARCH("tax",B308)),ISNUMBER(SEARCH("audit",B308))),"Accountant / Finance",OR(ISNUMBER(SEARCH("customer service",B308)),ISNUMBER(SEARCH("customer support",B308)),ISNUMBER(SEARCH("customer care",B308)),ISNUMBER(SEARCH("voice process",B308)),ISNUMBER(SEARCH("bpo",B308))),"Customer Support",ISNUMBER(SEARCH("engineer",B308)),"Engineer (Technical)",ISNUMBER(SEARCH("manager",B308)),"Manager",OR(ISNUMBER(SEARCH("teacher",B308)),ISNUMBER(SEARCH("trainer",B308)),ISNUMBER(SEARCH("faculty",B308))),"Teacher / Trainer",OR(ISNUMBER(SEARCH("doctor",B308)),ISNUMBER(SEARCH("nurse",B308)),ISNUMBER(SEARCH("medical",B308)),ISNUMBER(SEARCH("pharma",B308)),ISNUMBER(SEARCH("clinical",B308))),"Healthcare",TRUE,"Other")</f>
        <v/>
      </c>
      <c r="B231">
        <f>IF(PROPER(TRIM(Raw_Data!D305))="Bangalore","Bengaluru",IF(PROPER(TRIM(Raw_Data!D305))="Gurgaon","Gurugram",IF(OR(PROPER(TRIM(Raw_Data!D305))="New Delhi",PROPER(TRIM(Raw_Data!D305))="Delhi"),"Delhi",PROPER(TRIM(Raw_Data!D305)))))</f>
        <v/>
      </c>
      <c r="C231">
        <f>IF(TRIM(Raw_Data!F305&amp;"")="","Not Specified",Raw_Data!F305)</f>
        <v/>
      </c>
      <c r="D231">
        <f>Raw_Data!H305</f>
        <v/>
      </c>
      <c r="E231">
        <f>Raw_Data!E305</f>
        <v/>
      </c>
    </row>
    <row r="232">
      <c r="A232">
        <f>_xlfn.IFS(ISNUMBER(SEARCH("data analy",B309)),"Data Analyst",ISNUMBER(SEARCH("business analy",B309)),"Business Analyst",OR(ISNUMBER(SEARCH("developer",B309)),ISNUMBER(SEARCH("software engineer",B309)),ISNUMBER(SEARCH("programmer",B309))),"Software Developer",ISNUMBER(SEARCH("business development",B309)),"Business Development",ISNUMBER(SEARCH("sales",B309)),"Sales Executive",ISNUMBER(SEARCH("marketing",B309)),"Marketing Executive",OR(ISNUMBER(SEARCH("hr ",B309)),ISNUMBER(SEARCH("recruit",B309)),ISNUMBER(SEARCH("human resource",B309))),"HR / Recruiter",OR(ISNUMBER(SEARCH("account",B309)),ISNUMBER(SEARCH("finance",B309)),ISNUMBER(SEARCH("tax",B309)),ISNUMBER(SEARCH("audit",B309))),"Accountant / Finance",OR(ISNUMBER(SEARCH("customer service",B309)),ISNUMBER(SEARCH("customer support",B309)),ISNUMBER(SEARCH("customer care",B309)),ISNUMBER(SEARCH("voice process",B309)),ISNUMBER(SEARCH("bpo",B309))),"Customer Support",ISNUMBER(SEARCH("engineer",B309)),"Engineer (Technical)",ISNUMBER(SEARCH("manager",B309)),"Manager",OR(ISNUMBER(SEARCH("teacher",B309)),ISNUMBER(SEARCH("trainer",B309)),ISNUMBER(SEARCH("faculty",B309))),"Teacher / Trainer",OR(ISNUMBER(SEARCH("doctor",B309)),ISNUMBER(SEARCH("nurse",B309)),ISNUMBER(SEARCH("medical",B309)),ISNUMBER(SEARCH("pharma",B309)),ISNUMBER(SEARCH("clinical",B309))),"Healthcare",TRUE,"Other")</f>
        <v/>
      </c>
      <c r="B232">
        <f>IF(PROPER(TRIM(Raw_Data!D306))="Bangalore","Bengaluru",IF(PROPER(TRIM(Raw_Data!D306))="Gurgaon","Gurugram",IF(OR(PROPER(TRIM(Raw_Data!D306))="New Delhi",PROPER(TRIM(Raw_Data!D306))="Delhi"),"Delhi",PROPER(TRIM(Raw_Data!D306)))))</f>
        <v/>
      </c>
      <c r="C232">
        <f>IF(TRIM(Raw_Data!F306&amp;"")="","Not Specified",Raw_Data!F306)</f>
        <v/>
      </c>
      <c r="D232">
        <f>Raw_Data!H306</f>
        <v/>
      </c>
      <c r="E232">
        <f>Raw_Data!E306</f>
        <v/>
      </c>
    </row>
    <row r="233">
      <c r="A233">
        <f>_xlfn.IFS(ISNUMBER(SEARCH("data analy",B31)),"Data Analyst",ISNUMBER(SEARCH("business analy",B31)),"Business Analyst",OR(ISNUMBER(SEARCH("developer",B31)),ISNUMBER(SEARCH("software engineer",B31)),ISNUMBER(SEARCH("programmer",B31))),"Software Developer",ISNUMBER(SEARCH("business development",B31)),"Business Development",ISNUMBER(SEARCH("sales",B31)),"Sales Executive",ISNUMBER(SEARCH("marketing",B31)),"Marketing Executive",OR(ISNUMBER(SEARCH("hr ",B31)),ISNUMBER(SEARCH("recruit",B31)),ISNUMBER(SEARCH("human resource",B31))),"HR / Recruiter",OR(ISNUMBER(SEARCH("account",B31)),ISNUMBER(SEARCH("finance",B31)),ISNUMBER(SEARCH("tax",B31)),ISNUMBER(SEARCH("audit",B31))),"Accountant / Finance",OR(ISNUMBER(SEARCH("customer service",B31)),ISNUMBER(SEARCH("customer support",B31)),ISNUMBER(SEARCH("customer care",B31)),ISNUMBER(SEARCH("voice process",B31)),ISNUMBER(SEARCH("bpo",B31))),"Customer Support",ISNUMBER(SEARCH("engineer",B31)),"Engineer (Technical)",ISNUMBER(SEARCH("manager",B31)),"Manager",OR(ISNUMBER(SEARCH("teacher",B31)),ISNUMBER(SEARCH("trainer",B31)),ISNUMBER(SEARCH("faculty",B31))),"Teacher / Trainer",OR(ISNUMBER(SEARCH("doctor",B31)),ISNUMBER(SEARCH("nurse",B31)),ISNUMBER(SEARCH("medical",B31)),ISNUMBER(SEARCH("pharma",B31)),ISNUMBER(SEARCH("clinical",B31))),"Healthcare",TRUE,"Other")</f>
        <v/>
      </c>
      <c r="B233">
        <f>IF(PROPER(TRIM(Raw_Data!D307))="Bangalore","Bengaluru",IF(PROPER(TRIM(Raw_Data!D307))="Gurgaon","Gurugram",IF(OR(PROPER(TRIM(Raw_Data!D307))="New Delhi",PROPER(TRIM(Raw_Data!D307))="Delhi"),"Delhi",PROPER(TRIM(Raw_Data!D307)))))</f>
        <v/>
      </c>
      <c r="C233">
        <f>IF(TRIM(Raw_Data!F307&amp;"")="","Not Specified",Raw_Data!F307)</f>
        <v/>
      </c>
      <c r="D233">
        <f>Raw_Data!H307</f>
        <v/>
      </c>
      <c r="E233">
        <f>Raw_Data!E307</f>
        <v/>
      </c>
    </row>
    <row r="234">
      <c r="A234">
        <f>_xlfn.IFS(ISNUMBER(SEARCH("data analy",B310)),"Data Analyst",ISNUMBER(SEARCH("business analy",B310)),"Business Analyst",OR(ISNUMBER(SEARCH("developer",B310)),ISNUMBER(SEARCH("software engineer",B310)),ISNUMBER(SEARCH("programmer",B310))),"Software Developer",ISNUMBER(SEARCH("business development",B310)),"Business Development",ISNUMBER(SEARCH("sales",B310)),"Sales Executive",ISNUMBER(SEARCH("marketing",B310)),"Marketing Executive",OR(ISNUMBER(SEARCH("hr ",B310)),ISNUMBER(SEARCH("recruit",B310)),ISNUMBER(SEARCH("human resource",B310))),"HR / Recruiter",OR(ISNUMBER(SEARCH("account",B310)),ISNUMBER(SEARCH("finance",B310)),ISNUMBER(SEARCH("tax",B310)),ISNUMBER(SEARCH("audit",B310))),"Accountant / Finance",OR(ISNUMBER(SEARCH("customer service",B310)),ISNUMBER(SEARCH("customer support",B310)),ISNUMBER(SEARCH("customer care",B310)),ISNUMBER(SEARCH("voice process",B310)),ISNUMBER(SEARCH("bpo",B310))),"Customer Support",ISNUMBER(SEARCH("engineer",B310)),"Engineer (Technical)",ISNUMBER(SEARCH("manager",B310)),"Manager",OR(ISNUMBER(SEARCH("teacher",B310)),ISNUMBER(SEARCH("trainer",B310)),ISNUMBER(SEARCH("faculty",B310))),"Teacher / Trainer",OR(ISNUMBER(SEARCH("doctor",B310)),ISNUMBER(SEARCH("nurse",B310)),ISNUMBER(SEARCH("medical",B310)),ISNUMBER(SEARCH("pharma",B310)),ISNUMBER(SEARCH("clinical",B310))),"Healthcare",TRUE,"Other")</f>
        <v/>
      </c>
      <c r="B234">
        <f>IF(PROPER(TRIM(Raw_Data!D308))="Bangalore","Bengaluru",IF(PROPER(TRIM(Raw_Data!D308))="Gurgaon","Gurugram",IF(OR(PROPER(TRIM(Raw_Data!D308))="New Delhi",PROPER(TRIM(Raw_Data!D308))="Delhi"),"Delhi",PROPER(TRIM(Raw_Data!D308)))))</f>
        <v/>
      </c>
      <c r="C234">
        <f>IF(TRIM(Raw_Data!F308&amp;"")="","Not Specified",Raw_Data!F308)</f>
        <v/>
      </c>
      <c r="D234">
        <f>Raw_Data!H308</f>
        <v/>
      </c>
      <c r="E234">
        <f>Raw_Data!E308</f>
        <v/>
      </c>
    </row>
    <row r="235">
      <c r="A235">
        <f>_xlfn.IFS(ISNUMBER(SEARCH("data analy",B311)),"Data Analyst",ISNUMBER(SEARCH("business analy",B311)),"Business Analyst",OR(ISNUMBER(SEARCH("developer",B311)),ISNUMBER(SEARCH("software engineer",B311)),ISNUMBER(SEARCH("programmer",B311))),"Software Developer",ISNUMBER(SEARCH("business development",B311)),"Business Development",ISNUMBER(SEARCH("sales",B311)),"Sales Executive",ISNUMBER(SEARCH("marketing",B311)),"Marketing Executive",OR(ISNUMBER(SEARCH("hr ",B311)),ISNUMBER(SEARCH("recruit",B311)),ISNUMBER(SEARCH("human resource",B311))),"HR / Recruiter",OR(ISNUMBER(SEARCH("account",B311)),ISNUMBER(SEARCH("finance",B311)),ISNUMBER(SEARCH("tax",B311)),ISNUMBER(SEARCH("audit",B311))),"Accountant / Finance",OR(ISNUMBER(SEARCH("customer service",B311)),ISNUMBER(SEARCH("customer support",B311)),ISNUMBER(SEARCH("customer care",B311)),ISNUMBER(SEARCH("voice process",B311)),ISNUMBER(SEARCH("bpo",B311))),"Customer Support",ISNUMBER(SEARCH("engineer",B311)),"Engineer (Technical)",ISNUMBER(SEARCH("manager",B311)),"Manager",OR(ISNUMBER(SEARCH("teacher",B311)),ISNUMBER(SEARCH("trainer",B311)),ISNUMBER(SEARCH("faculty",B311))),"Teacher / Trainer",OR(ISNUMBER(SEARCH("doctor",B311)),ISNUMBER(SEARCH("nurse",B311)),ISNUMBER(SEARCH("medical",B311)),ISNUMBER(SEARCH("pharma",B311)),ISNUMBER(SEARCH("clinical",B311))),"Healthcare",TRUE,"Other")</f>
        <v/>
      </c>
      <c r="B235">
        <f>IF(PROPER(TRIM(Raw_Data!D309))="Bangalore","Bengaluru",IF(PROPER(TRIM(Raw_Data!D309))="Gurgaon","Gurugram",IF(OR(PROPER(TRIM(Raw_Data!D309))="New Delhi",PROPER(TRIM(Raw_Data!D309))="Delhi"),"Delhi",PROPER(TRIM(Raw_Data!D309)))))</f>
        <v/>
      </c>
      <c r="C235">
        <f>IF(TRIM(Raw_Data!F309&amp;"")="","Not Specified",Raw_Data!F309)</f>
        <v/>
      </c>
      <c r="D235">
        <f>Raw_Data!H309</f>
        <v/>
      </c>
      <c r="E235">
        <f>Raw_Data!E309</f>
        <v/>
      </c>
    </row>
    <row r="236">
      <c r="A236">
        <f>_xlfn.IFS(ISNUMBER(SEARCH("data analy",B312)),"Data Analyst",ISNUMBER(SEARCH("business analy",B312)),"Business Analyst",OR(ISNUMBER(SEARCH("developer",B312)),ISNUMBER(SEARCH("software engineer",B312)),ISNUMBER(SEARCH("programmer",B312))),"Software Developer",ISNUMBER(SEARCH("business development",B312)),"Business Development",ISNUMBER(SEARCH("sales",B312)),"Sales Executive",ISNUMBER(SEARCH("marketing",B312)),"Marketing Executive",OR(ISNUMBER(SEARCH("hr ",B312)),ISNUMBER(SEARCH("recruit",B312)),ISNUMBER(SEARCH("human resource",B312))),"HR / Recruiter",OR(ISNUMBER(SEARCH("account",B312)),ISNUMBER(SEARCH("finance",B312)),ISNUMBER(SEARCH("tax",B312)),ISNUMBER(SEARCH("audit",B312))),"Accountant / Finance",OR(ISNUMBER(SEARCH("customer service",B312)),ISNUMBER(SEARCH("customer support",B312)),ISNUMBER(SEARCH("customer care",B312)),ISNUMBER(SEARCH("voice process",B312)),ISNUMBER(SEARCH("bpo",B312))),"Customer Support",ISNUMBER(SEARCH("engineer",B312)),"Engineer (Technical)",ISNUMBER(SEARCH("manager",B312)),"Manager",OR(ISNUMBER(SEARCH("teacher",B312)),ISNUMBER(SEARCH("trainer",B312)),ISNUMBER(SEARCH("faculty",B312))),"Teacher / Trainer",OR(ISNUMBER(SEARCH("doctor",B312)),ISNUMBER(SEARCH("nurse",B312)),ISNUMBER(SEARCH("medical",B312)),ISNUMBER(SEARCH("pharma",B312)),ISNUMBER(SEARCH("clinical",B312))),"Healthcare",TRUE,"Other")</f>
        <v/>
      </c>
      <c r="B236">
        <f>IF(PROPER(TRIM(Raw_Data!D31))="Bangalore","Bengaluru",IF(PROPER(TRIM(Raw_Data!D31))="Gurgaon","Gurugram",IF(OR(PROPER(TRIM(Raw_Data!D31))="New Delhi",PROPER(TRIM(Raw_Data!D31))="Delhi"),"Delhi",PROPER(TRIM(Raw_Data!D31)))))</f>
        <v/>
      </c>
      <c r="C236">
        <f>IF(TRIM(Raw_Data!F31&amp;"")="","Not Specified",Raw_Data!F31)</f>
        <v/>
      </c>
      <c r="D236">
        <f>Raw_Data!H31</f>
        <v/>
      </c>
      <c r="E236">
        <f>Raw_Data!E31</f>
        <v/>
      </c>
    </row>
    <row r="237">
      <c r="A237">
        <f>_xlfn.IFS(ISNUMBER(SEARCH("data analy",B313)),"Data Analyst",ISNUMBER(SEARCH("business analy",B313)),"Business Analyst",OR(ISNUMBER(SEARCH("developer",B313)),ISNUMBER(SEARCH("software engineer",B313)),ISNUMBER(SEARCH("programmer",B313))),"Software Developer",ISNUMBER(SEARCH("business development",B313)),"Business Development",ISNUMBER(SEARCH("sales",B313)),"Sales Executive",ISNUMBER(SEARCH("marketing",B313)),"Marketing Executive",OR(ISNUMBER(SEARCH("hr ",B313)),ISNUMBER(SEARCH("recruit",B313)),ISNUMBER(SEARCH("human resource",B313))),"HR / Recruiter",OR(ISNUMBER(SEARCH("account",B313)),ISNUMBER(SEARCH("finance",B313)),ISNUMBER(SEARCH("tax",B313)),ISNUMBER(SEARCH("audit",B313))),"Accountant / Finance",OR(ISNUMBER(SEARCH("customer service",B313)),ISNUMBER(SEARCH("customer support",B313)),ISNUMBER(SEARCH("customer care",B313)),ISNUMBER(SEARCH("voice process",B313)),ISNUMBER(SEARCH("bpo",B313))),"Customer Support",ISNUMBER(SEARCH("engineer",B313)),"Engineer (Technical)",ISNUMBER(SEARCH("manager",B313)),"Manager",OR(ISNUMBER(SEARCH("teacher",B313)),ISNUMBER(SEARCH("trainer",B313)),ISNUMBER(SEARCH("faculty",B313))),"Teacher / Trainer",OR(ISNUMBER(SEARCH("doctor",B313)),ISNUMBER(SEARCH("nurse",B313)),ISNUMBER(SEARCH("medical",B313)),ISNUMBER(SEARCH("pharma",B313)),ISNUMBER(SEARCH("clinical",B313))),"Healthcare",TRUE,"Other")</f>
        <v/>
      </c>
      <c r="B237">
        <f>IF(PROPER(TRIM(Raw_Data!D310))="Bangalore","Bengaluru",IF(PROPER(TRIM(Raw_Data!D310))="Gurgaon","Gurugram",IF(OR(PROPER(TRIM(Raw_Data!D310))="New Delhi",PROPER(TRIM(Raw_Data!D310))="Delhi"),"Delhi",PROPER(TRIM(Raw_Data!D310)))))</f>
        <v/>
      </c>
      <c r="C237">
        <f>IF(TRIM(Raw_Data!F310&amp;"")="","Not Specified",Raw_Data!F310)</f>
        <v/>
      </c>
      <c r="D237">
        <f>Raw_Data!H310</f>
        <v/>
      </c>
      <c r="E237">
        <f>Raw_Data!E310</f>
        <v/>
      </c>
    </row>
    <row r="238">
      <c r="A238">
        <f>_xlfn.IFS(ISNUMBER(SEARCH("data analy",B314)),"Data Analyst",ISNUMBER(SEARCH("business analy",B314)),"Business Analyst",OR(ISNUMBER(SEARCH("developer",B314)),ISNUMBER(SEARCH("software engineer",B314)),ISNUMBER(SEARCH("programmer",B314))),"Software Developer",ISNUMBER(SEARCH("business development",B314)),"Business Development",ISNUMBER(SEARCH("sales",B314)),"Sales Executive",ISNUMBER(SEARCH("marketing",B314)),"Marketing Executive",OR(ISNUMBER(SEARCH("hr ",B314)),ISNUMBER(SEARCH("recruit",B314)),ISNUMBER(SEARCH("human resource",B314))),"HR / Recruiter",OR(ISNUMBER(SEARCH("account",B314)),ISNUMBER(SEARCH("finance",B314)),ISNUMBER(SEARCH("tax",B314)),ISNUMBER(SEARCH("audit",B314))),"Accountant / Finance",OR(ISNUMBER(SEARCH("customer service",B314)),ISNUMBER(SEARCH("customer support",B314)),ISNUMBER(SEARCH("customer care",B314)),ISNUMBER(SEARCH("voice process",B314)),ISNUMBER(SEARCH("bpo",B314))),"Customer Support",ISNUMBER(SEARCH("engineer",B314)),"Engineer (Technical)",ISNUMBER(SEARCH("manager",B314)),"Manager",OR(ISNUMBER(SEARCH("teacher",B314)),ISNUMBER(SEARCH("trainer",B314)),ISNUMBER(SEARCH("faculty",B314))),"Teacher / Trainer",OR(ISNUMBER(SEARCH("doctor",B314)),ISNUMBER(SEARCH("nurse",B314)),ISNUMBER(SEARCH("medical",B314)),ISNUMBER(SEARCH("pharma",B314)),ISNUMBER(SEARCH("clinical",B314))),"Healthcare",TRUE,"Other")</f>
        <v/>
      </c>
      <c r="B238">
        <f>IF(PROPER(TRIM(Raw_Data!D311))="Bangalore","Bengaluru",IF(PROPER(TRIM(Raw_Data!D311))="Gurgaon","Gurugram",IF(OR(PROPER(TRIM(Raw_Data!D311))="New Delhi",PROPER(TRIM(Raw_Data!D311))="Delhi"),"Delhi",PROPER(TRIM(Raw_Data!D311)))))</f>
        <v/>
      </c>
      <c r="C238">
        <f>IF(TRIM(Raw_Data!F311&amp;"")="","Not Specified",Raw_Data!F311)</f>
        <v/>
      </c>
      <c r="D238">
        <f>Raw_Data!H311</f>
        <v/>
      </c>
      <c r="E238">
        <f>Raw_Data!E311</f>
        <v/>
      </c>
    </row>
    <row r="239">
      <c r="A239">
        <f>_xlfn.IFS(ISNUMBER(SEARCH("data analy",B315)),"Data Analyst",ISNUMBER(SEARCH("business analy",B315)),"Business Analyst",OR(ISNUMBER(SEARCH("developer",B315)),ISNUMBER(SEARCH("software engineer",B315)),ISNUMBER(SEARCH("programmer",B315))),"Software Developer",ISNUMBER(SEARCH("business development",B315)),"Business Development",ISNUMBER(SEARCH("sales",B315)),"Sales Executive",ISNUMBER(SEARCH("marketing",B315)),"Marketing Executive",OR(ISNUMBER(SEARCH("hr ",B315)),ISNUMBER(SEARCH("recruit",B315)),ISNUMBER(SEARCH("human resource",B315))),"HR / Recruiter",OR(ISNUMBER(SEARCH("account",B315)),ISNUMBER(SEARCH("finance",B315)),ISNUMBER(SEARCH("tax",B315)),ISNUMBER(SEARCH("audit",B315))),"Accountant / Finance",OR(ISNUMBER(SEARCH("customer service",B315)),ISNUMBER(SEARCH("customer support",B315)),ISNUMBER(SEARCH("customer care",B315)),ISNUMBER(SEARCH("voice process",B315)),ISNUMBER(SEARCH("bpo",B315))),"Customer Support",ISNUMBER(SEARCH("engineer",B315)),"Engineer (Technical)",ISNUMBER(SEARCH("manager",B315)),"Manager",OR(ISNUMBER(SEARCH("teacher",B315)),ISNUMBER(SEARCH("trainer",B315)),ISNUMBER(SEARCH("faculty",B315))),"Teacher / Trainer",OR(ISNUMBER(SEARCH("doctor",B315)),ISNUMBER(SEARCH("nurse",B315)),ISNUMBER(SEARCH("medical",B315)),ISNUMBER(SEARCH("pharma",B315)),ISNUMBER(SEARCH("clinical",B315))),"Healthcare",TRUE,"Other")</f>
        <v/>
      </c>
      <c r="B239">
        <f>IF(PROPER(TRIM(Raw_Data!D312))="Bangalore","Bengaluru",IF(PROPER(TRIM(Raw_Data!D312))="Gurgaon","Gurugram",IF(OR(PROPER(TRIM(Raw_Data!D312))="New Delhi",PROPER(TRIM(Raw_Data!D312))="Delhi"),"Delhi",PROPER(TRIM(Raw_Data!D312)))))</f>
        <v/>
      </c>
      <c r="C239">
        <f>IF(TRIM(Raw_Data!F312&amp;"")="","Not Specified",Raw_Data!F312)</f>
        <v/>
      </c>
      <c r="D239">
        <f>Raw_Data!H312</f>
        <v/>
      </c>
      <c r="E239">
        <f>Raw_Data!E312</f>
        <v/>
      </c>
    </row>
    <row r="240">
      <c r="A240">
        <f>_xlfn.IFS(ISNUMBER(SEARCH("data analy",B316)),"Data Analyst",ISNUMBER(SEARCH("business analy",B316)),"Business Analyst",OR(ISNUMBER(SEARCH("developer",B316)),ISNUMBER(SEARCH("software engineer",B316)),ISNUMBER(SEARCH("programmer",B316))),"Software Developer",ISNUMBER(SEARCH("business development",B316)),"Business Development",ISNUMBER(SEARCH("sales",B316)),"Sales Executive",ISNUMBER(SEARCH("marketing",B316)),"Marketing Executive",OR(ISNUMBER(SEARCH("hr ",B316)),ISNUMBER(SEARCH("recruit",B316)),ISNUMBER(SEARCH("human resource",B316))),"HR / Recruiter",OR(ISNUMBER(SEARCH("account",B316)),ISNUMBER(SEARCH("finance",B316)),ISNUMBER(SEARCH("tax",B316)),ISNUMBER(SEARCH("audit",B316))),"Accountant / Finance",OR(ISNUMBER(SEARCH("customer service",B316)),ISNUMBER(SEARCH("customer support",B316)),ISNUMBER(SEARCH("customer care",B316)),ISNUMBER(SEARCH("voice process",B316)),ISNUMBER(SEARCH("bpo",B316))),"Customer Support",ISNUMBER(SEARCH("engineer",B316)),"Engineer (Technical)",ISNUMBER(SEARCH("manager",B316)),"Manager",OR(ISNUMBER(SEARCH("teacher",B316)),ISNUMBER(SEARCH("trainer",B316)),ISNUMBER(SEARCH("faculty",B316))),"Teacher / Trainer",OR(ISNUMBER(SEARCH("doctor",B316)),ISNUMBER(SEARCH("nurse",B316)),ISNUMBER(SEARCH("medical",B316)),ISNUMBER(SEARCH("pharma",B316)),ISNUMBER(SEARCH("clinical",B316))),"Healthcare",TRUE,"Other")</f>
        <v/>
      </c>
      <c r="B240">
        <f>IF(PROPER(TRIM(Raw_Data!D313))="Bangalore","Bengaluru",IF(PROPER(TRIM(Raw_Data!D313))="Gurgaon","Gurugram",IF(OR(PROPER(TRIM(Raw_Data!D313))="New Delhi",PROPER(TRIM(Raw_Data!D313))="Delhi"),"Delhi",PROPER(TRIM(Raw_Data!D313)))))</f>
        <v/>
      </c>
      <c r="C240">
        <f>IF(TRIM(Raw_Data!F313&amp;"")="","Not Specified",Raw_Data!F313)</f>
        <v/>
      </c>
      <c r="D240">
        <f>Raw_Data!H313</f>
        <v/>
      </c>
      <c r="E240">
        <f>Raw_Data!E313</f>
        <v/>
      </c>
    </row>
    <row r="241">
      <c r="A241">
        <f>_xlfn.IFS(ISNUMBER(SEARCH("data analy",B317)),"Data Analyst",ISNUMBER(SEARCH("business analy",B317)),"Business Analyst",OR(ISNUMBER(SEARCH("developer",B317)),ISNUMBER(SEARCH("software engineer",B317)),ISNUMBER(SEARCH("programmer",B317))),"Software Developer",ISNUMBER(SEARCH("business development",B317)),"Business Development",ISNUMBER(SEARCH("sales",B317)),"Sales Executive",ISNUMBER(SEARCH("marketing",B317)),"Marketing Executive",OR(ISNUMBER(SEARCH("hr ",B317)),ISNUMBER(SEARCH("recruit",B317)),ISNUMBER(SEARCH("human resource",B317))),"HR / Recruiter",OR(ISNUMBER(SEARCH("account",B317)),ISNUMBER(SEARCH("finance",B317)),ISNUMBER(SEARCH("tax",B317)),ISNUMBER(SEARCH("audit",B317))),"Accountant / Finance",OR(ISNUMBER(SEARCH("customer service",B317)),ISNUMBER(SEARCH("customer support",B317)),ISNUMBER(SEARCH("customer care",B317)),ISNUMBER(SEARCH("voice process",B317)),ISNUMBER(SEARCH("bpo",B317))),"Customer Support",ISNUMBER(SEARCH("engineer",B317)),"Engineer (Technical)",ISNUMBER(SEARCH("manager",B317)),"Manager",OR(ISNUMBER(SEARCH("teacher",B317)),ISNUMBER(SEARCH("trainer",B317)),ISNUMBER(SEARCH("faculty",B317))),"Teacher / Trainer",OR(ISNUMBER(SEARCH("doctor",B317)),ISNUMBER(SEARCH("nurse",B317)),ISNUMBER(SEARCH("medical",B317)),ISNUMBER(SEARCH("pharma",B317)),ISNUMBER(SEARCH("clinical",B317))),"Healthcare",TRUE,"Other")</f>
        <v/>
      </c>
      <c r="B241">
        <f>IF(PROPER(TRIM(Raw_Data!D314))="Bangalore","Bengaluru",IF(PROPER(TRIM(Raw_Data!D314))="Gurgaon","Gurugram",IF(OR(PROPER(TRIM(Raw_Data!D314))="New Delhi",PROPER(TRIM(Raw_Data!D314))="Delhi"),"Delhi",PROPER(TRIM(Raw_Data!D314)))))</f>
        <v/>
      </c>
      <c r="C241">
        <f>IF(TRIM(Raw_Data!F314&amp;"")="","Not Specified",Raw_Data!F314)</f>
        <v/>
      </c>
      <c r="D241">
        <f>Raw_Data!H314</f>
        <v/>
      </c>
      <c r="E241">
        <f>Raw_Data!E314</f>
        <v/>
      </c>
    </row>
    <row r="242">
      <c r="A242">
        <f>_xlfn.IFS(ISNUMBER(SEARCH("data analy",B318)),"Data Analyst",ISNUMBER(SEARCH("business analy",B318)),"Business Analyst",OR(ISNUMBER(SEARCH("developer",B318)),ISNUMBER(SEARCH("software engineer",B318)),ISNUMBER(SEARCH("programmer",B318))),"Software Developer",ISNUMBER(SEARCH("business development",B318)),"Business Development",ISNUMBER(SEARCH("sales",B318)),"Sales Executive",ISNUMBER(SEARCH("marketing",B318)),"Marketing Executive",OR(ISNUMBER(SEARCH("hr ",B318)),ISNUMBER(SEARCH("recruit",B318)),ISNUMBER(SEARCH("human resource",B318))),"HR / Recruiter",OR(ISNUMBER(SEARCH("account",B318)),ISNUMBER(SEARCH("finance",B318)),ISNUMBER(SEARCH("tax",B318)),ISNUMBER(SEARCH("audit",B318))),"Accountant / Finance",OR(ISNUMBER(SEARCH("customer service",B318)),ISNUMBER(SEARCH("customer support",B318)),ISNUMBER(SEARCH("customer care",B318)),ISNUMBER(SEARCH("voice process",B318)),ISNUMBER(SEARCH("bpo",B318))),"Customer Support",ISNUMBER(SEARCH("engineer",B318)),"Engineer (Technical)",ISNUMBER(SEARCH("manager",B318)),"Manager",OR(ISNUMBER(SEARCH("teacher",B318)),ISNUMBER(SEARCH("trainer",B318)),ISNUMBER(SEARCH("faculty",B318))),"Teacher / Trainer",OR(ISNUMBER(SEARCH("doctor",B318)),ISNUMBER(SEARCH("nurse",B318)),ISNUMBER(SEARCH("medical",B318)),ISNUMBER(SEARCH("pharma",B318)),ISNUMBER(SEARCH("clinical",B318))),"Healthcare",TRUE,"Other")</f>
        <v/>
      </c>
      <c r="B242">
        <f>IF(PROPER(TRIM(Raw_Data!D315))="Bangalore","Bengaluru",IF(PROPER(TRIM(Raw_Data!D315))="Gurgaon","Gurugram",IF(OR(PROPER(TRIM(Raw_Data!D315))="New Delhi",PROPER(TRIM(Raw_Data!D315))="Delhi"),"Delhi",PROPER(TRIM(Raw_Data!D315)))))</f>
        <v/>
      </c>
      <c r="C242">
        <f>IF(TRIM(Raw_Data!F315&amp;"")="","Not Specified",Raw_Data!F315)</f>
        <v/>
      </c>
      <c r="D242">
        <f>Raw_Data!H315</f>
        <v/>
      </c>
      <c r="E242">
        <f>Raw_Data!E315</f>
        <v/>
      </c>
    </row>
    <row r="243">
      <c r="A243">
        <f>_xlfn.IFS(ISNUMBER(SEARCH("data analy",B319)),"Data Analyst",ISNUMBER(SEARCH("business analy",B319)),"Business Analyst",OR(ISNUMBER(SEARCH("developer",B319)),ISNUMBER(SEARCH("software engineer",B319)),ISNUMBER(SEARCH("programmer",B319))),"Software Developer",ISNUMBER(SEARCH("business development",B319)),"Business Development",ISNUMBER(SEARCH("sales",B319)),"Sales Executive",ISNUMBER(SEARCH("marketing",B319)),"Marketing Executive",OR(ISNUMBER(SEARCH("hr ",B319)),ISNUMBER(SEARCH("recruit",B319)),ISNUMBER(SEARCH("human resource",B319))),"HR / Recruiter",OR(ISNUMBER(SEARCH("account",B319)),ISNUMBER(SEARCH("finance",B319)),ISNUMBER(SEARCH("tax",B319)),ISNUMBER(SEARCH("audit",B319))),"Accountant / Finance",OR(ISNUMBER(SEARCH("customer service",B319)),ISNUMBER(SEARCH("customer support",B319)),ISNUMBER(SEARCH("customer care",B319)),ISNUMBER(SEARCH("voice process",B319)),ISNUMBER(SEARCH("bpo",B319))),"Customer Support",ISNUMBER(SEARCH("engineer",B319)),"Engineer (Technical)",ISNUMBER(SEARCH("manager",B319)),"Manager",OR(ISNUMBER(SEARCH("teacher",B319)),ISNUMBER(SEARCH("trainer",B319)),ISNUMBER(SEARCH("faculty",B319))),"Teacher / Trainer",OR(ISNUMBER(SEARCH("doctor",B319)),ISNUMBER(SEARCH("nurse",B319)),ISNUMBER(SEARCH("medical",B319)),ISNUMBER(SEARCH("pharma",B319)),ISNUMBER(SEARCH("clinical",B319))),"Healthcare",TRUE,"Other")</f>
        <v/>
      </c>
      <c r="B243">
        <f>IF(PROPER(TRIM(Raw_Data!D316))="Bangalore","Bengaluru",IF(PROPER(TRIM(Raw_Data!D316))="Gurgaon","Gurugram",IF(OR(PROPER(TRIM(Raw_Data!D316))="New Delhi",PROPER(TRIM(Raw_Data!D316))="Delhi"),"Delhi",PROPER(TRIM(Raw_Data!D316)))))</f>
        <v/>
      </c>
      <c r="C243">
        <f>IF(TRIM(Raw_Data!F316&amp;"")="","Not Specified",Raw_Data!F316)</f>
        <v/>
      </c>
      <c r="D243">
        <f>Raw_Data!H316</f>
        <v/>
      </c>
      <c r="E243">
        <f>Raw_Data!E316</f>
        <v/>
      </c>
    </row>
    <row r="244">
      <c r="A244">
        <f>_xlfn.IFS(ISNUMBER(SEARCH("data analy",B32)),"Data Analyst",ISNUMBER(SEARCH("business analy",B32)),"Business Analyst",OR(ISNUMBER(SEARCH("developer",B32)),ISNUMBER(SEARCH("software engineer",B32)),ISNUMBER(SEARCH("programmer",B32))),"Software Developer",ISNUMBER(SEARCH("business development",B32)),"Business Development",ISNUMBER(SEARCH("sales",B32)),"Sales Executive",ISNUMBER(SEARCH("marketing",B32)),"Marketing Executive",OR(ISNUMBER(SEARCH("hr ",B32)),ISNUMBER(SEARCH("recruit",B32)),ISNUMBER(SEARCH("human resource",B32))),"HR / Recruiter",OR(ISNUMBER(SEARCH("account",B32)),ISNUMBER(SEARCH("finance",B32)),ISNUMBER(SEARCH("tax",B32)),ISNUMBER(SEARCH("audit",B32))),"Accountant / Finance",OR(ISNUMBER(SEARCH("customer service",B32)),ISNUMBER(SEARCH("customer support",B32)),ISNUMBER(SEARCH("customer care",B32)),ISNUMBER(SEARCH("voice process",B32)),ISNUMBER(SEARCH("bpo",B32))),"Customer Support",ISNUMBER(SEARCH("engineer",B32)),"Engineer (Technical)",ISNUMBER(SEARCH("manager",B32)),"Manager",OR(ISNUMBER(SEARCH("teacher",B32)),ISNUMBER(SEARCH("trainer",B32)),ISNUMBER(SEARCH("faculty",B32))),"Teacher / Trainer",OR(ISNUMBER(SEARCH("doctor",B32)),ISNUMBER(SEARCH("nurse",B32)),ISNUMBER(SEARCH("medical",B32)),ISNUMBER(SEARCH("pharma",B32)),ISNUMBER(SEARCH("clinical",B32))),"Healthcare",TRUE,"Other")</f>
        <v/>
      </c>
      <c r="B244">
        <f>IF(PROPER(TRIM(Raw_Data!D317))="Bangalore","Bengaluru",IF(PROPER(TRIM(Raw_Data!D317))="Gurgaon","Gurugram",IF(OR(PROPER(TRIM(Raw_Data!D317))="New Delhi",PROPER(TRIM(Raw_Data!D317))="Delhi"),"Delhi",PROPER(TRIM(Raw_Data!D317)))))</f>
        <v/>
      </c>
      <c r="C244">
        <f>IF(TRIM(Raw_Data!F317&amp;"")="","Not Specified",Raw_Data!F317)</f>
        <v/>
      </c>
      <c r="D244">
        <f>Raw_Data!H317</f>
        <v/>
      </c>
      <c r="E244">
        <f>Raw_Data!E317</f>
        <v/>
      </c>
    </row>
    <row r="245">
      <c r="A245">
        <f>_xlfn.IFS(ISNUMBER(SEARCH("data analy",B320)),"Data Analyst",ISNUMBER(SEARCH("business analy",B320)),"Business Analyst",OR(ISNUMBER(SEARCH("developer",B320)),ISNUMBER(SEARCH("software engineer",B320)),ISNUMBER(SEARCH("programmer",B320))),"Software Developer",ISNUMBER(SEARCH("business development",B320)),"Business Development",ISNUMBER(SEARCH("sales",B320)),"Sales Executive",ISNUMBER(SEARCH("marketing",B320)),"Marketing Executive",OR(ISNUMBER(SEARCH("hr ",B320)),ISNUMBER(SEARCH("recruit",B320)),ISNUMBER(SEARCH("human resource",B320))),"HR / Recruiter",OR(ISNUMBER(SEARCH("account",B320)),ISNUMBER(SEARCH("finance",B320)),ISNUMBER(SEARCH("tax",B320)),ISNUMBER(SEARCH("audit",B320))),"Accountant / Finance",OR(ISNUMBER(SEARCH("customer service",B320)),ISNUMBER(SEARCH("customer support",B320)),ISNUMBER(SEARCH("customer care",B320)),ISNUMBER(SEARCH("voice process",B320)),ISNUMBER(SEARCH("bpo",B320))),"Customer Support",ISNUMBER(SEARCH("engineer",B320)),"Engineer (Technical)",ISNUMBER(SEARCH("manager",B320)),"Manager",OR(ISNUMBER(SEARCH("teacher",B320)),ISNUMBER(SEARCH("trainer",B320)),ISNUMBER(SEARCH("faculty",B320))),"Teacher / Trainer",OR(ISNUMBER(SEARCH("doctor",B320)),ISNUMBER(SEARCH("nurse",B320)),ISNUMBER(SEARCH("medical",B320)),ISNUMBER(SEARCH("pharma",B320)),ISNUMBER(SEARCH("clinical",B320))),"Healthcare",TRUE,"Other")</f>
        <v/>
      </c>
      <c r="B245">
        <f>IF(PROPER(TRIM(Raw_Data!D318))="Bangalore","Bengaluru",IF(PROPER(TRIM(Raw_Data!D318))="Gurgaon","Gurugram",IF(OR(PROPER(TRIM(Raw_Data!D318))="New Delhi",PROPER(TRIM(Raw_Data!D318))="Delhi"),"Delhi",PROPER(TRIM(Raw_Data!D318)))))</f>
        <v/>
      </c>
      <c r="C245">
        <f>IF(TRIM(Raw_Data!F318&amp;"")="","Not Specified",Raw_Data!F318)</f>
        <v/>
      </c>
      <c r="D245">
        <f>Raw_Data!H318</f>
        <v/>
      </c>
      <c r="E245">
        <f>Raw_Data!E318</f>
        <v/>
      </c>
    </row>
    <row r="246">
      <c r="A246">
        <f>_xlfn.IFS(ISNUMBER(SEARCH("data analy",B321)),"Data Analyst",ISNUMBER(SEARCH("business analy",B321)),"Business Analyst",OR(ISNUMBER(SEARCH("developer",B321)),ISNUMBER(SEARCH("software engineer",B321)),ISNUMBER(SEARCH("programmer",B321))),"Software Developer",ISNUMBER(SEARCH("business development",B321)),"Business Development",ISNUMBER(SEARCH("sales",B321)),"Sales Executive",ISNUMBER(SEARCH("marketing",B321)),"Marketing Executive",OR(ISNUMBER(SEARCH("hr ",B321)),ISNUMBER(SEARCH("recruit",B321)),ISNUMBER(SEARCH("human resource",B321))),"HR / Recruiter",OR(ISNUMBER(SEARCH("account",B321)),ISNUMBER(SEARCH("finance",B321)),ISNUMBER(SEARCH("tax",B321)),ISNUMBER(SEARCH("audit",B321))),"Accountant / Finance",OR(ISNUMBER(SEARCH("customer service",B321)),ISNUMBER(SEARCH("customer support",B321)),ISNUMBER(SEARCH("customer care",B321)),ISNUMBER(SEARCH("voice process",B321)),ISNUMBER(SEARCH("bpo",B321))),"Customer Support",ISNUMBER(SEARCH("engineer",B321)),"Engineer (Technical)",ISNUMBER(SEARCH("manager",B321)),"Manager",OR(ISNUMBER(SEARCH("teacher",B321)),ISNUMBER(SEARCH("trainer",B321)),ISNUMBER(SEARCH("faculty",B321))),"Teacher / Trainer",OR(ISNUMBER(SEARCH("doctor",B321)),ISNUMBER(SEARCH("nurse",B321)),ISNUMBER(SEARCH("medical",B321)),ISNUMBER(SEARCH("pharma",B321)),ISNUMBER(SEARCH("clinical",B321))),"Healthcare",TRUE,"Other")</f>
        <v/>
      </c>
      <c r="B246">
        <f>IF(PROPER(TRIM(Raw_Data!D319))="Bangalore","Bengaluru",IF(PROPER(TRIM(Raw_Data!D319))="Gurgaon","Gurugram",IF(OR(PROPER(TRIM(Raw_Data!D319))="New Delhi",PROPER(TRIM(Raw_Data!D319))="Delhi"),"Delhi",PROPER(TRIM(Raw_Data!D319)))))</f>
        <v/>
      </c>
      <c r="C246">
        <f>IF(TRIM(Raw_Data!F319&amp;"")="","Not Specified",Raw_Data!F319)</f>
        <v/>
      </c>
      <c r="D246">
        <f>Raw_Data!H319</f>
        <v/>
      </c>
      <c r="E246">
        <f>Raw_Data!E319</f>
        <v/>
      </c>
    </row>
    <row r="247">
      <c r="A247">
        <f>_xlfn.IFS(ISNUMBER(SEARCH("data analy",B322)),"Data Analyst",ISNUMBER(SEARCH("business analy",B322)),"Business Analyst",OR(ISNUMBER(SEARCH("developer",B322)),ISNUMBER(SEARCH("software engineer",B322)),ISNUMBER(SEARCH("programmer",B322))),"Software Developer",ISNUMBER(SEARCH("business development",B322)),"Business Development",ISNUMBER(SEARCH("sales",B322)),"Sales Executive",ISNUMBER(SEARCH("marketing",B322)),"Marketing Executive",OR(ISNUMBER(SEARCH("hr ",B322)),ISNUMBER(SEARCH("recruit",B322)),ISNUMBER(SEARCH("human resource",B322))),"HR / Recruiter",OR(ISNUMBER(SEARCH("account",B322)),ISNUMBER(SEARCH("finance",B322)),ISNUMBER(SEARCH("tax",B322)),ISNUMBER(SEARCH("audit",B322))),"Accountant / Finance",OR(ISNUMBER(SEARCH("customer service",B322)),ISNUMBER(SEARCH("customer support",B322)),ISNUMBER(SEARCH("customer care",B322)),ISNUMBER(SEARCH("voice process",B322)),ISNUMBER(SEARCH("bpo",B322))),"Customer Support",ISNUMBER(SEARCH("engineer",B322)),"Engineer (Technical)",ISNUMBER(SEARCH("manager",B322)),"Manager",OR(ISNUMBER(SEARCH("teacher",B322)),ISNUMBER(SEARCH("trainer",B322)),ISNUMBER(SEARCH("faculty",B322))),"Teacher / Trainer",OR(ISNUMBER(SEARCH("doctor",B322)),ISNUMBER(SEARCH("nurse",B322)),ISNUMBER(SEARCH("medical",B322)),ISNUMBER(SEARCH("pharma",B322)),ISNUMBER(SEARCH("clinical",B322))),"Healthcare",TRUE,"Other")</f>
        <v/>
      </c>
      <c r="B247">
        <f>IF(PROPER(TRIM(Raw_Data!D32))="Bangalore","Bengaluru",IF(PROPER(TRIM(Raw_Data!D32))="Gurgaon","Gurugram",IF(OR(PROPER(TRIM(Raw_Data!D32))="New Delhi",PROPER(TRIM(Raw_Data!D32))="Delhi"),"Delhi",PROPER(TRIM(Raw_Data!D32)))))</f>
        <v/>
      </c>
      <c r="C247">
        <f>IF(TRIM(Raw_Data!F32&amp;"")="","Not Specified",Raw_Data!F32)</f>
        <v/>
      </c>
      <c r="D247">
        <f>Raw_Data!H32</f>
        <v/>
      </c>
      <c r="E247">
        <f>Raw_Data!E32</f>
        <v/>
      </c>
    </row>
    <row r="248">
      <c r="A248">
        <f>_xlfn.IFS(ISNUMBER(SEARCH("data analy",B323)),"Data Analyst",ISNUMBER(SEARCH("business analy",B323)),"Business Analyst",OR(ISNUMBER(SEARCH("developer",B323)),ISNUMBER(SEARCH("software engineer",B323)),ISNUMBER(SEARCH("programmer",B323))),"Software Developer",ISNUMBER(SEARCH("business development",B323)),"Business Development",ISNUMBER(SEARCH("sales",B323)),"Sales Executive",ISNUMBER(SEARCH("marketing",B323)),"Marketing Executive",OR(ISNUMBER(SEARCH("hr ",B323)),ISNUMBER(SEARCH("recruit",B323)),ISNUMBER(SEARCH("human resource",B323))),"HR / Recruiter",OR(ISNUMBER(SEARCH("account",B323)),ISNUMBER(SEARCH("finance",B323)),ISNUMBER(SEARCH("tax",B323)),ISNUMBER(SEARCH("audit",B323))),"Accountant / Finance",OR(ISNUMBER(SEARCH("customer service",B323)),ISNUMBER(SEARCH("customer support",B323)),ISNUMBER(SEARCH("customer care",B323)),ISNUMBER(SEARCH("voice process",B323)),ISNUMBER(SEARCH("bpo",B323))),"Customer Support",ISNUMBER(SEARCH("engineer",B323)),"Engineer (Technical)",ISNUMBER(SEARCH("manager",B323)),"Manager",OR(ISNUMBER(SEARCH("teacher",B323)),ISNUMBER(SEARCH("trainer",B323)),ISNUMBER(SEARCH("faculty",B323))),"Teacher / Trainer",OR(ISNUMBER(SEARCH("doctor",B323)),ISNUMBER(SEARCH("nurse",B323)),ISNUMBER(SEARCH("medical",B323)),ISNUMBER(SEARCH("pharma",B323)),ISNUMBER(SEARCH("clinical",B323))),"Healthcare",TRUE,"Other")</f>
        <v/>
      </c>
      <c r="B248">
        <f>IF(PROPER(TRIM(Raw_Data!D320))="Bangalore","Bengaluru",IF(PROPER(TRIM(Raw_Data!D320))="Gurgaon","Gurugram",IF(OR(PROPER(TRIM(Raw_Data!D320))="New Delhi",PROPER(TRIM(Raw_Data!D320))="Delhi"),"Delhi",PROPER(TRIM(Raw_Data!D320)))))</f>
        <v/>
      </c>
      <c r="C248">
        <f>IF(TRIM(Raw_Data!F320&amp;"")="","Not Specified",Raw_Data!F320)</f>
        <v/>
      </c>
      <c r="D248">
        <f>Raw_Data!H320</f>
        <v/>
      </c>
      <c r="E248">
        <f>Raw_Data!E320</f>
        <v/>
      </c>
    </row>
    <row r="249">
      <c r="A249">
        <f>_xlfn.IFS(ISNUMBER(SEARCH("data analy",B324)),"Data Analyst",ISNUMBER(SEARCH("business analy",B324)),"Business Analyst",OR(ISNUMBER(SEARCH("developer",B324)),ISNUMBER(SEARCH("software engineer",B324)),ISNUMBER(SEARCH("programmer",B324))),"Software Developer",ISNUMBER(SEARCH("business development",B324)),"Business Development",ISNUMBER(SEARCH("sales",B324)),"Sales Executive",ISNUMBER(SEARCH("marketing",B324)),"Marketing Executive",OR(ISNUMBER(SEARCH("hr ",B324)),ISNUMBER(SEARCH("recruit",B324)),ISNUMBER(SEARCH("human resource",B324))),"HR / Recruiter",OR(ISNUMBER(SEARCH("account",B324)),ISNUMBER(SEARCH("finance",B324)),ISNUMBER(SEARCH("tax",B324)),ISNUMBER(SEARCH("audit",B324))),"Accountant / Finance",OR(ISNUMBER(SEARCH("customer service",B324)),ISNUMBER(SEARCH("customer support",B324)),ISNUMBER(SEARCH("customer care",B324)),ISNUMBER(SEARCH("voice process",B324)),ISNUMBER(SEARCH("bpo",B324))),"Customer Support",ISNUMBER(SEARCH("engineer",B324)),"Engineer (Technical)",ISNUMBER(SEARCH("manager",B324)),"Manager",OR(ISNUMBER(SEARCH("teacher",B324)),ISNUMBER(SEARCH("trainer",B324)),ISNUMBER(SEARCH("faculty",B324))),"Teacher / Trainer",OR(ISNUMBER(SEARCH("doctor",B324)),ISNUMBER(SEARCH("nurse",B324)),ISNUMBER(SEARCH("medical",B324)),ISNUMBER(SEARCH("pharma",B324)),ISNUMBER(SEARCH("clinical",B324))),"Healthcare",TRUE,"Other")</f>
        <v/>
      </c>
      <c r="B249">
        <f>IF(PROPER(TRIM(Raw_Data!D321))="Bangalore","Bengaluru",IF(PROPER(TRIM(Raw_Data!D321))="Gurgaon","Gurugram",IF(OR(PROPER(TRIM(Raw_Data!D321))="New Delhi",PROPER(TRIM(Raw_Data!D321))="Delhi"),"Delhi",PROPER(TRIM(Raw_Data!D321)))))</f>
        <v/>
      </c>
      <c r="C249">
        <f>IF(TRIM(Raw_Data!F321&amp;"")="","Not Specified",Raw_Data!F321)</f>
        <v/>
      </c>
      <c r="D249">
        <f>Raw_Data!H321</f>
        <v/>
      </c>
      <c r="E249">
        <f>Raw_Data!E321</f>
        <v/>
      </c>
    </row>
    <row r="250">
      <c r="A250">
        <f>_xlfn.IFS(ISNUMBER(SEARCH("data analy",B325)),"Data Analyst",ISNUMBER(SEARCH("business analy",B325)),"Business Analyst",OR(ISNUMBER(SEARCH("developer",B325)),ISNUMBER(SEARCH("software engineer",B325)),ISNUMBER(SEARCH("programmer",B325))),"Software Developer",ISNUMBER(SEARCH("business development",B325)),"Business Development",ISNUMBER(SEARCH("sales",B325)),"Sales Executive",ISNUMBER(SEARCH("marketing",B325)),"Marketing Executive",OR(ISNUMBER(SEARCH("hr ",B325)),ISNUMBER(SEARCH("recruit",B325)),ISNUMBER(SEARCH("human resource",B325))),"HR / Recruiter",OR(ISNUMBER(SEARCH("account",B325)),ISNUMBER(SEARCH("finance",B325)),ISNUMBER(SEARCH("tax",B325)),ISNUMBER(SEARCH("audit",B325))),"Accountant / Finance",OR(ISNUMBER(SEARCH("customer service",B325)),ISNUMBER(SEARCH("customer support",B325)),ISNUMBER(SEARCH("customer care",B325)),ISNUMBER(SEARCH("voice process",B325)),ISNUMBER(SEARCH("bpo",B325))),"Customer Support",ISNUMBER(SEARCH("engineer",B325)),"Engineer (Technical)",ISNUMBER(SEARCH("manager",B325)),"Manager",OR(ISNUMBER(SEARCH("teacher",B325)),ISNUMBER(SEARCH("trainer",B325)),ISNUMBER(SEARCH("faculty",B325))),"Teacher / Trainer",OR(ISNUMBER(SEARCH("doctor",B325)),ISNUMBER(SEARCH("nurse",B325)),ISNUMBER(SEARCH("medical",B325)),ISNUMBER(SEARCH("pharma",B325)),ISNUMBER(SEARCH("clinical",B325))),"Healthcare",TRUE,"Other")</f>
        <v/>
      </c>
      <c r="B250">
        <f>IF(PROPER(TRIM(Raw_Data!D322))="Bangalore","Bengaluru",IF(PROPER(TRIM(Raw_Data!D322))="Gurgaon","Gurugram",IF(OR(PROPER(TRIM(Raw_Data!D322))="New Delhi",PROPER(TRIM(Raw_Data!D322))="Delhi"),"Delhi",PROPER(TRIM(Raw_Data!D322)))))</f>
        <v/>
      </c>
      <c r="C250">
        <f>IF(TRIM(Raw_Data!F322&amp;"")="","Not Specified",Raw_Data!F322)</f>
        <v/>
      </c>
      <c r="D250">
        <f>Raw_Data!H322</f>
        <v/>
      </c>
      <c r="E250">
        <f>Raw_Data!E322</f>
        <v/>
      </c>
    </row>
    <row r="251">
      <c r="A251">
        <f>_xlfn.IFS(ISNUMBER(SEARCH("data analy",B326)),"Data Analyst",ISNUMBER(SEARCH("business analy",B326)),"Business Analyst",OR(ISNUMBER(SEARCH("developer",B326)),ISNUMBER(SEARCH("software engineer",B326)),ISNUMBER(SEARCH("programmer",B326))),"Software Developer",ISNUMBER(SEARCH("business development",B326)),"Business Development",ISNUMBER(SEARCH("sales",B326)),"Sales Executive",ISNUMBER(SEARCH("marketing",B326)),"Marketing Executive",OR(ISNUMBER(SEARCH("hr ",B326)),ISNUMBER(SEARCH("recruit",B326)),ISNUMBER(SEARCH("human resource",B326))),"HR / Recruiter",OR(ISNUMBER(SEARCH("account",B326)),ISNUMBER(SEARCH("finance",B326)),ISNUMBER(SEARCH("tax",B326)),ISNUMBER(SEARCH("audit",B326))),"Accountant / Finance",OR(ISNUMBER(SEARCH("customer service",B326)),ISNUMBER(SEARCH("customer support",B326)),ISNUMBER(SEARCH("customer care",B326)),ISNUMBER(SEARCH("voice process",B326)),ISNUMBER(SEARCH("bpo",B326))),"Customer Support",ISNUMBER(SEARCH("engineer",B326)),"Engineer (Technical)",ISNUMBER(SEARCH("manager",B326)),"Manager",OR(ISNUMBER(SEARCH("teacher",B326)),ISNUMBER(SEARCH("trainer",B326)),ISNUMBER(SEARCH("faculty",B326))),"Teacher / Trainer",OR(ISNUMBER(SEARCH("doctor",B326)),ISNUMBER(SEARCH("nurse",B326)),ISNUMBER(SEARCH("medical",B326)),ISNUMBER(SEARCH("pharma",B326)),ISNUMBER(SEARCH("clinical",B326))),"Healthcare",TRUE,"Other")</f>
        <v/>
      </c>
      <c r="B251">
        <f>IF(PROPER(TRIM(Raw_Data!D323))="Bangalore","Bengaluru",IF(PROPER(TRIM(Raw_Data!D323))="Gurgaon","Gurugram",IF(OR(PROPER(TRIM(Raw_Data!D323))="New Delhi",PROPER(TRIM(Raw_Data!D323))="Delhi"),"Delhi",PROPER(TRIM(Raw_Data!D323)))))</f>
        <v/>
      </c>
      <c r="C251">
        <f>IF(TRIM(Raw_Data!F323&amp;"")="","Not Specified",Raw_Data!F323)</f>
        <v/>
      </c>
      <c r="D251">
        <f>Raw_Data!H323</f>
        <v/>
      </c>
      <c r="E251">
        <f>Raw_Data!E323</f>
        <v/>
      </c>
    </row>
    <row r="252">
      <c r="A252">
        <f>_xlfn.IFS(ISNUMBER(SEARCH("data analy",B327)),"Data Analyst",ISNUMBER(SEARCH("business analy",B327)),"Business Analyst",OR(ISNUMBER(SEARCH("developer",B327)),ISNUMBER(SEARCH("software engineer",B327)),ISNUMBER(SEARCH("programmer",B327))),"Software Developer",ISNUMBER(SEARCH("business development",B327)),"Business Development",ISNUMBER(SEARCH("sales",B327)),"Sales Executive",ISNUMBER(SEARCH("marketing",B327)),"Marketing Executive",OR(ISNUMBER(SEARCH("hr ",B327)),ISNUMBER(SEARCH("recruit",B327)),ISNUMBER(SEARCH("human resource",B327))),"HR / Recruiter",OR(ISNUMBER(SEARCH("account",B327)),ISNUMBER(SEARCH("finance",B327)),ISNUMBER(SEARCH("tax",B327)),ISNUMBER(SEARCH("audit",B327))),"Accountant / Finance",OR(ISNUMBER(SEARCH("customer service",B327)),ISNUMBER(SEARCH("customer support",B327)),ISNUMBER(SEARCH("customer care",B327)),ISNUMBER(SEARCH("voice process",B327)),ISNUMBER(SEARCH("bpo",B327))),"Customer Support",ISNUMBER(SEARCH("engineer",B327)),"Engineer (Technical)",ISNUMBER(SEARCH("manager",B327)),"Manager",OR(ISNUMBER(SEARCH("teacher",B327)),ISNUMBER(SEARCH("trainer",B327)),ISNUMBER(SEARCH("faculty",B327))),"Teacher / Trainer",OR(ISNUMBER(SEARCH("doctor",B327)),ISNUMBER(SEARCH("nurse",B327)),ISNUMBER(SEARCH("medical",B327)),ISNUMBER(SEARCH("pharma",B327)),ISNUMBER(SEARCH("clinical",B327))),"Healthcare",TRUE,"Other")</f>
        <v/>
      </c>
      <c r="B252">
        <f>IF(PROPER(TRIM(Raw_Data!D324))="Bangalore","Bengaluru",IF(PROPER(TRIM(Raw_Data!D324))="Gurgaon","Gurugram",IF(OR(PROPER(TRIM(Raw_Data!D324))="New Delhi",PROPER(TRIM(Raw_Data!D324))="Delhi"),"Delhi",PROPER(TRIM(Raw_Data!D324)))))</f>
        <v/>
      </c>
      <c r="C252">
        <f>IF(TRIM(Raw_Data!F324&amp;"")="","Not Specified",Raw_Data!F324)</f>
        <v/>
      </c>
      <c r="D252">
        <f>Raw_Data!H324</f>
        <v/>
      </c>
      <c r="E252">
        <f>Raw_Data!E324</f>
        <v/>
      </c>
    </row>
    <row r="253">
      <c r="A253">
        <f>_xlfn.IFS(ISNUMBER(SEARCH("data analy",B328)),"Data Analyst",ISNUMBER(SEARCH("business analy",B328)),"Business Analyst",OR(ISNUMBER(SEARCH("developer",B328)),ISNUMBER(SEARCH("software engineer",B328)),ISNUMBER(SEARCH("programmer",B328))),"Software Developer",ISNUMBER(SEARCH("business development",B328)),"Business Development",ISNUMBER(SEARCH("sales",B328)),"Sales Executive",ISNUMBER(SEARCH("marketing",B328)),"Marketing Executive",OR(ISNUMBER(SEARCH("hr ",B328)),ISNUMBER(SEARCH("recruit",B328)),ISNUMBER(SEARCH("human resource",B328))),"HR / Recruiter",OR(ISNUMBER(SEARCH("account",B328)),ISNUMBER(SEARCH("finance",B328)),ISNUMBER(SEARCH("tax",B328)),ISNUMBER(SEARCH("audit",B328))),"Accountant / Finance",OR(ISNUMBER(SEARCH("customer service",B328)),ISNUMBER(SEARCH("customer support",B328)),ISNUMBER(SEARCH("customer care",B328)),ISNUMBER(SEARCH("voice process",B328)),ISNUMBER(SEARCH("bpo",B328))),"Customer Support",ISNUMBER(SEARCH("engineer",B328)),"Engineer (Technical)",ISNUMBER(SEARCH("manager",B328)),"Manager",OR(ISNUMBER(SEARCH("teacher",B328)),ISNUMBER(SEARCH("trainer",B328)),ISNUMBER(SEARCH("faculty",B328))),"Teacher / Trainer",OR(ISNUMBER(SEARCH("doctor",B328)),ISNUMBER(SEARCH("nurse",B328)),ISNUMBER(SEARCH("medical",B328)),ISNUMBER(SEARCH("pharma",B328)),ISNUMBER(SEARCH("clinical",B328))),"Healthcare",TRUE,"Other")</f>
        <v/>
      </c>
      <c r="B253">
        <f>IF(PROPER(TRIM(Raw_Data!D325))="Bangalore","Bengaluru",IF(PROPER(TRIM(Raw_Data!D325))="Gurgaon","Gurugram",IF(OR(PROPER(TRIM(Raw_Data!D325))="New Delhi",PROPER(TRIM(Raw_Data!D325))="Delhi"),"Delhi",PROPER(TRIM(Raw_Data!D325)))))</f>
        <v/>
      </c>
      <c r="C253">
        <f>IF(TRIM(Raw_Data!F325&amp;"")="","Not Specified",Raw_Data!F325)</f>
        <v/>
      </c>
      <c r="D253">
        <f>Raw_Data!H325</f>
        <v/>
      </c>
      <c r="E253">
        <f>Raw_Data!E325</f>
        <v/>
      </c>
    </row>
    <row r="254">
      <c r="A254">
        <f>_xlfn.IFS(ISNUMBER(SEARCH("data analy",B329)),"Data Analyst",ISNUMBER(SEARCH("business analy",B329)),"Business Analyst",OR(ISNUMBER(SEARCH("developer",B329)),ISNUMBER(SEARCH("software engineer",B329)),ISNUMBER(SEARCH("programmer",B329))),"Software Developer",ISNUMBER(SEARCH("business development",B329)),"Business Development",ISNUMBER(SEARCH("sales",B329)),"Sales Executive",ISNUMBER(SEARCH("marketing",B329)),"Marketing Executive",OR(ISNUMBER(SEARCH("hr ",B329)),ISNUMBER(SEARCH("recruit",B329)),ISNUMBER(SEARCH("human resource",B329))),"HR / Recruiter",OR(ISNUMBER(SEARCH("account",B329)),ISNUMBER(SEARCH("finance",B329)),ISNUMBER(SEARCH("tax",B329)),ISNUMBER(SEARCH("audit",B329))),"Accountant / Finance",OR(ISNUMBER(SEARCH("customer service",B329)),ISNUMBER(SEARCH("customer support",B329)),ISNUMBER(SEARCH("customer care",B329)),ISNUMBER(SEARCH("voice process",B329)),ISNUMBER(SEARCH("bpo",B329))),"Customer Support",ISNUMBER(SEARCH("engineer",B329)),"Engineer (Technical)",ISNUMBER(SEARCH("manager",B329)),"Manager",OR(ISNUMBER(SEARCH("teacher",B329)),ISNUMBER(SEARCH("trainer",B329)),ISNUMBER(SEARCH("faculty",B329))),"Teacher / Trainer",OR(ISNUMBER(SEARCH("doctor",B329)),ISNUMBER(SEARCH("nurse",B329)),ISNUMBER(SEARCH("medical",B329)),ISNUMBER(SEARCH("pharma",B329)),ISNUMBER(SEARCH("clinical",B329))),"Healthcare",TRUE,"Other")</f>
        <v/>
      </c>
      <c r="B254">
        <f>IF(PROPER(TRIM(Raw_Data!D326))="Bangalore","Bengaluru",IF(PROPER(TRIM(Raw_Data!D326))="Gurgaon","Gurugram",IF(OR(PROPER(TRIM(Raw_Data!D326))="New Delhi",PROPER(TRIM(Raw_Data!D326))="Delhi"),"Delhi",PROPER(TRIM(Raw_Data!D326)))))</f>
        <v/>
      </c>
      <c r="C254">
        <f>IF(TRIM(Raw_Data!F326&amp;"")="","Not Specified",Raw_Data!F326)</f>
        <v/>
      </c>
      <c r="D254">
        <f>Raw_Data!H326</f>
        <v/>
      </c>
      <c r="E254">
        <f>Raw_Data!E326</f>
        <v/>
      </c>
    </row>
    <row r="255">
      <c r="A255">
        <f>_xlfn.IFS(ISNUMBER(SEARCH("data analy",B33)),"Data Analyst",ISNUMBER(SEARCH("business analy",B33)),"Business Analyst",OR(ISNUMBER(SEARCH("developer",B33)),ISNUMBER(SEARCH("software engineer",B33)),ISNUMBER(SEARCH("programmer",B33))),"Software Developer",ISNUMBER(SEARCH("business development",B33)),"Business Development",ISNUMBER(SEARCH("sales",B33)),"Sales Executive",ISNUMBER(SEARCH("marketing",B33)),"Marketing Executive",OR(ISNUMBER(SEARCH("hr ",B33)),ISNUMBER(SEARCH("recruit",B33)),ISNUMBER(SEARCH("human resource",B33))),"HR / Recruiter",OR(ISNUMBER(SEARCH("account",B33)),ISNUMBER(SEARCH("finance",B33)),ISNUMBER(SEARCH("tax",B33)),ISNUMBER(SEARCH("audit",B33))),"Accountant / Finance",OR(ISNUMBER(SEARCH("customer service",B33)),ISNUMBER(SEARCH("customer support",B33)),ISNUMBER(SEARCH("customer care",B33)),ISNUMBER(SEARCH("voice process",B33)),ISNUMBER(SEARCH("bpo",B33))),"Customer Support",ISNUMBER(SEARCH("engineer",B33)),"Engineer (Technical)",ISNUMBER(SEARCH("manager",B33)),"Manager",OR(ISNUMBER(SEARCH("teacher",B33)),ISNUMBER(SEARCH("trainer",B33)),ISNUMBER(SEARCH("faculty",B33))),"Teacher / Trainer",OR(ISNUMBER(SEARCH("doctor",B33)),ISNUMBER(SEARCH("nurse",B33)),ISNUMBER(SEARCH("medical",B33)),ISNUMBER(SEARCH("pharma",B33)),ISNUMBER(SEARCH("clinical",B33))),"Healthcare",TRUE,"Other")</f>
        <v/>
      </c>
      <c r="B255">
        <f>IF(PROPER(TRIM(Raw_Data!D327))="Bangalore","Bengaluru",IF(PROPER(TRIM(Raw_Data!D327))="Gurgaon","Gurugram",IF(OR(PROPER(TRIM(Raw_Data!D327))="New Delhi",PROPER(TRIM(Raw_Data!D327))="Delhi"),"Delhi",PROPER(TRIM(Raw_Data!D327)))))</f>
        <v/>
      </c>
      <c r="C255">
        <f>IF(TRIM(Raw_Data!F327&amp;"")="","Not Specified",Raw_Data!F327)</f>
        <v/>
      </c>
      <c r="D255">
        <f>Raw_Data!H327</f>
        <v/>
      </c>
      <c r="E255">
        <f>Raw_Data!E327</f>
        <v/>
      </c>
    </row>
    <row r="256">
      <c r="A256">
        <f>_xlfn.IFS(ISNUMBER(SEARCH("data analy",B330)),"Data Analyst",ISNUMBER(SEARCH("business analy",B330)),"Business Analyst",OR(ISNUMBER(SEARCH("developer",B330)),ISNUMBER(SEARCH("software engineer",B330)),ISNUMBER(SEARCH("programmer",B330))),"Software Developer",ISNUMBER(SEARCH("business development",B330)),"Business Development",ISNUMBER(SEARCH("sales",B330)),"Sales Executive",ISNUMBER(SEARCH("marketing",B330)),"Marketing Executive",OR(ISNUMBER(SEARCH("hr ",B330)),ISNUMBER(SEARCH("recruit",B330)),ISNUMBER(SEARCH("human resource",B330))),"HR / Recruiter",OR(ISNUMBER(SEARCH("account",B330)),ISNUMBER(SEARCH("finance",B330)),ISNUMBER(SEARCH("tax",B330)),ISNUMBER(SEARCH("audit",B330))),"Accountant / Finance",OR(ISNUMBER(SEARCH("customer service",B330)),ISNUMBER(SEARCH("customer support",B330)),ISNUMBER(SEARCH("customer care",B330)),ISNUMBER(SEARCH("voice process",B330)),ISNUMBER(SEARCH("bpo",B330))),"Customer Support",ISNUMBER(SEARCH("engineer",B330)),"Engineer (Technical)",ISNUMBER(SEARCH("manager",B330)),"Manager",OR(ISNUMBER(SEARCH("teacher",B330)),ISNUMBER(SEARCH("trainer",B330)),ISNUMBER(SEARCH("faculty",B330))),"Teacher / Trainer",OR(ISNUMBER(SEARCH("doctor",B330)),ISNUMBER(SEARCH("nurse",B330)),ISNUMBER(SEARCH("medical",B330)),ISNUMBER(SEARCH("pharma",B330)),ISNUMBER(SEARCH("clinical",B330))),"Healthcare",TRUE,"Other")</f>
        <v/>
      </c>
      <c r="B256">
        <f>IF(PROPER(TRIM(Raw_Data!D328))="Bangalore","Bengaluru",IF(PROPER(TRIM(Raw_Data!D328))="Gurgaon","Gurugram",IF(OR(PROPER(TRIM(Raw_Data!D328))="New Delhi",PROPER(TRIM(Raw_Data!D328))="Delhi"),"Delhi",PROPER(TRIM(Raw_Data!D328)))))</f>
        <v/>
      </c>
      <c r="C256">
        <f>IF(TRIM(Raw_Data!F328&amp;"")="","Not Specified",Raw_Data!F328)</f>
        <v/>
      </c>
      <c r="D256">
        <f>Raw_Data!H328</f>
        <v/>
      </c>
      <c r="E256">
        <f>Raw_Data!E328</f>
        <v/>
      </c>
    </row>
    <row r="257">
      <c r="A257">
        <f>_xlfn.IFS(ISNUMBER(SEARCH("data analy",B331)),"Data Analyst",ISNUMBER(SEARCH("business analy",B331)),"Business Analyst",OR(ISNUMBER(SEARCH("developer",B331)),ISNUMBER(SEARCH("software engineer",B331)),ISNUMBER(SEARCH("programmer",B331))),"Software Developer",ISNUMBER(SEARCH("business development",B331)),"Business Development",ISNUMBER(SEARCH("sales",B331)),"Sales Executive",ISNUMBER(SEARCH("marketing",B331)),"Marketing Executive",OR(ISNUMBER(SEARCH("hr ",B331)),ISNUMBER(SEARCH("recruit",B331)),ISNUMBER(SEARCH("human resource",B331))),"HR / Recruiter",OR(ISNUMBER(SEARCH("account",B331)),ISNUMBER(SEARCH("finance",B331)),ISNUMBER(SEARCH("tax",B331)),ISNUMBER(SEARCH("audit",B331))),"Accountant / Finance",OR(ISNUMBER(SEARCH("customer service",B331)),ISNUMBER(SEARCH("customer support",B331)),ISNUMBER(SEARCH("customer care",B331)),ISNUMBER(SEARCH("voice process",B331)),ISNUMBER(SEARCH("bpo",B331))),"Customer Support",ISNUMBER(SEARCH("engineer",B331)),"Engineer (Technical)",ISNUMBER(SEARCH("manager",B331)),"Manager",OR(ISNUMBER(SEARCH("teacher",B331)),ISNUMBER(SEARCH("trainer",B331)),ISNUMBER(SEARCH("faculty",B331))),"Teacher / Trainer",OR(ISNUMBER(SEARCH("doctor",B331)),ISNUMBER(SEARCH("nurse",B331)),ISNUMBER(SEARCH("medical",B331)),ISNUMBER(SEARCH("pharma",B331)),ISNUMBER(SEARCH("clinical",B331))),"Healthcare",TRUE,"Other")</f>
        <v/>
      </c>
      <c r="B257">
        <f>IF(PROPER(TRIM(Raw_Data!D329))="Bangalore","Bengaluru",IF(PROPER(TRIM(Raw_Data!D329))="Gurgaon","Gurugram",IF(OR(PROPER(TRIM(Raw_Data!D329))="New Delhi",PROPER(TRIM(Raw_Data!D329))="Delhi"),"Delhi",PROPER(TRIM(Raw_Data!D329)))))</f>
        <v/>
      </c>
      <c r="C257">
        <f>IF(TRIM(Raw_Data!F329&amp;"")="","Not Specified",Raw_Data!F329)</f>
        <v/>
      </c>
      <c r="D257">
        <f>Raw_Data!H329</f>
        <v/>
      </c>
      <c r="E257">
        <f>Raw_Data!E329</f>
        <v/>
      </c>
    </row>
    <row r="258">
      <c r="A258">
        <f>_xlfn.IFS(ISNUMBER(SEARCH("data analy",B332)),"Data Analyst",ISNUMBER(SEARCH("business analy",B332)),"Business Analyst",OR(ISNUMBER(SEARCH("developer",B332)),ISNUMBER(SEARCH("software engineer",B332)),ISNUMBER(SEARCH("programmer",B332))),"Software Developer",ISNUMBER(SEARCH("business development",B332)),"Business Development",ISNUMBER(SEARCH("sales",B332)),"Sales Executive",ISNUMBER(SEARCH("marketing",B332)),"Marketing Executive",OR(ISNUMBER(SEARCH("hr ",B332)),ISNUMBER(SEARCH("recruit",B332)),ISNUMBER(SEARCH("human resource",B332))),"HR / Recruiter",OR(ISNUMBER(SEARCH("account",B332)),ISNUMBER(SEARCH("finance",B332)),ISNUMBER(SEARCH("tax",B332)),ISNUMBER(SEARCH("audit",B332))),"Accountant / Finance",OR(ISNUMBER(SEARCH("customer service",B332)),ISNUMBER(SEARCH("customer support",B332)),ISNUMBER(SEARCH("customer care",B332)),ISNUMBER(SEARCH("voice process",B332)),ISNUMBER(SEARCH("bpo",B332))),"Customer Support",ISNUMBER(SEARCH("engineer",B332)),"Engineer (Technical)",ISNUMBER(SEARCH("manager",B332)),"Manager",OR(ISNUMBER(SEARCH("teacher",B332)),ISNUMBER(SEARCH("trainer",B332)),ISNUMBER(SEARCH("faculty",B332))),"Teacher / Trainer",OR(ISNUMBER(SEARCH("doctor",B332)),ISNUMBER(SEARCH("nurse",B332)),ISNUMBER(SEARCH("medical",B332)),ISNUMBER(SEARCH("pharma",B332)),ISNUMBER(SEARCH("clinical",B332))),"Healthcare",TRUE,"Other")</f>
        <v/>
      </c>
      <c r="B258">
        <f>IF(PROPER(TRIM(Raw_Data!D33))="Bangalore","Bengaluru",IF(PROPER(TRIM(Raw_Data!D33))="Gurgaon","Gurugram",IF(OR(PROPER(TRIM(Raw_Data!D33))="New Delhi",PROPER(TRIM(Raw_Data!D33))="Delhi"),"Delhi",PROPER(TRIM(Raw_Data!D33)))))</f>
        <v/>
      </c>
      <c r="C258">
        <f>IF(TRIM(Raw_Data!F33&amp;"")="","Not Specified",Raw_Data!F33)</f>
        <v/>
      </c>
      <c r="D258">
        <f>Raw_Data!H33</f>
        <v/>
      </c>
      <c r="E258">
        <f>Raw_Data!E33</f>
        <v/>
      </c>
    </row>
    <row r="259">
      <c r="A259">
        <f>_xlfn.IFS(ISNUMBER(SEARCH("data analy",B333)),"Data Analyst",ISNUMBER(SEARCH("business analy",B333)),"Business Analyst",OR(ISNUMBER(SEARCH("developer",B333)),ISNUMBER(SEARCH("software engineer",B333)),ISNUMBER(SEARCH("programmer",B333))),"Software Developer",ISNUMBER(SEARCH("business development",B333)),"Business Development",ISNUMBER(SEARCH("sales",B333)),"Sales Executive",ISNUMBER(SEARCH("marketing",B333)),"Marketing Executive",OR(ISNUMBER(SEARCH("hr ",B333)),ISNUMBER(SEARCH("recruit",B333)),ISNUMBER(SEARCH("human resource",B333))),"HR / Recruiter",OR(ISNUMBER(SEARCH("account",B333)),ISNUMBER(SEARCH("finance",B333)),ISNUMBER(SEARCH("tax",B333)),ISNUMBER(SEARCH("audit",B333))),"Accountant / Finance",OR(ISNUMBER(SEARCH("customer service",B333)),ISNUMBER(SEARCH("customer support",B333)),ISNUMBER(SEARCH("customer care",B333)),ISNUMBER(SEARCH("voice process",B333)),ISNUMBER(SEARCH("bpo",B333))),"Customer Support",ISNUMBER(SEARCH("engineer",B333)),"Engineer (Technical)",ISNUMBER(SEARCH("manager",B333)),"Manager",OR(ISNUMBER(SEARCH("teacher",B333)),ISNUMBER(SEARCH("trainer",B333)),ISNUMBER(SEARCH("faculty",B333))),"Teacher / Trainer",OR(ISNUMBER(SEARCH("doctor",B333)),ISNUMBER(SEARCH("nurse",B333)),ISNUMBER(SEARCH("medical",B333)),ISNUMBER(SEARCH("pharma",B333)),ISNUMBER(SEARCH("clinical",B333))),"Healthcare",TRUE,"Other")</f>
        <v/>
      </c>
      <c r="B259">
        <f>IF(PROPER(TRIM(Raw_Data!D330))="Bangalore","Bengaluru",IF(PROPER(TRIM(Raw_Data!D330))="Gurgaon","Gurugram",IF(OR(PROPER(TRIM(Raw_Data!D330))="New Delhi",PROPER(TRIM(Raw_Data!D330))="Delhi"),"Delhi",PROPER(TRIM(Raw_Data!D330)))))</f>
        <v/>
      </c>
      <c r="C259">
        <f>IF(TRIM(Raw_Data!F330&amp;"")="","Not Specified",Raw_Data!F330)</f>
        <v/>
      </c>
      <c r="D259">
        <f>Raw_Data!H330</f>
        <v/>
      </c>
      <c r="E259">
        <f>Raw_Data!E330</f>
        <v/>
      </c>
    </row>
    <row r="260">
      <c r="A260">
        <f>_xlfn.IFS(ISNUMBER(SEARCH("data analy",B334)),"Data Analyst",ISNUMBER(SEARCH("business analy",B334)),"Business Analyst",OR(ISNUMBER(SEARCH("developer",B334)),ISNUMBER(SEARCH("software engineer",B334)),ISNUMBER(SEARCH("programmer",B334))),"Software Developer",ISNUMBER(SEARCH("business development",B334)),"Business Development",ISNUMBER(SEARCH("sales",B334)),"Sales Executive",ISNUMBER(SEARCH("marketing",B334)),"Marketing Executive",OR(ISNUMBER(SEARCH("hr ",B334)),ISNUMBER(SEARCH("recruit",B334)),ISNUMBER(SEARCH("human resource",B334))),"HR / Recruiter",OR(ISNUMBER(SEARCH("account",B334)),ISNUMBER(SEARCH("finance",B334)),ISNUMBER(SEARCH("tax",B334)),ISNUMBER(SEARCH("audit",B334))),"Accountant / Finance",OR(ISNUMBER(SEARCH("customer service",B334)),ISNUMBER(SEARCH("customer support",B334)),ISNUMBER(SEARCH("customer care",B334)),ISNUMBER(SEARCH("voice process",B334)),ISNUMBER(SEARCH("bpo",B334))),"Customer Support",ISNUMBER(SEARCH("engineer",B334)),"Engineer (Technical)",ISNUMBER(SEARCH("manager",B334)),"Manager",OR(ISNUMBER(SEARCH("teacher",B334)),ISNUMBER(SEARCH("trainer",B334)),ISNUMBER(SEARCH("faculty",B334))),"Teacher / Trainer",OR(ISNUMBER(SEARCH("doctor",B334)),ISNUMBER(SEARCH("nurse",B334)),ISNUMBER(SEARCH("medical",B334)),ISNUMBER(SEARCH("pharma",B334)),ISNUMBER(SEARCH("clinical",B334))),"Healthcare",TRUE,"Other")</f>
        <v/>
      </c>
      <c r="B260">
        <f>IF(PROPER(TRIM(Raw_Data!D331))="Bangalore","Bengaluru",IF(PROPER(TRIM(Raw_Data!D331))="Gurgaon","Gurugram",IF(OR(PROPER(TRIM(Raw_Data!D331))="New Delhi",PROPER(TRIM(Raw_Data!D331))="Delhi"),"Delhi",PROPER(TRIM(Raw_Data!D331)))))</f>
        <v/>
      </c>
      <c r="C260">
        <f>IF(TRIM(Raw_Data!F331&amp;"")="","Not Specified",Raw_Data!F331)</f>
        <v/>
      </c>
      <c r="D260">
        <f>Raw_Data!H331</f>
        <v/>
      </c>
      <c r="E260">
        <f>Raw_Data!E331</f>
        <v/>
      </c>
    </row>
    <row r="261">
      <c r="A261">
        <f>_xlfn.IFS(ISNUMBER(SEARCH("data analy",B335)),"Data Analyst",ISNUMBER(SEARCH("business analy",B335)),"Business Analyst",OR(ISNUMBER(SEARCH("developer",B335)),ISNUMBER(SEARCH("software engineer",B335)),ISNUMBER(SEARCH("programmer",B335))),"Software Developer",ISNUMBER(SEARCH("business development",B335)),"Business Development",ISNUMBER(SEARCH("sales",B335)),"Sales Executive",ISNUMBER(SEARCH("marketing",B335)),"Marketing Executive",OR(ISNUMBER(SEARCH("hr ",B335)),ISNUMBER(SEARCH("recruit",B335)),ISNUMBER(SEARCH("human resource",B335))),"HR / Recruiter",OR(ISNUMBER(SEARCH("account",B335)),ISNUMBER(SEARCH("finance",B335)),ISNUMBER(SEARCH("tax",B335)),ISNUMBER(SEARCH("audit",B335))),"Accountant / Finance",OR(ISNUMBER(SEARCH("customer service",B335)),ISNUMBER(SEARCH("customer support",B335)),ISNUMBER(SEARCH("customer care",B335)),ISNUMBER(SEARCH("voice process",B335)),ISNUMBER(SEARCH("bpo",B335))),"Customer Support",ISNUMBER(SEARCH("engineer",B335)),"Engineer (Technical)",ISNUMBER(SEARCH("manager",B335)),"Manager",OR(ISNUMBER(SEARCH("teacher",B335)),ISNUMBER(SEARCH("trainer",B335)),ISNUMBER(SEARCH("faculty",B335))),"Teacher / Trainer",OR(ISNUMBER(SEARCH("doctor",B335)),ISNUMBER(SEARCH("nurse",B335)),ISNUMBER(SEARCH("medical",B335)),ISNUMBER(SEARCH("pharma",B335)),ISNUMBER(SEARCH("clinical",B335))),"Healthcare",TRUE,"Other")</f>
        <v/>
      </c>
      <c r="B261">
        <f>IF(PROPER(TRIM(Raw_Data!D332))="Bangalore","Bengaluru",IF(PROPER(TRIM(Raw_Data!D332))="Gurgaon","Gurugram",IF(OR(PROPER(TRIM(Raw_Data!D332))="New Delhi",PROPER(TRIM(Raw_Data!D332))="Delhi"),"Delhi",PROPER(TRIM(Raw_Data!D332)))))</f>
        <v/>
      </c>
      <c r="C261">
        <f>IF(TRIM(Raw_Data!F332&amp;"")="","Not Specified",Raw_Data!F332)</f>
        <v/>
      </c>
      <c r="D261">
        <f>Raw_Data!H332</f>
        <v/>
      </c>
      <c r="E261">
        <f>Raw_Data!E332</f>
        <v/>
      </c>
    </row>
    <row r="262">
      <c r="A262">
        <f>_xlfn.IFS(ISNUMBER(SEARCH("data analy",B336)),"Data Analyst",ISNUMBER(SEARCH("business analy",B336)),"Business Analyst",OR(ISNUMBER(SEARCH("developer",B336)),ISNUMBER(SEARCH("software engineer",B336)),ISNUMBER(SEARCH("programmer",B336))),"Software Developer",ISNUMBER(SEARCH("business development",B336)),"Business Development",ISNUMBER(SEARCH("sales",B336)),"Sales Executive",ISNUMBER(SEARCH("marketing",B336)),"Marketing Executive",OR(ISNUMBER(SEARCH("hr ",B336)),ISNUMBER(SEARCH("recruit",B336)),ISNUMBER(SEARCH("human resource",B336))),"HR / Recruiter",OR(ISNUMBER(SEARCH("account",B336)),ISNUMBER(SEARCH("finance",B336)),ISNUMBER(SEARCH("tax",B336)),ISNUMBER(SEARCH("audit",B336))),"Accountant / Finance",OR(ISNUMBER(SEARCH("customer service",B336)),ISNUMBER(SEARCH("customer support",B336)),ISNUMBER(SEARCH("customer care",B336)),ISNUMBER(SEARCH("voice process",B336)),ISNUMBER(SEARCH("bpo",B336))),"Customer Support",ISNUMBER(SEARCH("engineer",B336)),"Engineer (Technical)",ISNUMBER(SEARCH("manager",B336)),"Manager",OR(ISNUMBER(SEARCH("teacher",B336)),ISNUMBER(SEARCH("trainer",B336)),ISNUMBER(SEARCH("faculty",B336))),"Teacher / Trainer",OR(ISNUMBER(SEARCH("doctor",B336)),ISNUMBER(SEARCH("nurse",B336)),ISNUMBER(SEARCH("medical",B336)),ISNUMBER(SEARCH("pharma",B336)),ISNUMBER(SEARCH("clinical",B336))),"Healthcare",TRUE,"Other")</f>
        <v/>
      </c>
      <c r="B262">
        <f>IF(PROPER(TRIM(Raw_Data!D333))="Bangalore","Bengaluru",IF(PROPER(TRIM(Raw_Data!D333))="Gurgaon","Gurugram",IF(OR(PROPER(TRIM(Raw_Data!D333))="New Delhi",PROPER(TRIM(Raw_Data!D333))="Delhi"),"Delhi",PROPER(TRIM(Raw_Data!D333)))))</f>
        <v/>
      </c>
      <c r="C262">
        <f>IF(TRIM(Raw_Data!F333&amp;"")="","Not Specified",Raw_Data!F333)</f>
        <v/>
      </c>
      <c r="D262">
        <f>Raw_Data!H333</f>
        <v/>
      </c>
      <c r="E262">
        <f>Raw_Data!E333</f>
        <v/>
      </c>
    </row>
    <row r="263">
      <c r="A263">
        <f>_xlfn.IFS(ISNUMBER(SEARCH("data analy",B337)),"Data Analyst",ISNUMBER(SEARCH("business analy",B337)),"Business Analyst",OR(ISNUMBER(SEARCH("developer",B337)),ISNUMBER(SEARCH("software engineer",B337)),ISNUMBER(SEARCH("programmer",B337))),"Software Developer",ISNUMBER(SEARCH("business development",B337)),"Business Development",ISNUMBER(SEARCH("sales",B337)),"Sales Executive",ISNUMBER(SEARCH("marketing",B337)),"Marketing Executive",OR(ISNUMBER(SEARCH("hr ",B337)),ISNUMBER(SEARCH("recruit",B337)),ISNUMBER(SEARCH("human resource",B337))),"HR / Recruiter",OR(ISNUMBER(SEARCH("account",B337)),ISNUMBER(SEARCH("finance",B337)),ISNUMBER(SEARCH("tax",B337)),ISNUMBER(SEARCH("audit",B337))),"Accountant / Finance",OR(ISNUMBER(SEARCH("customer service",B337)),ISNUMBER(SEARCH("customer support",B337)),ISNUMBER(SEARCH("customer care",B337)),ISNUMBER(SEARCH("voice process",B337)),ISNUMBER(SEARCH("bpo",B337))),"Customer Support",ISNUMBER(SEARCH("engineer",B337)),"Engineer (Technical)",ISNUMBER(SEARCH("manager",B337)),"Manager",OR(ISNUMBER(SEARCH("teacher",B337)),ISNUMBER(SEARCH("trainer",B337)),ISNUMBER(SEARCH("faculty",B337))),"Teacher / Trainer",OR(ISNUMBER(SEARCH("doctor",B337)),ISNUMBER(SEARCH("nurse",B337)),ISNUMBER(SEARCH("medical",B337)),ISNUMBER(SEARCH("pharma",B337)),ISNUMBER(SEARCH("clinical",B337))),"Healthcare",TRUE,"Other")</f>
        <v/>
      </c>
      <c r="B263">
        <f>IF(PROPER(TRIM(Raw_Data!D334))="Bangalore","Bengaluru",IF(PROPER(TRIM(Raw_Data!D334))="Gurgaon","Gurugram",IF(OR(PROPER(TRIM(Raw_Data!D334))="New Delhi",PROPER(TRIM(Raw_Data!D334))="Delhi"),"Delhi",PROPER(TRIM(Raw_Data!D334)))))</f>
        <v/>
      </c>
      <c r="C263">
        <f>IF(TRIM(Raw_Data!F334&amp;"")="","Not Specified",Raw_Data!F334)</f>
        <v/>
      </c>
      <c r="D263">
        <f>Raw_Data!H334</f>
        <v/>
      </c>
      <c r="E263">
        <f>Raw_Data!E334</f>
        <v/>
      </c>
    </row>
    <row r="264">
      <c r="A264">
        <f>_xlfn.IFS(ISNUMBER(SEARCH("data analy",B338)),"Data Analyst",ISNUMBER(SEARCH("business analy",B338)),"Business Analyst",OR(ISNUMBER(SEARCH("developer",B338)),ISNUMBER(SEARCH("software engineer",B338)),ISNUMBER(SEARCH("programmer",B338))),"Software Developer",ISNUMBER(SEARCH("business development",B338)),"Business Development",ISNUMBER(SEARCH("sales",B338)),"Sales Executive",ISNUMBER(SEARCH("marketing",B338)),"Marketing Executive",OR(ISNUMBER(SEARCH("hr ",B338)),ISNUMBER(SEARCH("recruit",B338)),ISNUMBER(SEARCH("human resource",B338))),"HR / Recruiter",OR(ISNUMBER(SEARCH("account",B338)),ISNUMBER(SEARCH("finance",B338)),ISNUMBER(SEARCH("tax",B338)),ISNUMBER(SEARCH("audit",B338))),"Accountant / Finance",OR(ISNUMBER(SEARCH("customer service",B338)),ISNUMBER(SEARCH("customer support",B338)),ISNUMBER(SEARCH("customer care",B338)),ISNUMBER(SEARCH("voice process",B338)),ISNUMBER(SEARCH("bpo",B338))),"Customer Support",ISNUMBER(SEARCH("engineer",B338)),"Engineer (Technical)",ISNUMBER(SEARCH("manager",B338)),"Manager",OR(ISNUMBER(SEARCH("teacher",B338)),ISNUMBER(SEARCH("trainer",B338)),ISNUMBER(SEARCH("faculty",B338))),"Teacher / Trainer",OR(ISNUMBER(SEARCH("doctor",B338)),ISNUMBER(SEARCH("nurse",B338)),ISNUMBER(SEARCH("medical",B338)),ISNUMBER(SEARCH("pharma",B338)),ISNUMBER(SEARCH("clinical",B338))),"Healthcare",TRUE,"Other")</f>
        <v/>
      </c>
      <c r="B264">
        <f>IF(PROPER(TRIM(Raw_Data!D335))="Bangalore","Bengaluru",IF(PROPER(TRIM(Raw_Data!D335))="Gurgaon","Gurugram",IF(OR(PROPER(TRIM(Raw_Data!D335))="New Delhi",PROPER(TRIM(Raw_Data!D335))="Delhi"),"Delhi",PROPER(TRIM(Raw_Data!D335)))))</f>
        <v/>
      </c>
      <c r="C264">
        <f>IF(TRIM(Raw_Data!F335&amp;"")="","Not Specified",Raw_Data!F335)</f>
        <v/>
      </c>
      <c r="D264">
        <f>Raw_Data!H335</f>
        <v/>
      </c>
      <c r="E264">
        <f>Raw_Data!E335</f>
        <v/>
      </c>
    </row>
    <row r="265">
      <c r="A265">
        <f>_xlfn.IFS(ISNUMBER(SEARCH("data analy",B339)),"Data Analyst",ISNUMBER(SEARCH("business analy",B339)),"Business Analyst",OR(ISNUMBER(SEARCH("developer",B339)),ISNUMBER(SEARCH("software engineer",B339)),ISNUMBER(SEARCH("programmer",B339))),"Software Developer",ISNUMBER(SEARCH("business development",B339)),"Business Development",ISNUMBER(SEARCH("sales",B339)),"Sales Executive",ISNUMBER(SEARCH("marketing",B339)),"Marketing Executive",OR(ISNUMBER(SEARCH("hr ",B339)),ISNUMBER(SEARCH("recruit",B339)),ISNUMBER(SEARCH("human resource",B339))),"HR / Recruiter",OR(ISNUMBER(SEARCH("account",B339)),ISNUMBER(SEARCH("finance",B339)),ISNUMBER(SEARCH("tax",B339)),ISNUMBER(SEARCH("audit",B339))),"Accountant / Finance",OR(ISNUMBER(SEARCH("customer service",B339)),ISNUMBER(SEARCH("customer support",B339)),ISNUMBER(SEARCH("customer care",B339)),ISNUMBER(SEARCH("voice process",B339)),ISNUMBER(SEARCH("bpo",B339))),"Customer Support",ISNUMBER(SEARCH("engineer",B339)),"Engineer (Technical)",ISNUMBER(SEARCH("manager",B339)),"Manager",OR(ISNUMBER(SEARCH("teacher",B339)),ISNUMBER(SEARCH("trainer",B339)),ISNUMBER(SEARCH("faculty",B339))),"Teacher / Trainer",OR(ISNUMBER(SEARCH("doctor",B339)),ISNUMBER(SEARCH("nurse",B339)),ISNUMBER(SEARCH("medical",B339)),ISNUMBER(SEARCH("pharma",B339)),ISNUMBER(SEARCH("clinical",B339))),"Healthcare",TRUE,"Other")</f>
        <v/>
      </c>
      <c r="B265">
        <f>IF(PROPER(TRIM(Raw_Data!D336))="Bangalore","Bengaluru",IF(PROPER(TRIM(Raw_Data!D336))="Gurgaon","Gurugram",IF(OR(PROPER(TRIM(Raw_Data!D336))="New Delhi",PROPER(TRIM(Raw_Data!D336))="Delhi"),"Delhi",PROPER(TRIM(Raw_Data!D336)))))</f>
        <v/>
      </c>
      <c r="C265">
        <f>IF(TRIM(Raw_Data!F336&amp;"")="","Not Specified",Raw_Data!F336)</f>
        <v/>
      </c>
      <c r="D265">
        <f>Raw_Data!H336</f>
        <v/>
      </c>
      <c r="E265">
        <f>Raw_Data!E336</f>
        <v/>
      </c>
    </row>
    <row r="266">
      <c r="A266">
        <f>_xlfn.IFS(ISNUMBER(SEARCH("data analy",B34)),"Data Analyst",ISNUMBER(SEARCH("business analy",B34)),"Business Analyst",OR(ISNUMBER(SEARCH("developer",B34)),ISNUMBER(SEARCH("software engineer",B34)),ISNUMBER(SEARCH("programmer",B34))),"Software Developer",ISNUMBER(SEARCH("business development",B34)),"Business Development",ISNUMBER(SEARCH("sales",B34)),"Sales Executive",ISNUMBER(SEARCH("marketing",B34)),"Marketing Executive",OR(ISNUMBER(SEARCH("hr ",B34)),ISNUMBER(SEARCH("recruit",B34)),ISNUMBER(SEARCH("human resource",B34))),"HR / Recruiter",OR(ISNUMBER(SEARCH("account",B34)),ISNUMBER(SEARCH("finance",B34)),ISNUMBER(SEARCH("tax",B34)),ISNUMBER(SEARCH("audit",B34))),"Accountant / Finance",OR(ISNUMBER(SEARCH("customer service",B34)),ISNUMBER(SEARCH("customer support",B34)),ISNUMBER(SEARCH("customer care",B34)),ISNUMBER(SEARCH("voice process",B34)),ISNUMBER(SEARCH("bpo",B34))),"Customer Support",ISNUMBER(SEARCH("engineer",B34)),"Engineer (Technical)",ISNUMBER(SEARCH("manager",B34)),"Manager",OR(ISNUMBER(SEARCH("teacher",B34)),ISNUMBER(SEARCH("trainer",B34)),ISNUMBER(SEARCH("faculty",B34))),"Teacher / Trainer",OR(ISNUMBER(SEARCH("doctor",B34)),ISNUMBER(SEARCH("nurse",B34)),ISNUMBER(SEARCH("medical",B34)),ISNUMBER(SEARCH("pharma",B34)),ISNUMBER(SEARCH("clinical",B34))),"Healthcare",TRUE,"Other")</f>
        <v/>
      </c>
      <c r="B266">
        <f>IF(PROPER(TRIM(Raw_Data!D337))="Bangalore","Bengaluru",IF(PROPER(TRIM(Raw_Data!D337))="Gurgaon","Gurugram",IF(OR(PROPER(TRIM(Raw_Data!D337))="New Delhi",PROPER(TRIM(Raw_Data!D337))="Delhi"),"Delhi",PROPER(TRIM(Raw_Data!D337)))))</f>
        <v/>
      </c>
      <c r="C266">
        <f>IF(TRIM(Raw_Data!F337&amp;"")="","Not Specified",Raw_Data!F337)</f>
        <v/>
      </c>
      <c r="D266">
        <f>Raw_Data!H337</f>
        <v/>
      </c>
      <c r="E266">
        <f>Raw_Data!E337</f>
        <v/>
      </c>
    </row>
    <row r="267">
      <c r="A267">
        <f>_xlfn.IFS(ISNUMBER(SEARCH("data analy",B340)),"Data Analyst",ISNUMBER(SEARCH("business analy",B340)),"Business Analyst",OR(ISNUMBER(SEARCH("developer",B340)),ISNUMBER(SEARCH("software engineer",B340)),ISNUMBER(SEARCH("programmer",B340))),"Software Developer",ISNUMBER(SEARCH("business development",B340)),"Business Development",ISNUMBER(SEARCH("sales",B340)),"Sales Executive",ISNUMBER(SEARCH("marketing",B340)),"Marketing Executive",OR(ISNUMBER(SEARCH("hr ",B340)),ISNUMBER(SEARCH("recruit",B340)),ISNUMBER(SEARCH("human resource",B340))),"HR / Recruiter",OR(ISNUMBER(SEARCH("account",B340)),ISNUMBER(SEARCH("finance",B340)),ISNUMBER(SEARCH("tax",B340)),ISNUMBER(SEARCH("audit",B340))),"Accountant / Finance",OR(ISNUMBER(SEARCH("customer service",B340)),ISNUMBER(SEARCH("customer support",B340)),ISNUMBER(SEARCH("customer care",B340)),ISNUMBER(SEARCH("voice process",B340)),ISNUMBER(SEARCH("bpo",B340))),"Customer Support",ISNUMBER(SEARCH("engineer",B340)),"Engineer (Technical)",ISNUMBER(SEARCH("manager",B340)),"Manager",OR(ISNUMBER(SEARCH("teacher",B340)),ISNUMBER(SEARCH("trainer",B340)),ISNUMBER(SEARCH("faculty",B340))),"Teacher / Trainer",OR(ISNUMBER(SEARCH("doctor",B340)),ISNUMBER(SEARCH("nurse",B340)),ISNUMBER(SEARCH("medical",B340)),ISNUMBER(SEARCH("pharma",B340)),ISNUMBER(SEARCH("clinical",B340))),"Healthcare",TRUE,"Other")</f>
        <v/>
      </c>
      <c r="B267">
        <f>IF(PROPER(TRIM(Raw_Data!D338))="Bangalore","Bengaluru",IF(PROPER(TRIM(Raw_Data!D338))="Gurgaon","Gurugram",IF(OR(PROPER(TRIM(Raw_Data!D338))="New Delhi",PROPER(TRIM(Raw_Data!D338))="Delhi"),"Delhi",PROPER(TRIM(Raw_Data!D338)))))</f>
        <v/>
      </c>
      <c r="C267">
        <f>IF(TRIM(Raw_Data!F338&amp;"")="","Not Specified",Raw_Data!F338)</f>
        <v/>
      </c>
      <c r="D267">
        <f>Raw_Data!H338</f>
        <v/>
      </c>
      <c r="E267">
        <f>Raw_Data!E338</f>
        <v/>
      </c>
    </row>
    <row r="268">
      <c r="A268">
        <f>_xlfn.IFS(ISNUMBER(SEARCH("data analy",B341)),"Data Analyst",ISNUMBER(SEARCH("business analy",B341)),"Business Analyst",OR(ISNUMBER(SEARCH("developer",B341)),ISNUMBER(SEARCH("software engineer",B341)),ISNUMBER(SEARCH("programmer",B341))),"Software Developer",ISNUMBER(SEARCH("business development",B341)),"Business Development",ISNUMBER(SEARCH("sales",B341)),"Sales Executive",ISNUMBER(SEARCH("marketing",B341)),"Marketing Executive",OR(ISNUMBER(SEARCH("hr ",B341)),ISNUMBER(SEARCH("recruit",B341)),ISNUMBER(SEARCH("human resource",B341))),"HR / Recruiter",OR(ISNUMBER(SEARCH("account",B341)),ISNUMBER(SEARCH("finance",B341)),ISNUMBER(SEARCH("tax",B341)),ISNUMBER(SEARCH("audit",B341))),"Accountant / Finance",OR(ISNUMBER(SEARCH("customer service",B341)),ISNUMBER(SEARCH("customer support",B341)),ISNUMBER(SEARCH("customer care",B341)),ISNUMBER(SEARCH("voice process",B341)),ISNUMBER(SEARCH("bpo",B341))),"Customer Support",ISNUMBER(SEARCH("engineer",B341)),"Engineer (Technical)",ISNUMBER(SEARCH("manager",B341)),"Manager",OR(ISNUMBER(SEARCH("teacher",B341)),ISNUMBER(SEARCH("trainer",B341)),ISNUMBER(SEARCH("faculty",B341))),"Teacher / Trainer",OR(ISNUMBER(SEARCH("doctor",B341)),ISNUMBER(SEARCH("nurse",B341)),ISNUMBER(SEARCH("medical",B341)),ISNUMBER(SEARCH("pharma",B341)),ISNUMBER(SEARCH("clinical",B341))),"Healthcare",TRUE,"Other")</f>
        <v/>
      </c>
      <c r="B268">
        <f>IF(PROPER(TRIM(Raw_Data!D339))="Bangalore","Bengaluru",IF(PROPER(TRIM(Raw_Data!D339))="Gurgaon","Gurugram",IF(OR(PROPER(TRIM(Raw_Data!D339))="New Delhi",PROPER(TRIM(Raw_Data!D339))="Delhi"),"Delhi",PROPER(TRIM(Raw_Data!D339)))))</f>
        <v/>
      </c>
      <c r="C268">
        <f>IF(TRIM(Raw_Data!F339&amp;"")="","Not Specified",Raw_Data!F339)</f>
        <v/>
      </c>
      <c r="D268">
        <f>Raw_Data!H339</f>
        <v/>
      </c>
      <c r="E268">
        <f>Raw_Data!E339</f>
        <v/>
      </c>
    </row>
    <row r="269">
      <c r="A269">
        <f>_xlfn.IFS(ISNUMBER(SEARCH("data analy",B342)),"Data Analyst",ISNUMBER(SEARCH("business analy",B342)),"Business Analyst",OR(ISNUMBER(SEARCH("developer",B342)),ISNUMBER(SEARCH("software engineer",B342)),ISNUMBER(SEARCH("programmer",B342))),"Software Developer",ISNUMBER(SEARCH("business development",B342)),"Business Development",ISNUMBER(SEARCH("sales",B342)),"Sales Executive",ISNUMBER(SEARCH("marketing",B342)),"Marketing Executive",OR(ISNUMBER(SEARCH("hr ",B342)),ISNUMBER(SEARCH("recruit",B342)),ISNUMBER(SEARCH("human resource",B342))),"HR / Recruiter",OR(ISNUMBER(SEARCH("account",B342)),ISNUMBER(SEARCH("finance",B342)),ISNUMBER(SEARCH("tax",B342)),ISNUMBER(SEARCH("audit",B342))),"Accountant / Finance",OR(ISNUMBER(SEARCH("customer service",B342)),ISNUMBER(SEARCH("customer support",B342)),ISNUMBER(SEARCH("customer care",B342)),ISNUMBER(SEARCH("voice process",B342)),ISNUMBER(SEARCH("bpo",B342))),"Customer Support",ISNUMBER(SEARCH("engineer",B342)),"Engineer (Technical)",ISNUMBER(SEARCH("manager",B342)),"Manager",OR(ISNUMBER(SEARCH("teacher",B342)),ISNUMBER(SEARCH("trainer",B342)),ISNUMBER(SEARCH("faculty",B342))),"Teacher / Trainer",OR(ISNUMBER(SEARCH("doctor",B342)),ISNUMBER(SEARCH("nurse",B342)),ISNUMBER(SEARCH("medical",B342)),ISNUMBER(SEARCH("pharma",B342)),ISNUMBER(SEARCH("clinical",B342))),"Healthcare",TRUE,"Other")</f>
        <v/>
      </c>
      <c r="B269">
        <f>IF(PROPER(TRIM(Raw_Data!D34))="Bangalore","Bengaluru",IF(PROPER(TRIM(Raw_Data!D34))="Gurgaon","Gurugram",IF(OR(PROPER(TRIM(Raw_Data!D34))="New Delhi",PROPER(TRIM(Raw_Data!D34))="Delhi"),"Delhi",PROPER(TRIM(Raw_Data!D34)))))</f>
        <v/>
      </c>
      <c r="C269">
        <f>IF(TRIM(Raw_Data!F34&amp;"")="","Not Specified",Raw_Data!F34)</f>
        <v/>
      </c>
      <c r="D269">
        <f>Raw_Data!H34</f>
        <v/>
      </c>
      <c r="E269">
        <f>Raw_Data!E34</f>
        <v/>
      </c>
    </row>
    <row r="270">
      <c r="A270">
        <f>_xlfn.IFS(ISNUMBER(SEARCH("data analy",B343)),"Data Analyst",ISNUMBER(SEARCH("business analy",B343)),"Business Analyst",OR(ISNUMBER(SEARCH("developer",B343)),ISNUMBER(SEARCH("software engineer",B343)),ISNUMBER(SEARCH("programmer",B343))),"Software Developer",ISNUMBER(SEARCH("business development",B343)),"Business Development",ISNUMBER(SEARCH("sales",B343)),"Sales Executive",ISNUMBER(SEARCH("marketing",B343)),"Marketing Executive",OR(ISNUMBER(SEARCH("hr ",B343)),ISNUMBER(SEARCH("recruit",B343)),ISNUMBER(SEARCH("human resource",B343))),"HR / Recruiter",OR(ISNUMBER(SEARCH("account",B343)),ISNUMBER(SEARCH("finance",B343)),ISNUMBER(SEARCH("tax",B343)),ISNUMBER(SEARCH("audit",B343))),"Accountant / Finance",OR(ISNUMBER(SEARCH("customer service",B343)),ISNUMBER(SEARCH("customer support",B343)),ISNUMBER(SEARCH("customer care",B343)),ISNUMBER(SEARCH("voice process",B343)),ISNUMBER(SEARCH("bpo",B343))),"Customer Support",ISNUMBER(SEARCH("engineer",B343)),"Engineer (Technical)",ISNUMBER(SEARCH("manager",B343)),"Manager",OR(ISNUMBER(SEARCH("teacher",B343)),ISNUMBER(SEARCH("trainer",B343)),ISNUMBER(SEARCH("faculty",B343))),"Teacher / Trainer",OR(ISNUMBER(SEARCH("doctor",B343)),ISNUMBER(SEARCH("nurse",B343)),ISNUMBER(SEARCH("medical",B343)),ISNUMBER(SEARCH("pharma",B343)),ISNUMBER(SEARCH("clinical",B343))),"Healthcare",TRUE,"Other")</f>
        <v/>
      </c>
      <c r="B270">
        <f>IF(PROPER(TRIM(Raw_Data!D340))="Bangalore","Bengaluru",IF(PROPER(TRIM(Raw_Data!D340))="Gurgaon","Gurugram",IF(OR(PROPER(TRIM(Raw_Data!D340))="New Delhi",PROPER(TRIM(Raw_Data!D340))="Delhi"),"Delhi",PROPER(TRIM(Raw_Data!D340)))))</f>
        <v/>
      </c>
      <c r="C270">
        <f>IF(TRIM(Raw_Data!F340&amp;"")="","Not Specified",Raw_Data!F340)</f>
        <v/>
      </c>
      <c r="D270">
        <f>Raw_Data!H340</f>
        <v/>
      </c>
      <c r="E270">
        <f>Raw_Data!E340</f>
        <v/>
      </c>
    </row>
    <row r="271">
      <c r="A271">
        <f>_xlfn.IFS(ISNUMBER(SEARCH("data analy",B344)),"Data Analyst",ISNUMBER(SEARCH("business analy",B344)),"Business Analyst",OR(ISNUMBER(SEARCH("developer",B344)),ISNUMBER(SEARCH("software engineer",B344)),ISNUMBER(SEARCH("programmer",B344))),"Software Developer",ISNUMBER(SEARCH("business development",B344)),"Business Development",ISNUMBER(SEARCH("sales",B344)),"Sales Executive",ISNUMBER(SEARCH("marketing",B344)),"Marketing Executive",OR(ISNUMBER(SEARCH("hr ",B344)),ISNUMBER(SEARCH("recruit",B344)),ISNUMBER(SEARCH("human resource",B344))),"HR / Recruiter",OR(ISNUMBER(SEARCH("account",B344)),ISNUMBER(SEARCH("finance",B344)),ISNUMBER(SEARCH("tax",B344)),ISNUMBER(SEARCH("audit",B344))),"Accountant / Finance",OR(ISNUMBER(SEARCH("customer service",B344)),ISNUMBER(SEARCH("customer support",B344)),ISNUMBER(SEARCH("customer care",B344)),ISNUMBER(SEARCH("voice process",B344)),ISNUMBER(SEARCH("bpo",B344))),"Customer Support",ISNUMBER(SEARCH("engineer",B344)),"Engineer (Technical)",ISNUMBER(SEARCH("manager",B344)),"Manager",OR(ISNUMBER(SEARCH("teacher",B344)),ISNUMBER(SEARCH("trainer",B344)),ISNUMBER(SEARCH("faculty",B344))),"Teacher / Trainer",OR(ISNUMBER(SEARCH("doctor",B344)),ISNUMBER(SEARCH("nurse",B344)),ISNUMBER(SEARCH("medical",B344)),ISNUMBER(SEARCH("pharma",B344)),ISNUMBER(SEARCH("clinical",B344))),"Healthcare",TRUE,"Other")</f>
        <v/>
      </c>
      <c r="B271">
        <f>IF(PROPER(TRIM(Raw_Data!D341))="Bangalore","Bengaluru",IF(PROPER(TRIM(Raw_Data!D341))="Gurgaon","Gurugram",IF(OR(PROPER(TRIM(Raw_Data!D341))="New Delhi",PROPER(TRIM(Raw_Data!D341))="Delhi"),"Delhi",PROPER(TRIM(Raw_Data!D341)))))</f>
        <v/>
      </c>
      <c r="C271">
        <f>IF(TRIM(Raw_Data!F341&amp;"")="","Not Specified",Raw_Data!F341)</f>
        <v/>
      </c>
      <c r="D271">
        <f>Raw_Data!H341</f>
        <v/>
      </c>
      <c r="E271">
        <f>Raw_Data!E341</f>
        <v/>
      </c>
    </row>
    <row r="272">
      <c r="A272">
        <f>_xlfn.IFS(ISNUMBER(SEARCH("data analy",B345)),"Data Analyst",ISNUMBER(SEARCH("business analy",B345)),"Business Analyst",OR(ISNUMBER(SEARCH("developer",B345)),ISNUMBER(SEARCH("software engineer",B345)),ISNUMBER(SEARCH("programmer",B345))),"Software Developer",ISNUMBER(SEARCH("business development",B345)),"Business Development",ISNUMBER(SEARCH("sales",B345)),"Sales Executive",ISNUMBER(SEARCH("marketing",B345)),"Marketing Executive",OR(ISNUMBER(SEARCH("hr ",B345)),ISNUMBER(SEARCH("recruit",B345)),ISNUMBER(SEARCH("human resource",B345))),"HR / Recruiter",OR(ISNUMBER(SEARCH("account",B345)),ISNUMBER(SEARCH("finance",B345)),ISNUMBER(SEARCH("tax",B345)),ISNUMBER(SEARCH("audit",B345))),"Accountant / Finance",OR(ISNUMBER(SEARCH("customer service",B345)),ISNUMBER(SEARCH("customer support",B345)),ISNUMBER(SEARCH("customer care",B345)),ISNUMBER(SEARCH("voice process",B345)),ISNUMBER(SEARCH("bpo",B345))),"Customer Support",ISNUMBER(SEARCH("engineer",B345)),"Engineer (Technical)",ISNUMBER(SEARCH("manager",B345)),"Manager",OR(ISNUMBER(SEARCH("teacher",B345)),ISNUMBER(SEARCH("trainer",B345)),ISNUMBER(SEARCH("faculty",B345))),"Teacher / Trainer",OR(ISNUMBER(SEARCH("doctor",B345)),ISNUMBER(SEARCH("nurse",B345)),ISNUMBER(SEARCH("medical",B345)),ISNUMBER(SEARCH("pharma",B345)),ISNUMBER(SEARCH("clinical",B345))),"Healthcare",TRUE,"Other")</f>
        <v/>
      </c>
      <c r="B272">
        <f>IF(PROPER(TRIM(Raw_Data!D342))="Bangalore","Bengaluru",IF(PROPER(TRIM(Raw_Data!D342))="Gurgaon","Gurugram",IF(OR(PROPER(TRIM(Raw_Data!D342))="New Delhi",PROPER(TRIM(Raw_Data!D342))="Delhi"),"Delhi",PROPER(TRIM(Raw_Data!D342)))))</f>
        <v/>
      </c>
      <c r="C272">
        <f>IF(TRIM(Raw_Data!F342&amp;"")="","Not Specified",Raw_Data!F342)</f>
        <v/>
      </c>
      <c r="D272">
        <f>Raw_Data!H342</f>
        <v/>
      </c>
      <c r="E272">
        <f>Raw_Data!E342</f>
        <v/>
      </c>
    </row>
    <row r="273">
      <c r="A273">
        <f>_xlfn.IFS(ISNUMBER(SEARCH("data analy",B346)),"Data Analyst",ISNUMBER(SEARCH("business analy",B346)),"Business Analyst",OR(ISNUMBER(SEARCH("developer",B346)),ISNUMBER(SEARCH("software engineer",B346)),ISNUMBER(SEARCH("programmer",B346))),"Software Developer",ISNUMBER(SEARCH("business development",B346)),"Business Development",ISNUMBER(SEARCH("sales",B346)),"Sales Executive",ISNUMBER(SEARCH("marketing",B346)),"Marketing Executive",OR(ISNUMBER(SEARCH("hr ",B346)),ISNUMBER(SEARCH("recruit",B346)),ISNUMBER(SEARCH("human resource",B346))),"HR / Recruiter",OR(ISNUMBER(SEARCH("account",B346)),ISNUMBER(SEARCH("finance",B346)),ISNUMBER(SEARCH("tax",B346)),ISNUMBER(SEARCH("audit",B346))),"Accountant / Finance",OR(ISNUMBER(SEARCH("customer service",B346)),ISNUMBER(SEARCH("customer support",B346)),ISNUMBER(SEARCH("customer care",B346)),ISNUMBER(SEARCH("voice process",B346)),ISNUMBER(SEARCH("bpo",B346))),"Customer Support",ISNUMBER(SEARCH("engineer",B346)),"Engineer (Technical)",ISNUMBER(SEARCH("manager",B346)),"Manager",OR(ISNUMBER(SEARCH("teacher",B346)),ISNUMBER(SEARCH("trainer",B346)),ISNUMBER(SEARCH("faculty",B346))),"Teacher / Trainer",OR(ISNUMBER(SEARCH("doctor",B346)),ISNUMBER(SEARCH("nurse",B346)),ISNUMBER(SEARCH("medical",B346)),ISNUMBER(SEARCH("pharma",B346)),ISNUMBER(SEARCH("clinical",B346))),"Healthcare",TRUE,"Other")</f>
        <v/>
      </c>
      <c r="B273">
        <f>IF(PROPER(TRIM(Raw_Data!D343))="Bangalore","Bengaluru",IF(PROPER(TRIM(Raw_Data!D343))="Gurgaon","Gurugram",IF(OR(PROPER(TRIM(Raw_Data!D343))="New Delhi",PROPER(TRIM(Raw_Data!D343))="Delhi"),"Delhi",PROPER(TRIM(Raw_Data!D343)))))</f>
        <v/>
      </c>
      <c r="C273">
        <f>IF(TRIM(Raw_Data!F343&amp;"")="","Not Specified",Raw_Data!F343)</f>
        <v/>
      </c>
      <c r="D273">
        <f>Raw_Data!H343</f>
        <v/>
      </c>
      <c r="E273">
        <f>Raw_Data!E343</f>
        <v/>
      </c>
    </row>
    <row r="274">
      <c r="A274">
        <f>_xlfn.IFS(ISNUMBER(SEARCH("data analy",B347)),"Data Analyst",ISNUMBER(SEARCH("business analy",B347)),"Business Analyst",OR(ISNUMBER(SEARCH("developer",B347)),ISNUMBER(SEARCH("software engineer",B347)),ISNUMBER(SEARCH("programmer",B347))),"Software Developer",ISNUMBER(SEARCH("business development",B347)),"Business Development",ISNUMBER(SEARCH("sales",B347)),"Sales Executive",ISNUMBER(SEARCH("marketing",B347)),"Marketing Executive",OR(ISNUMBER(SEARCH("hr ",B347)),ISNUMBER(SEARCH("recruit",B347)),ISNUMBER(SEARCH("human resource",B347))),"HR / Recruiter",OR(ISNUMBER(SEARCH("account",B347)),ISNUMBER(SEARCH("finance",B347)),ISNUMBER(SEARCH("tax",B347)),ISNUMBER(SEARCH("audit",B347))),"Accountant / Finance",OR(ISNUMBER(SEARCH("customer service",B347)),ISNUMBER(SEARCH("customer support",B347)),ISNUMBER(SEARCH("customer care",B347)),ISNUMBER(SEARCH("voice process",B347)),ISNUMBER(SEARCH("bpo",B347))),"Customer Support",ISNUMBER(SEARCH("engineer",B347)),"Engineer (Technical)",ISNUMBER(SEARCH("manager",B347)),"Manager",OR(ISNUMBER(SEARCH("teacher",B347)),ISNUMBER(SEARCH("trainer",B347)),ISNUMBER(SEARCH("faculty",B347))),"Teacher / Trainer",OR(ISNUMBER(SEARCH("doctor",B347)),ISNUMBER(SEARCH("nurse",B347)),ISNUMBER(SEARCH("medical",B347)),ISNUMBER(SEARCH("pharma",B347)),ISNUMBER(SEARCH("clinical",B347))),"Healthcare",TRUE,"Other")</f>
        <v/>
      </c>
      <c r="B274">
        <f>IF(PROPER(TRIM(Raw_Data!D344))="Bangalore","Bengaluru",IF(PROPER(TRIM(Raw_Data!D344))="Gurgaon","Gurugram",IF(OR(PROPER(TRIM(Raw_Data!D344))="New Delhi",PROPER(TRIM(Raw_Data!D344))="Delhi"),"Delhi",PROPER(TRIM(Raw_Data!D344)))))</f>
        <v/>
      </c>
      <c r="C274">
        <f>IF(TRIM(Raw_Data!F344&amp;"")="","Not Specified",Raw_Data!F344)</f>
        <v/>
      </c>
      <c r="D274">
        <f>Raw_Data!H344</f>
        <v/>
      </c>
      <c r="E274">
        <f>Raw_Data!E344</f>
        <v/>
      </c>
    </row>
    <row r="275">
      <c r="A275">
        <f>_xlfn.IFS(ISNUMBER(SEARCH("data analy",B348)),"Data Analyst",ISNUMBER(SEARCH("business analy",B348)),"Business Analyst",OR(ISNUMBER(SEARCH("developer",B348)),ISNUMBER(SEARCH("software engineer",B348)),ISNUMBER(SEARCH("programmer",B348))),"Software Developer",ISNUMBER(SEARCH("business development",B348)),"Business Development",ISNUMBER(SEARCH("sales",B348)),"Sales Executive",ISNUMBER(SEARCH("marketing",B348)),"Marketing Executive",OR(ISNUMBER(SEARCH("hr ",B348)),ISNUMBER(SEARCH("recruit",B348)),ISNUMBER(SEARCH("human resource",B348))),"HR / Recruiter",OR(ISNUMBER(SEARCH("account",B348)),ISNUMBER(SEARCH("finance",B348)),ISNUMBER(SEARCH("tax",B348)),ISNUMBER(SEARCH("audit",B348))),"Accountant / Finance",OR(ISNUMBER(SEARCH("customer service",B348)),ISNUMBER(SEARCH("customer support",B348)),ISNUMBER(SEARCH("customer care",B348)),ISNUMBER(SEARCH("voice process",B348)),ISNUMBER(SEARCH("bpo",B348))),"Customer Support",ISNUMBER(SEARCH("engineer",B348)),"Engineer (Technical)",ISNUMBER(SEARCH("manager",B348)),"Manager",OR(ISNUMBER(SEARCH("teacher",B348)),ISNUMBER(SEARCH("trainer",B348)),ISNUMBER(SEARCH("faculty",B348))),"Teacher / Trainer",OR(ISNUMBER(SEARCH("doctor",B348)),ISNUMBER(SEARCH("nurse",B348)),ISNUMBER(SEARCH("medical",B348)),ISNUMBER(SEARCH("pharma",B348)),ISNUMBER(SEARCH("clinical",B348))),"Healthcare",TRUE,"Other")</f>
        <v/>
      </c>
      <c r="B275">
        <f>IF(PROPER(TRIM(Raw_Data!D345))="Bangalore","Bengaluru",IF(PROPER(TRIM(Raw_Data!D345))="Gurgaon","Gurugram",IF(OR(PROPER(TRIM(Raw_Data!D345))="New Delhi",PROPER(TRIM(Raw_Data!D345))="Delhi"),"Delhi",PROPER(TRIM(Raw_Data!D345)))))</f>
        <v/>
      </c>
      <c r="C275">
        <f>IF(TRIM(Raw_Data!F345&amp;"")="","Not Specified",Raw_Data!F345)</f>
        <v/>
      </c>
      <c r="D275">
        <f>Raw_Data!H345</f>
        <v/>
      </c>
      <c r="E275">
        <f>Raw_Data!E345</f>
        <v/>
      </c>
    </row>
    <row r="276">
      <c r="A276">
        <f>_xlfn.IFS(ISNUMBER(SEARCH("data analy",B349)),"Data Analyst",ISNUMBER(SEARCH("business analy",B349)),"Business Analyst",OR(ISNUMBER(SEARCH("developer",B349)),ISNUMBER(SEARCH("software engineer",B349)),ISNUMBER(SEARCH("programmer",B349))),"Software Developer",ISNUMBER(SEARCH("business development",B349)),"Business Development",ISNUMBER(SEARCH("sales",B349)),"Sales Executive",ISNUMBER(SEARCH("marketing",B349)),"Marketing Executive",OR(ISNUMBER(SEARCH("hr ",B349)),ISNUMBER(SEARCH("recruit",B349)),ISNUMBER(SEARCH("human resource",B349))),"HR / Recruiter",OR(ISNUMBER(SEARCH("account",B349)),ISNUMBER(SEARCH("finance",B349)),ISNUMBER(SEARCH("tax",B349)),ISNUMBER(SEARCH("audit",B349))),"Accountant / Finance",OR(ISNUMBER(SEARCH("customer service",B349)),ISNUMBER(SEARCH("customer support",B349)),ISNUMBER(SEARCH("customer care",B349)),ISNUMBER(SEARCH("voice process",B349)),ISNUMBER(SEARCH("bpo",B349))),"Customer Support",ISNUMBER(SEARCH("engineer",B349)),"Engineer (Technical)",ISNUMBER(SEARCH("manager",B349)),"Manager",OR(ISNUMBER(SEARCH("teacher",B349)),ISNUMBER(SEARCH("trainer",B349)),ISNUMBER(SEARCH("faculty",B349))),"Teacher / Trainer",OR(ISNUMBER(SEARCH("doctor",B349)),ISNUMBER(SEARCH("nurse",B349)),ISNUMBER(SEARCH("medical",B349)),ISNUMBER(SEARCH("pharma",B349)),ISNUMBER(SEARCH("clinical",B349))),"Healthcare",TRUE,"Other")</f>
        <v/>
      </c>
      <c r="B276">
        <f>IF(PROPER(TRIM(Raw_Data!D346))="Bangalore","Bengaluru",IF(PROPER(TRIM(Raw_Data!D346))="Gurgaon","Gurugram",IF(OR(PROPER(TRIM(Raw_Data!D346))="New Delhi",PROPER(TRIM(Raw_Data!D346))="Delhi"),"Delhi",PROPER(TRIM(Raw_Data!D346)))))</f>
        <v/>
      </c>
      <c r="C276">
        <f>IF(TRIM(Raw_Data!F346&amp;"")="","Not Specified",Raw_Data!F346)</f>
        <v/>
      </c>
      <c r="D276">
        <f>Raw_Data!H346</f>
        <v/>
      </c>
      <c r="E276">
        <f>Raw_Data!E346</f>
        <v/>
      </c>
    </row>
    <row r="277">
      <c r="A277">
        <f>_xlfn.IFS(ISNUMBER(SEARCH("data analy",B35)),"Data Analyst",ISNUMBER(SEARCH("business analy",B35)),"Business Analyst",OR(ISNUMBER(SEARCH("developer",B35)),ISNUMBER(SEARCH("software engineer",B35)),ISNUMBER(SEARCH("programmer",B35))),"Software Developer",ISNUMBER(SEARCH("business development",B35)),"Business Development",ISNUMBER(SEARCH("sales",B35)),"Sales Executive",ISNUMBER(SEARCH("marketing",B35)),"Marketing Executive",OR(ISNUMBER(SEARCH("hr ",B35)),ISNUMBER(SEARCH("recruit",B35)),ISNUMBER(SEARCH("human resource",B35))),"HR / Recruiter",OR(ISNUMBER(SEARCH("account",B35)),ISNUMBER(SEARCH("finance",B35)),ISNUMBER(SEARCH("tax",B35)),ISNUMBER(SEARCH("audit",B35))),"Accountant / Finance",OR(ISNUMBER(SEARCH("customer service",B35)),ISNUMBER(SEARCH("customer support",B35)),ISNUMBER(SEARCH("customer care",B35)),ISNUMBER(SEARCH("voice process",B35)),ISNUMBER(SEARCH("bpo",B35))),"Customer Support",ISNUMBER(SEARCH("engineer",B35)),"Engineer (Technical)",ISNUMBER(SEARCH("manager",B35)),"Manager",OR(ISNUMBER(SEARCH("teacher",B35)),ISNUMBER(SEARCH("trainer",B35)),ISNUMBER(SEARCH("faculty",B35))),"Teacher / Trainer",OR(ISNUMBER(SEARCH("doctor",B35)),ISNUMBER(SEARCH("nurse",B35)),ISNUMBER(SEARCH("medical",B35)),ISNUMBER(SEARCH("pharma",B35)),ISNUMBER(SEARCH("clinical",B35))),"Healthcare",TRUE,"Other")</f>
        <v/>
      </c>
      <c r="B277">
        <f>IF(PROPER(TRIM(Raw_Data!D347))="Bangalore","Bengaluru",IF(PROPER(TRIM(Raw_Data!D347))="Gurgaon","Gurugram",IF(OR(PROPER(TRIM(Raw_Data!D347))="New Delhi",PROPER(TRIM(Raw_Data!D347))="Delhi"),"Delhi",PROPER(TRIM(Raw_Data!D347)))))</f>
        <v/>
      </c>
      <c r="C277">
        <f>IF(TRIM(Raw_Data!F347&amp;"")="","Not Specified",Raw_Data!F347)</f>
        <v/>
      </c>
      <c r="D277">
        <f>Raw_Data!H347</f>
        <v/>
      </c>
      <c r="E277">
        <f>Raw_Data!E347</f>
        <v/>
      </c>
    </row>
    <row r="278">
      <c r="A278">
        <f>_xlfn.IFS(ISNUMBER(SEARCH("data analy",B350)),"Data Analyst",ISNUMBER(SEARCH("business analy",B350)),"Business Analyst",OR(ISNUMBER(SEARCH("developer",B350)),ISNUMBER(SEARCH("software engineer",B350)),ISNUMBER(SEARCH("programmer",B350))),"Software Developer",ISNUMBER(SEARCH("business development",B350)),"Business Development",ISNUMBER(SEARCH("sales",B350)),"Sales Executive",ISNUMBER(SEARCH("marketing",B350)),"Marketing Executive",OR(ISNUMBER(SEARCH("hr ",B350)),ISNUMBER(SEARCH("recruit",B350)),ISNUMBER(SEARCH("human resource",B350))),"HR / Recruiter",OR(ISNUMBER(SEARCH("account",B350)),ISNUMBER(SEARCH("finance",B350)),ISNUMBER(SEARCH("tax",B350)),ISNUMBER(SEARCH("audit",B350))),"Accountant / Finance",OR(ISNUMBER(SEARCH("customer service",B350)),ISNUMBER(SEARCH("customer support",B350)),ISNUMBER(SEARCH("customer care",B350)),ISNUMBER(SEARCH("voice process",B350)),ISNUMBER(SEARCH("bpo",B350))),"Customer Support",ISNUMBER(SEARCH("engineer",B350)),"Engineer (Technical)",ISNUMBER(SEARCH("manager",B350)),"Manager",OR(ISNUMBER(SEARCH("teacher",B350)),ISNUMBER(SEARCH("trainer",B350)),ISNUMBER(SEARCH("faculty",B350))),"Teacher / Trainer",OR(ISNUMBER(SEARCH("doctor",B350)),ISNUMBER(SEARCH("nurse",B350)),ISNUMBER(SEARCH("medical",B350)),ISNUMBER(SEARCH("pharma",B350)),ISNUMBER(SEARCH("clinical",B350))),"Healthcare",TRUE,"Other")</f>
        <v/>
      </c>
      <c r="B278">
        <f>IF(PROPER(TRIM(Raw_Data!D348))="Bangalore","Bengaluru",IF(PROPER(TRIM(Raw_Data!D348))="Gurgaon","Gurugram",IF(OR(PROPER(TRIM(Raw_Data!D348))="New Delhi",PROPER(TRIM(Raw_Data!D348))="Delhi"),"Delhi",PROPER(TRIM(Raw_Data!D348)))))</f>
        <v/>
      </c>
      <c r="C278">
        <f>IF(TRIM(Raw_Data!F348&amp;"")="","Not Specified",Raw_Data!F348)</f>
        <v/>
      </c>
      <c r="D278">
        <f>Raw_Data!H348</f>
        <v/>
      </c>
      <c r="E278">
        <f>Raw_Data!E348</f>
        <v/>
      </c>
    </row>
    <row r="279">
      <c r="A279">
        <f>_xlfn.IFS(ISNUMBER(SEARCH("data analy",B351)),"Data Analyst",ISNUMBER(SEARCH("business analy",B351)),"Business Analyst",OR(ISNUMBER(SEARCH("developer",B351)),ISNUMBER(SEARCH("software engineer",B351)),ISNUMBER(SEARCH("programmer",B351))),"Software Developer",ISNUMBER(SEARCH("business development",B351)),"Business Development",ISNUMBER(SEARCH("sales",B351)),"Sales Executive",ISNUMBER(SEARCH("marketing",B351)),"Marketing Executive",OR(ISNUMBER(SEARCH("hr ",B351)),ISNUMBER(SEARCH("recruit",B351)),ISNUMBER(SEARCH("human resource",B351))),"HR / Recruiter",OR(ISNUMBER(SEARCH("account",B351)),ISNUMBER(SEARCH("finance",B351)),ISNUMBER(SEARCH("tax",B351)),ISNUMBER(SEARCH("audit",B351))),"Accountant / Finance",OR(ISNUMBER(SEARCH("customer service",B351)),ISNUMBER(SEARCH("customer support",B351)),ISNUMBER(SEARCH("customer care",B351)),ISNUMBER(SEARCH("voice process",B351)),ISNUMBER(SEARCH("bpo",B351))),"Customer Support",ISNUMBER(SEARCH("engineer",B351)),"Engineer (Technical)",ISNUMBER(SEARCH("manager",B351)),"Manager",OR(ISNUMBER(SEARCH("teacher",B351)),ISNUMBER(SEARCH("trainer",B351)),ISNUMBER(SEARCH("faculty",B351))),"Teacher / Trainer",OR(ISNUMBER(SEARCH("doctor",B351)),ISNUMBER(SEARCH("nurse",B351)),ISNUMBER(SEARCH("medical",B351)),ISNUMBER(SEARCH("pharma",B351)),ISNUMBER(SEARCH("clinical",B351))),"Healthcare",TRUE,"Other")</f>
        <v/>
      </c>
      <c r="B279">
        <f>IF(PROPER(TRIM(Raw_Data!D349))="Bangalore","Bengaluru",IF(PROPER(TRIM(Raw_Data!D349))="Gurgaon","Gurugram",IF(OR(PROPER(TRIM(Raw_Data!D349))="New Delhi",PROPER(TRIM(Raw_Data!D349))="Delhi"),"Delhi",PROPER(TRIM(Raw_Data!D349)))))</f>
        <v/>
      </c>
      <c r="C279">
        <f>IF(TRIM(Raw_Data!F349&amp;"")="","Not Specified",Raw_Data!F349)</f>
        <v/>
      </c>
      <c r="D279">
        <f>Raw_Data!H349</f>
        <v/>
      </c>
      <c r="E279">
        <f>Raw_Data!E349</f>
        <v/>
      </c>
    </row>
    <row r="280">
      <c r="A280">
        <f>_xlfn.IFS(ISNUMBER(SEARCH("data analy",B352)),"Data Analyst",ISNUMBER(SEARCH("business analy",B352)),"Business Analyst",OR(ISNUMBER(SEARCH("developer",B352)),ISNUMBER(SEARCH("software engineer",B352)),ISNUMBER(SEARCH("programmer",B352))),"Software Developer",ISNUMBER(SEARCH("business development",B352)),"Business Development",ISNUMBER(SEARCH("sales",B352)),"Sales Executive",ISNUMBER(SEARCH("marketing",B352)),"Marketing Executive",OR(ISNUMBER(SEARCH("hr ",B352)),ISNUMBER(SEARCH("recruit",B352)),ISNUMBER(SEARCH("human resource",B352))),"HR / Recruiter",OR(ISNUMBER(SEARCH("account",B352)),ISNUMBER(SEARCH("finance",B352)),ISNUMBER(SEARCH("tax",B352)),ISNUMBER(SEARCH("audit",B352))),"Accountant / Finance",OR(ISNUMBER(SEARCH("customer service",B352)),ISNUMBER(SEARCH("customer support",B352)),ISNUMBER(SEARCH("customer care",B352)),ISNUMBER(SEARCH("voice process",B352)),ISNUMBER(SEARCH("bpo",B352))),"Customer Support",ISNUMBER(SEARCH("engineer",B352)),"Engineer (Technical)",ISNUMBER(SEARCH("manager",B352)),"Manager",OR(ISNUMBER(SEARCH("teacher",B352)),ISNUMBER(SEARCH("trainer",B352)),ISNUMBER(SEARCH("faculty",B352))),"Teacher / Trainer",OR(ISNUMBER(SEARCH("doctor",B352)),ISNUMBER(SEARCH("nurse",B352)),ISNUMBER(SEARCH("medical",B352)),ISNUMBER(SEARCH("pharma",B352)),ISNUMBER(SEARCH("clinical",B352))),"Healthcare",TRUE,"Other")</f>
        <v/>
      </c>
      <c r="B280">
        <f>IF(PROPER(TRIM(Raw_Data!D35))="Bangalore","Bengaluru",IF(PROPER(TRIM(Raw_Data!D35))="Gurgaon","Gurugram",IF(OR(PROPER(TRIM(Raw_Data!D35))="New Delhi",PROPER(TRIM(Raw_Data!D35))="Delhi"),"Delhi",PROPER(TRIM(Raw_Data!D35)))))</f>
        <v/>
      </c>
      <c r="C280">
        <f>IF(TRIM(Raw_Data!F35&amp;"")="","Not Specified",Raw_Data!F35)</f>
        <v/>
      </c>
      <c r="D280">
        <f>Raw_Data!H35</f>
        <v/>
      </c>
      <c r="E280">
        <f>Raw_Data!E35</f>
        <v/>
      </c>
    </row>
    <row r="281">
      <c r="A281">
        <f>_xlfn.IFS(ISNUMBER(SEARCH("data analy",B353)),"Data Analyst",ISNUMBER(SEARCH("business analy",B353)),"Business Analyst",OR(ISNUMBER(SEARCH("developer",B353)),ISNUMBER(SEARCH("software engineer",B353)),ISNUMBER(SEARCH("programmer",B353))),"Software Developer",ISNUMBER(SEARCH("business development",B353)),"Business Development",ISNUMBER(SEARCH("sales",B353)),"Sales Executive",ISNUMBER(SEARCH("marketing",B353)),"Marketing Executive",OR(ISNUMBER(SEARCH("hr ",B353)),ISNUMBER(SEARCH("recruit",B353)),ISNUMBER(SEARCH("human resource",B353))),"HR / Recruiter",OR(ISNUMBER(SEARCH("account",B353)),ISNUMBER(SEARCH("finance",B353)),ISNUMBER(SEARCH("tax",B353)),ISNUMBER(SEARCH("audit",B353))),"Accountant / Finance",OR(ISNUMBER(SEARCH("customer service",B353)),ISNUMBER(SEARCH("customer support",B353)),ISNUMBER(SEARCH("customer care",B353)),ISNUMBER(SEARCH("voice process",B353)),ISNUMBER(SEARCH("bpo",B353))),"Customer Support",ISNUMBER(SEARCH("engineer",B353)),"Engineer (Technical)",ISNUMBER(SEARCH("manager",B353)),"Manager",OR(ISNUMBER(SEARCH("teacher",B353)),ISNUMBER(SEARCH("trainer",B353)),ISNUMBER(SEARCH("faculty",B353))),"Teacher / Trainer",OR(ISNUMBER(SEARCH("doctor",B353)),ISNUMBER(SEARCH("nurse",B353)),ISNUMBER(SEARCH("medical",B353)),ISNUMBER(SEARCH("pharma",B353)),ISNUMBER(SEARCH("clinical",B353))),"Healthcare",TRUE,"Other")</f>
        <v/>
      </c>
      <c r="B281">
        <f>IF(PROPER(TRIM(Raw_Data!D350))="Bangalore","Bengaluru",IF(PROPER(TRIM(Raw_Data!D350))="Gurgaon","Gurugram",IF(OR(PROPER(TRIM(Raw_Data!D350))="New Delhi",PROPER(TRIM(Raw_Data!D350))="Delhi"),"Delhi",PROPER(TRIM(Raw_Data!D350)))))</f>
        <v/>
      </c>
      <c r="C281">
        <f>IF(TRIM(Raw_Data!F350&amp;"")="","Not Specified",Raw_Data!F350)</f>
        <v/>
      </c>
      <c r="D281">
        <f>Raw_Data!H350</f>
        <v/>
      </c>
      <c r="E281">
        <f>Raw_Data!E350</f>
        <v/>
      </c>
    </row>
    <row r="282">
      <c r="A282">
        <f>_xlfn.IFS(ISNUMBER(SEARCH("data analy",B354)),"Data Analyst",ISNUMBER(SEARCH("business analy",B354)),"Business Analyst",OR(ISNUMBER(SEARCH("developer",B354)),ISNUMBER(SEARCH("software engineer",B354)),ISNUMBER(SEARCH("programmer",B354))),"Software Developer",ISNUMBER(SEARCH("business development",B354)),"Business Development",ISNUMBER(SEARCH("sales",B354)),"Sales Executive",ISNUMBER(SEARCH("marketing",B354)),"Marketing Executive",OR(ISNUMBER(SEARCH("hr ",B354)),ISNUMBER(SEARCH("recruit",B354)),ISNUMBER(SEARCH("human resource",B354))),"HR / Recruiter",OR(ISNUMBER(SEARCH("account",B354)),ISNUMBER(SEARCH("finance",B354)),ISNUMBER(SEARCH("tax",B354)),ISNUMBER(SEARCH("audit",B354))),"Accountant / Finance",OR(ISNUMBER(SEARCH("customer service",B354)),ISNUMBER(SEARCH("customer support",B354)),ISNUMBER(SEARCH("customer care",B354)),ISNUMBER(SEARCH("voice process",B354)),ISNUMBER(SEARCH("bpo",B354))),"Customer Support",ISNUMBER(SEARCH("engineer",B354)),"Engineer (Technical)",ISNUMBER(SEARCH("manager",B354)),"Manager",OR(ISNUMBER(SEARCH("teacher",B354)),ISNUMBER(SEARCH("trainer",B354)),ISNUMBER(SEARCH("faculty",B354))),"Teacher / Trainer",OR(ISNUMBER(SEARCH("doctor",B354)),ISNUMBER(SEARCH("nurse",B354)),ISNUMBER(SEARCH("medical",B354)),ISNUMBER(SEARCH("pharma",B354)),ISNUMBER(SEARCH("clinical",B354))),"Healthcare",TRUE,"Other")</f>
        <v/>
      </c>
      <c r="B282">
        <f>IF(PROPER(TRIM(Raw_Data!D351))="Bangalore","Bengaluru",IF(PROPER(TRIM(Raw_Data!D351))="Gurgaon","Gurugram",IF(OR(PROPER(TRIM(Raw_Data!D351))="New Delhi",PROPER(TRIM(Raw_Data!D351))="Delhi"),"Delhi",PROPER(TRIM(Raw_Data!D351)))))</f>
        <v/>
      </c>
      <c r="C282">
        <f>IF(TRIM(Raw_Data!F351&amp;"")="","Not Specified",Raw_Data!F351)</f>
        <v/>
      </c>
      <c r="D282">
        <f>Raw_Data!H351</f>
        <v/>
      </c>
      <c r="E282">
        <f>Raw_Data!E351</f>
        <v/>
      </c>
    </row>
    <row r="283">
      <c r="A283">
        <f>_xlfn.IFS(ISNUMBER(SEARCH("data analy",B355)),"Data Analyst",ISNUMBER(SEARCH("business analy",B355)),"Business Analyst",OR(ISNUMBER(SEARCH("developer",B355)),ISNUMBER(SEARCH("software engineer",B355)),ISNUMBER(SEARCH("programmer",B355))),"Software Developer",ISNUMBER(SEARCH("business development",B355)),"Business Development",ISNUMBER(SEARCH("sales",B355)),"Sales Executive",ISNUMBER(SEARCH("marketing",B355)),"Marketing Executive",OR(ISNUMBER(SEARCH("hr ",B355)),ISNUMBER(SEARCH("recruit",B355)),ISNUMBER(SEARCH("human resource",B355))),"HR / Recruiter",OR(ISNUMBER(SEARCH("account",B355)),ISNUMBER(SEARCH("finance",B355)),ISNUMBER(SEARCH("tax",B355)),ISNUMBER(SEARCH("audit",B355))),"Accountant / Finance",OR(ISNUMBER(SEARCH("customer service",B355)),ISNUMBER(SEARCH("customer support",B355)),ISNUMBER(SEARCH("customer care",B355)),ISNUMBER(SEARCH("voice process",B355)),ISNUMBER(SEARCH("bpo",B355))),"Customer Support",ISNUMBER(SEARCH("engineer",B355)),"Engineer (Technical)",ISNUMBER(SEARCH("manager",B355)),"Manager",OR(ISNUMBER(SEARCH("teacher",B355)),ISNUMBER(SEARCH("trainer",B355)),ISNUMBER(SEARCH("faculty",B355))),"Teacher / Trainer",OR(ISNUMBER(SEARCH("doctor",B355)),ISNUMBER(SEARCH("nurse",B355)),ISNUMBER(SEARCH("medical",B355)),ISNUMBER(SEARCH("pharma",B355)),ISNUMBER(SEARCH("clinical",B355))),"Healthcare",TRUE,"Other")</f>
        <v/>
      </c>
      <c r="B283">
        <f>IF(PROPER(TRIM(Raw_Data!D352))="Bangalore","Bengaluru",IF(PROPER(TRIM(Raw_Data!D352))="Gurgaon","Gurugram",IF(OR(PROPER(TRIM(Raw_Data!D352))="New Delhi",PROPER(TRIM(Raw_Data!D352))="Delhi"),"Delhi",PROPER(TRIM(Raw_Data!D352)))))</f>
        <v/>
      </c>
      <c r="C283">
        <f>IF(TRIM(Raw_Data!F352&amp;"")="","Not Specified",Raw_Data!F352)</f>
        <v/>
      </c>
      <c r="D283">
        <f>Raw_Data!H352</f>
        <v/>
      </c>
      <c r="E283">
        <f>Raw_Data!E352</f>
        <v/>
      </c>
    </row>
    <row r="284">
      <c r="A284">
        <f>_xlfn.IFS(ISNUMBER(SEARCH("data analy",B356)),"Data Analyst",ISNUMBER(SEARCH("business analy",B356)),"Business Analyst",OR(ISNUMBER(SEARCH("developer",B356)),ISNUMBER(SEARCH("software engineer",B356)),ISNUMBER(SEARCH("programmer",B356))),"Software Developer",ISNUMBER(SEARCH("business development",B356)),"Business Development",ISNUMBER(SEARCH("sales",B356)),"Sales Executive",ISNUMBER(SEARCH("marketing",B356)),"Marketing Executive",OR(ISNUMBER(SEARCH("hr ",B356)),ISNUMBER(SEARCH("recruit",B356)),ISNUMBER(SEARCH("human resource",B356))),"HR / Recruiter",OR(ISNUMBER(SEARCH("account",B356)),ISNUMBER(SEARCH("finance",B356)),ISNUMBER(SEARCH("tax",B356)),ISNUMBER(SEARCH("audit",B356))),"Accountant / Finance",OR(ISNUMBER(SEARCH("customer service",B356)),ISNUMBER(SEARCH("customer support",B356)),ISNUMBER(SEARCH("customer care",B356)),ISNUMBER(SEARCH("voice process",B356)),ISNUMBER(SEARCH("bpo",B356))),"Customer Support",ISNUMBER(SEARCH("engineer",B356)),"Engineer (Technical)",ISNUMBER(SEARCH("manager",B356)),"Manager",OR(ISNUMBER(SEARCH("teacher",B356)),ISNUMBER(SEARCH("trainer",B356)),ISNUMBER(SEARCH("faculty",B356))),"Teacher / Trainer",OR(ISNUMBER(SEARCH("doctor",B356)),ISNUMBER(SEARCH("nurse",B356)),ISNUMBER(SEARCH("medical",B356)),ISNUMBER(SEARCH("pharma",B356)),ISNUMBER(SEARCH("clinical",B356))),"Healthcare",TRUE,"Other")</f>
        <v/>
      </c>
      <c r="B284">
        <f>IF(PROPER(TRIM(Raw_Data!D353))="Bangalore","Bengaluru",IF(PROPER(TRIM(Raw_Data!D353))="Gurgaon","Gurugram",IF(OR(PROPER(TRIM(Raw_Data!D353))="New Delhi",PROPER(TRIM(Raw_Data!D353))="Delhi"),"Delhi",PROPER(TRIM(Raw_Data!D353)))))</f>
        <v/>
      </c>
      <c r="C284">
        <f>IF(TRIM(Raw_Data!F353&amp;"")="","Not Specified",Raw_Data!F353)</f>
        <v/>
      </c>
      <c r="D284">
        <f>Raw_Data!H353</f>
        <v/>
      </c>
      <c r="E284">
        <f>Raw_Data!E353</f>
        <v/>
      </c>
    </row>
    <row r="285">
      <c r="A285">
        <f>_xlfn.IFS(ISNUMBER(SEARCH("data analy",B357)),"Data Analyst",ISNUMBER(SEARCH("business analy",B357)),"Business Analyst",OR(ISNUMBER(SEARCH("developer",B357)),ISNUMBER(SEARCH("software engineer",B357)),ISNUMBER(SEARCH("programmer",B357))),"Software Developer",ISNUMBER(SEARCH("business development",B357)),"Business Development",ISNUMBER(SEARCH("sales",B357)),"Sales Executive",ISNUMBER(SEARCH("marketing",B357)),"Marketing Executive",OR(ISNUMBER(SEARCH("hr ",B357)),ISNUMBER(SEARCH("recruit",B357)),ISNUMBER(SEARCH("human resource",B357))),"HR / Recruiter",OR(ISNUMBER(SEARCH("account",B357)),ISNUMBER(SEARCH("finance",B357)),ISNUMBER(SEARCH("tax",B357)),ISNUMBER(SEARCH("audit",B357))),"Accountant / Finance",OR(ISNUMBER(SEARCH("customer service",B357)),ISNUMBER(SEARCH("customer support",B357)),ISNUMBER(SEARCH("customer care",B357)),ISNUMBER(SEARCH("voice process",B357)),ISNUMBER(SEARCH("bpo",B357))),"Customer Support",ISNUMBER(SEARCH("engineer",B357)),"Engineer (Technical)",ISNUMBER(SEARCH("manager",B357)),"Manager",OR(ISNUMBER(SEARCH("teacher",B357)),ISNUMBER(SEARCH("trainer",B357)),ISNUMBER(SEARCH("faculty",B357))),"Teacher / Trainer",OR(ISNUMBER(SEARCH("doctor",B357)),ISNUMBER(SEARCH("nurse",B357)),ISNUMBER(SEARCH("medical",B357)),ISNUMBER(SEARCH("pharma",B357)),ISNUMBER(SEARCH("clinical",B357))),"Healthcare",TRUE,"Other")</f>
        <v/>
      </c>
      <c r="B285">
        <f>IF(PROPER(TRIM(Raw_Data!D354))="Bangalore","Bengaluru",IF(PROPER(TRIM(Raw_Data!D354))="Gurgaon","Gurugram",IF(OR(PROPER(TRIM(Raw_Data!D354))="New Delhi",PROPER(TRIM(Raw_Data!D354))="Delhi"),"Delhi",PROPER(TRIM(Raw_Data!D354)))))</f>
        <v/>
      </c>
      <c r="C285">
        <f>IF(TRIM(Raw_Data!F354&amp;"")="","Not Specified",Raw_Data!F354)</f>
        <v/>
      </c>
      <c r="D285">
        <f>Raw_Data!H354</f>
        <v/>
      </c>
      <c r="E285">
        <f>Raw_Data!E354</f>
        <v/>
      </c>
    </row>
    <row r="286">
      <c r="A286">
        <f>_xlfn.IFS(ISNUMBER(SEARCH("data analy",B358)),"Data Analyst",ISNUMBER(SEARCH("business analy",B358)),"Business Analyst",OR(ISNUMBER(SEARCH("developer",B358)),ISNUMBER(SEARCH("software engineer",B358)),ISNUMBER(SEARCH("programmer",B358))),"Software Developer",ISNUMBER(SEARCH("business development",B358)),"Business Development",ISNUMBER(SEARCH("sales",B358)),"Sales Executive",ISNUMBER(SEARCH("marketing",B358)),"Marketing Executive",OR(ISNUMBER(SEARCH("hr ",B358)),ISNUMBER(SEARCH("recruit",B358)),ISNUMBER(SEARCH("human resource",B358))),"HR / Recruiter",OR(ISNUMBER(SEARCH("account",B358)),ISNUMBER(SEARCH("finance",B358)),ISNUMBER(SEARCH("tax",B358)),ISNUMBER(SEARCH("audit",B358))),"Accountant / Finance",OR(ISNUMBER(SEARCH("customer service",B358)),ISNUMBER(SEARCH("customer support",B358)),ISNUMBER(SEARCH("customer care",B358)),ISNUMBER(SEARCH("voice process",B358)),ISNUMBER(SEARCH("bpo",B358))),"Customer Support",ISNUMBER(SEARCH("engineer",B358)),"Engineer (Technical)",ISNUMBER(SEARCH("manager",B358)),"Manager",OR(ISNUMBER(SEARCH("teacher",B358)),ISNUMBER(SEARCH("trainer",B358)),ISNUMBER(SEARCH("faculty",B358))),"Teacher / Trainer",OR(ISNUMBER(SEARCH("doctor",B358)),ISNUMBER(SEARCH("nurse",B358)),ISNUMBER(SEARCH("medical",B358)),ISNUMBER(SEARCH("pharma",B358)),ISNUMBER(SEARCH("clinical",B358))),"Healthcare",TRUE,"Other")</f>
        <v/>
      </c>
      <c r="B286">
        <f>IF(PROPER(TRIM(Raw_Data!D355))="Bangalore","Bengaluru",IF(PROPER(TRIM(Raw_Data!D355))="Gurgaon","Gurugram",IF(OR(PROPER(TRIM(Raw_Data!D355))="New Delhi",PROPER(TRIM(Raw_Data!D355))="Delhi"),"Delhi",PROPER(TRIM(Raw_Data!D355)))))</f>
        <v/>
      </c>
      <c r="C286">
        <f>IF(TRIM(Raw_Data!F355&amp;"")="","Not Specified",Raw_Data!F355)</f>
        <v/>
      </c>
      <c r="D286">
        <f>Raw_Data!H355</f>
        <v/>
      </c>
      <c r="E286">
        <f>Raw_Data!E355</f>
        <v/>
      </c>
    </row>
    <row r="287">
      <c r="A287">
        <f>_xlfn.IFS(ISNUMBER(SEARCH("data analy",B359)),"Data Analyst",ISNUMBER(SEARCH("business analy",B359)),"Business Analyst",OR(ISNUMBER(SEARCH("developer",B359)),ISNUMBER(SEARCH("software engineer",B359)),ISNUMBER(SEARCH("programmer",B359))),"Software Developer",ISNUMBER(SEARCH("business development",B359)),"Business Development",ISNUMBER(SEARCH("sales",B359)),"Sales Executive",ISNUMBER(SEARCH("marketing",B359)),"Marketing Executive",OR(ISNUMBER(SEARCH("hr ",B359)),ISNUMBER(SEARCH("recruit",B359)),ISNUMBER(SEARCH("human resource",B359))),"HR / Recruiter",OR(ISNUMBER(SEARCH("account",B359)),ISNUMBER(SEARCH("finance",B359)),ISNUMBER(SEARCH("tax",B359)),ISNUMBER(SEARCH("audit",B359))),"Accountant / Finance",OR(ISNUMBER(SEARCH("customer service",B359)),ISNUMBER(SEARCH("customer support",B359)),ISNUMBER(SEARCH("customer care",B359)),ISNUMBER(SEARCH("voice process",B359)),ISNUMBER(SEARCH("bpo",B359))),"Customer Support",ISNUMBER(SEARCH("engineer",B359)),"Engineer (Technical)",ISNUMBER(SEARCH("manager",B359)),"Manager",OR(ISNUMBER(SEARCH("teacher",B359)),ISNUMBER(SEARCH("trainer",B359)),ISNUMBER(SEARCH("faculty",B359))),"Teacher / Trainer",OR(ISNUMBER(SEARCH("doctor",B359)),ISNUMBER(SEARCH("nurse",B359)),ISNUMBER(SEARCH("medical",B359)),ISNUMBER(SEARCH("pharma",B359)),ISNUMBER(SEARCH("clinical",B359))),"Healthcare",TRUE,"Other")</f>
        <v/>
      </c>
      <c r="B287">
        <f>IF(PROPER(TRIM(Raw_Data!D356))="Bangalore","Bengaluru",IF(PROPER(TRIM(Raw_Data!D356))="Gurgaon","Gurugram",IF(OR(PROPER(TRIM(Raw_Data!D356))="New Delhi",PROPER(TRIM(Raw_Data!D356))="Delhi"),"Delhi",PROPER(TRIM(Raw_Data!D356)))))</f>
        <v/>
      </c>
      <c r="C287">
        <f>IF(TRIM(Raw_Data!F356&amp;"")="","Not Specified",Raw_Data!F356)</f>
        <v/>
      </c>
      <c r="D287">
        <f>Raw_Data!H356</f>
        <v/>
      </c>
      <c r="E287">
        <f>Raw_Data!E356</f>
        <v/>
      </c>
    </row>
    <row r="288">
      <c r="A288">
        <f>_xlfn.IFS(ISNUMBER(SEARCH("data analy",B36)),"Data Analyst",ISNUMBER(SEARCH("business analy",B36)),"Business Analyst",OR(ISNUMBER(SEARCH("developer",B36)),ISNUMBER(SEARCH("software engineer",B36)),ISNUMBER(SEARCH("programmer",B36))),"Software Developer",ISNUMBER(SEARCH("business development",B36)),"Business Development",ISNUMBER(SEARCH("sales",B36)),"Sales Executive",ISNUMBER(SEARCH("marketing",B36)),"Marketing Executive",OR(ISNUMBER(SEARCH("hr ",B36)),ISNUMBER(SEARCH("recruit",B36)),ISNUMBER(SEARCH("human resource",B36))),"HR / Recruiter",OR(ISNUMBER(SEARCH("account",B36)),ISNUMBER(SEARCH("finance",B36)),ISNUMBER(SEARCH("tax",B36)),ISNUMBER(SEARCH("audit",B36))),"Accountant / Finance",OR(ISNUMBER(SEARCH("customer service",B36)),ISNUMBER(SEARCH("customer support",B36)),ISNUMBER(SEARCH("customer care",B36)),ISNUMBER(SEARCH("voice process",B36)),ISNUMBER(SEARCH("bpo",B36))),"Customer Support",ISNUMBER(SEARCH("engineer",B36)),"Engineer (Technical)",ISNUMBER(SEARCH("manager",B36)),"Manager",OR(ISNUMBER(SEARCH("teacher",B36)),ISNUMBER(SEARCH("trainer",B36)),ISNUMBER(SEARCH("faculty",B36))),"Teacher / Trainer",OR(ISNUMBER(SEARCH("doctor",B36)),ISNUMBER(SEARCH("nurse",B36)),ISNUMBER(SEARCH("medical",B36)),ISNUMBER(SEARCH("pharma",B36)),ISNUMBER(SEARCH("clinical",B36))),"Healthcare",TRUE,"Other")</f>
        <v/>
      </c>
      <c r="B288">
        <f>IF(PROPER(TRIM(Raw_Data!D357))="Bangalore","Bengaluru",IF(PROPER(TRIM(Raw_Data!D357))="Gurgaon","Gurugram",IF(OR(PROPER(TRIM(Raw_Data!D357))="New Delhi",PROPER(TRIM(Raw_Data!D357))="Delhi"),"Delhi",PROPER(TRIM(Raw_Data!D357)))))</f>
        <v/>
      </c>
      <c r="C288">
        <f>IF(TRIM(Raw_Data!F357&amp;"")="","Not Specified",Raw_Data!F357)</f>
        <v/>
      </c>
      <c r="D288">
        <f>Raw_Data!H357</f>
        <v/>
      </c>
      <c r="E288">
        <f>Raw_Data!E357</f>
        <v/>
      </c>
    </row>
    <row r="289">
      <c r="A289">
        <f>_xlfn.IFS(ISNUMBER(SEARCH("data analy",B360)),"Data Analyst",ISNUMBER(SEARCH("business analy",B360)),"Business Analyst",OR(ISNUMBER(SEARCH("developer",B360)),ISNUMBER(SEARCH("software engineer",B360)),ISNUMBER(SEARCH("programmer",B360))),"Software Developer",ISNUMBER(SEARCH("business development",B360)),"Business Development",ISNUMBER(SEARCH("sales",B360)),"Sales Executive",ISNUMBER(SEARCH("marketing",B360)),"Marketing Executive",OR(ISNUMBER(SEARCH("hr ",B360)),ISNUMBER(SEARCH("recruit",B360)),ISNUMBER(SEARCH("human resource",B360))),"HR / Recruiter",OR(ISNUMBER(SEARCH("account",B360)),ISNUMBER(SEARCH("finance",B360)),ISNUMBER(SEARCH("tax",B360)),ISNUMBER(SEARCH("audit",B360))),"Accountant / Finance",OR(ISNUMBER(SEARCH("customer service",B360)),ISNUMBER(SEARCH("customer support",B360)),ISNUMBER(SEARCH("customer care",B360)),ISNUMBER(SEARCH("voice process",B360)),ISNUMBER(SEARCH("bpo",B360))),"Customer Support",ISNUMBER(SEARCH("engineer",B360)),"Engineer (Technical)",ISNUMBER(SEARCH("manager",B360)),"Manager",OR(ISNUMBER(SEARCH("teacher",B360)),ISNUMBER(SEARCH("trainer",B360)),ISNUMBER(SEARCH("faculty",B360))),"Teacher / Trainer",OR(ISNUMBER(SEARCH("doctor",B360)),ISNUMBER(SEARCH("nurse",B360)),ISNUMBER(SEARCH("medical",B360)),ISNUMBER(SEARCH("pharma",B360)),ISNUMBER(SEARCH("clinical",B360))),"Healthcare",TRUE,"Other")</f>
        <v/>
      </c>
      <c r="B289">
        <f>IF(PROPER(TRIM(Raw_Data!D358))="Bangalore","Bengaluru",IF(PROPER(TRIM(Raw_Data!D358))="Gurgaon","Gurugram",IF(OR(PROPER(TRIM(Raw_Data!D358))="New Delhi",PROPER(TRIM(Raw_Data!D358))="Delhi"),"Delhi",PROPER(TRIM(Raw_Data!D358)))))</f>
        <v/>
      </c>
      <c r="C289">
        <f>IF(TRIM(Raw_Data!F358&amp;"")="","Not Specified",Raw_Data!F358)</f>
        <v/>
      </c>
      <c r="D289">
        <f>Raw_Data!H358</f>
        <v/>
      </c>
      <c r="E289">
        <f>Raw_Data!E358</f>
        <v/>
      </c>
    </row>
    <row r="290">
      <c r="A290">
        <f>_xlfn.IFS(ISNUMBER(SEARCH("data analy",B361)),"Data Analyst",ISNUMBER(SEARCH("business analy",B361)),"Business Analyst",OR(ISNUMBER(SEARCH("developer",B361)),ISNUMBER(SEARCH("software engineer",B361)),ISNUMBER(SEARCH("programmer",B361))),"Software Developer",ISNUMBER(SEARCH("business development",B361)),"Business Development",ISNUMBER(SEARCH("sales",B361)),"Sales Executive",ISNUMBER(SEARCH("marketing",B361)),"Marketing Executive",OR(ISNUMBER(SEARCH("hr ",B361)),ISNUMBER(SEARCH("recruit",B361)),ISNUMBER(SEARCH("human resource",B361))),"HR / Recruiter",OR(ISNUMBER(SEARCH("account",B361)),ISNUMBER(SEARCH("finance",B361)),ISNUMBER(SEARCH("tax",B361)),ISNUMBER(SEARCH("audit",B361))),"Accountant / Finance",OR(ISNUMBER(SEARCH("customer service",B361)),ISNUMBER(SEARCH("customer support",B361)),ISNUMBER(SEARCH("customer care",B361)),ISNUMBER(SEARCH("voice process",B361)),ISNUMBER(SEARCH("bpo",B361))),"Customer Support",ISNUMBER(SEARCH("engineer",B361)),"Engineer (Technical)",ISNUMBER(SEARCH("manager",B361)),"Manager",OR(ISNUMBER(SEARCH("teacher",B361)),ISNUMBER(SEARCH("trainer",B361)),ISNUMBER(SEARCH("faculty",B361))),"Teacher / Trainer",OR(ISNUMBER(SEARCH("doctor",B361)),ISNUMBER(SEARCH("nurse",B361)),ISNUMBER(SEARCH("medical",B361)),ISNUMBER(SEARCH("pharma",B361)),ISNUMBER(SEARCH("clinical",B361))),"Healthcare",TRUE,"Other")</f>
        <v/>
      </c>
      <c r="B290">
        <f>IF(PROPER(TRIM(Raw_Data!D359))="Bangalore","Bengaluru",IF(PROPER(TRIM(Raw_Data!D359))="Gurgaon","Gurugram",IF(OR(PROPER(TRIM(Raw_Data!D359))="New Delhi",PROPER(TRIM(Raw_Data!D359))="Delhi"),"Delhi",PROPER(TRIM(Raw_Data!D359)))))</f>
        <v/>
      </c>
      <c r="C290">
        <f>IF(TRIM(Raw_Data!F359&amp;"")="","Not Specified",Raw_Data!F359)</f>
        <v/>
      </c>
      <c r="D290">
        <f>Raw_Data!H359</f>
        <v/>
      </c>
      <c r="E290">
        <f>Raw_Data!E359</f>
        <v/>
      </c>
    </row>
    <row r="291">
      <c r="A291">
        <f>_xlfn.IFS(ISNUMBER(SEARCH("data analy",B362)),"Data Analyst",ISNUMBER(SEARCH("business analy",B362)),"Business Analyst",OR(ISNUMBER(SEARCH("developer",B362)),ISNUMBER(SEARCH("software engineer",B362)),ISNUMBER(SEARCH("programmer",B362))),"Software Developer",ISNUMBER(SEARCH("business development",B362)),"Business Development",ISNUMBER(SEARCH("sales",B362)),"Sales Executive",ISNUMBER(SEARCH("marketing",B362)),"Marketing Executive",OR(ISNUMBER(SEARCH("hr ",B362)),ISNUMBER(SEARCH("recruit",B362)),ISNUMBER(SEARCH("human resource",B362))),"HR / Recruiter",OR(ISNUMBER(SEARCH("account",B362)),ISNUMBER(SEARCH("finance",B362)),ISNUMBER(SEARCH("tax",B362)),ISNUMBER(SEARCH("audit",B362))),"Accountant / Finance",OR(ISNUMBER(SEARCH("customer service",B362)),ISNUMBER(SEARCH("customer support",B362)),ISNUMBER(SEARCH("customer care",B362)),ISNUMBER(SEARCH("voice process",B362)),ISNUMBER(SEARCH("bpo",B362))),"Customer Support",ISNUMBER(SEARCH("engineer",B362)),"Engineer (Technical)",ISNUMBER(SEARCH("manager",B362)),"Manager",OR(ISNUMBER(SEARCH("teacher",B362)),ISNUMBER(SEARCH("trainer",B362)),ISNUMBER(SEARCH("faculty",B362))),"Teacher / Trainer",OR(ISNUMBER(SEARCH("doctor",B362)),ISNUMBER(SEARCH("nurse",B362)),ISNUMBER(SEARCH("medical",B362)),ISNUMBER(SEARCH("pharma",B362)),ISNUMBER(SEARCH("clinical",B362))),"Healthcare",TRUE,"Other")</f>
        <v/>
      </c>
      <c r="B291">
        <f>IF(PROPER(TRIM(Raw_Data!D36))="Bangalore","Bengaluru",IF(PROPER(TRIM(Raw_Data!D36))="Gurgaon","Gurugram",IF(OR(PROPER(TRIM(Raw_Data!D36))="New Delhi",PROPER(TRIM(Raw_Data!D36))="Delhi"),"Delhi",PROPER(TRIM(Raw_Data!D36)))))</f>
        <v/>
      </c>
      <c r="C291">
        <f>IF(TRIM(Raw_Data!F36&amp;"")="","Not Specified",Raw_Data!F36)</f>
        <v/>
      </c>
      <c r="D291">
        <f>Raw_Data!H36</f>
        <v/>
      </c>
      <c r="E291">
        <f>Raw_Data!E36</f>
        <v/>
      </c>
    </row>
    <row r="292">
      <c r="A292">
        <f>_xlfn.IFS(ISNUMBER(SEARCH("data analy",B363)),"Data Analyst",ISNUMBER(SEARCH("business analy",B363)),"Business Analyst",OR(ISNUMBER(SEARCH("developer",B363)),ISNUMBER(SEARCH("software engineer",B363)),ISNUMBER(SEARCH("programmer",B363))),"Software Developer",ISNUMBER(SEARCH("business development",B363)),"Business Development",ISNUMBER(SEARCH("sales",B363)),"Sales Executive",ISNUMBER(SEARCH("marketing",B363)),"Marketing Executive",OR(ISNUMBER(SEARCH("hr ",B363)),ISNUMBER(SEARCH("recruit",B363)),ISNUMBER(SEARCH("human resource",B363))),"HR / Recruiter",OR(ISNUMBER(SEARCH("account",B363)),ISNUMBER(SEARCH("finance",B363)),ISNUMBER(SEARCH("tax",B363)),ISNUMBER(SEARCH("audit",B363))),"Accountant / Finance",OR(ISNUMBER(SEARCH("customer service",B363)),ISNUMBER(SEARCH("customer support",B363)),ISNUMBER(SEARCH("customer care",B363)),ISNUMBER(SEARCH("voice process",B363)),ISNUMBER(SEARCH("bpo",B363))),"Customer Support",ISNUMBER(SEARCH("engineer",B363)),"Engineer (Technical)",ISNUMBER(SEARCH("manager",B363)),"Manager",OR(ISNUMBER(SEARCH("teacher",B363)),ISNUMBER(SEARCH("trainer",B363)),ISNUMBER(SEARCH("faculty",B363))),"Teacher / Trainer",OR(ISNUMBER(SEARCH("doctor",B363)),ISNUMBER(SEARCH("nurse",B363)),ISNUMBER(SEARCH("medical",B363)),ISNUMBER(SEARCH("pharma",B363)),ISNUMBER(SEARCH("clinical",B363))),"Healthcare",TRUE,"Other")</f>
        <v/>
      </c>
      <c r="B292">
        <f>IF(PROPER(TRIM(Raw_Data!D360))="Bangalore","Bengaluru",IF(PROPER(TRIM(Raw_Data!D360))="Gurgaon","Gurugram",IF(OR(PROPER(TRIM(Raw_Data!D360))="New Delhi",PROPER(TRIM(Raw_Data!D360))="Delhi"),"Delhi",PROPER(TRIM(Raw_Data!D360)))))</f>
        <v/>
      </c>
      <c r="C292">
        <f>IF(TRIM(Raw_Data!F360&amp;"")="","Not Specified",Raw_Data!F360)</f>
        <v/>
      </c>
      <c r="D292">
        <f>Raw_Data!H360</f>
        <v/>
      </c>
      <c r="E292">
        <f>Raw_Data!E360</f>
        <v/>
      </c>
    </row>
    <row r="293">
      <c r="A293">
        <f>_xlfn.IFS(ISNUMBER(SEARCH("data analy",B364)),"Data Analyst",ISNUMBER(SEARCH("business analy",B364)),"Business Analyst",OR(ISNUMBER(SEARCH("developer",B364)),ISNUMBER(SEARCH("software engineer",B364)),ISNUMBER(SEARCH("programmer",B364))),"Software Developer",ISNUMBER(SEARCH("business development",B364)),"Business Development",ISNUMBER(SEARCH("sales",B364)),"Sales Executive",ISNUMBER(SEARCH("marketing",B364)),"Marketing Executive",OR(ISNUMBER(SEARCH("hr ",B364)),ISNUMBER(SEARCH("recruit",B364)),ISNUMBER(SEARCH("human resource",B364))),"HR / Recruiter",OR(ISNUMBER(SEARCH("account",B364)),ISNUMBER(SEARCH("finance",B364)),ISNUMBER(SEARCH("tax",B364)),ISNUMBER(SEARCH("audit",B364))),"Accountant / Finance",OR(ISNUMBER(SEARCH("customer service",B364)),ISNUMBER(SEARCH("customer support",B364)),ISNUMBER(SEARCH("customer care",B364)),ISNUMBER(SEARCH("voice process",B364)),ISNUMBER(SEARCH("bpo",B364))),"Customer Support",ISNUMBER(SEARCH("engineer",B364)),"Engineer (Technical)",ISNUMBER(SEARCH("manager",B364)),"Manager",OR(ISNUMBER(SEARCH("teacher",B364)),ISNUMBER(SEARCH("trainer",B364)),ISNUMBER(SEARCH("faculty",B364))),"Teacher / Trainer",OR(ISNUMBER(SEARCH("doctor",B364)),ISNUMBER(SEARCH("nurse",B364)),ISNUMBER(SEARCH("medical",B364)),ISNUMBER(SEARCH("pharma",B364)),ISNUMBER(SEARCH("clinical",B364))),"Healthcare",TRUE,"Other")</f>
        <v/>
      </c>
      <c r="B293">
        <f>IF(PROPER(TRIM(Raw_Data!D361))="Bangalore","Bengaluru",IF(PROPER(TRIM(Raw_Data!D361))="Gurgaon","Gurugram",IF(OR(PROPER(TRIM(Raw_Data!D361))="New Delhi",PROPER(TRIM(Raw_Data!D361))="Delhi"),"Delhi",PROPER(TRIM(Raw_Data!D361)))))</f>
        <v/>
      </c>
      <c r="C293">
        <f>IF(TRIM(Raw_Data!F361&amp;"")="","Not Specified",Raw_Data!F361)</f>
        <v/>
      </c>
      <c r="D293">
        <f>Raw_Data!H361</f>
        <v/>
      </c>
      <c r="E293">
        <f>Raw_Data!E361</f>
        <v/>
      </c>
    </row>
    <row r="294">
      <c r="A294">
        <f>_xlfn.IFS(ISNUMBER(SEARCH("data analy",B365)),"Data Analyst",ISNUMBER(SEARCH("business analy",B365)),"Business Analyst",OR(ISNUMBER(SEARCH("developer",B365)),ISNUMBER(SEARCH("software engineer",B365)),ISNUMBER(SEARCH("programmer",B365))),"Software Developer",ISNUMBER(SEARCH("business development",B365)),"Business Development",ISNUMBER(SEARCH("sales",B365)),"Sales Executive",ISNUMBER(SEARCH("marketing",B365)),"Marketing Executive",OR(ISNUMBER(SEARCH("hr ",B365)),ISNUMBER(SEARCH("recruit",B365)),ISNUMBER(SEARCH("human resource",B365))),"HR / Recruiter",OR(ISNUMBER(SEARCH("account",B365)),ISNUMBER(SEARCH("finance",B365)),ISNUMBER(SEARCH("tax",B365)),ISNUMBER(SEARCH("audit",B365))),"Accountant / Finance",OR(ISNUMBER(SEARCH("customer service",B365)),ISNUMBER(SEARCH("customer support",B365)),ISNUMBER(SEARCH("customer care",B365)),ISNUMBER(SEARCH("voice process",B365)),ISNUMBER(SEARCH("bpo",B365))),"Customer Support",ISNUMBER(SEARCH("engineer",B365)),"Engineer (Technical)",ISNUMBER(SEARCH("manager",B365)),"Manager",OR(ISNUMBER(SEARCH("teacher",B365)),ISNUMBER(SEARCH("trainer",B365)),ISNUMBER(SEARCH("faculty",B365))),"Teacher / Trainer",OR(ISNUMBER(SEARCH("doctor",B365)),ISNUMBER(SEARCH("nurse",B365)),ISNUMBER(SEARCH("medical",B365)),ISNUMBER(SEARCH("pharma",B365)),ISNUMBER(SEARCH("clinical",B365))),"Healthcare",TRUE,"Other")</f>
        <v/>
      </c>
      <c r="B294">
        <f>IF(PROPER(TRIM(Raw_Data!D362))="Bangalore","Bengaluru",IF(PROPER(TRIM(Raw_Data!D362))="Gurgaon","Gurugram",IF(OR(PROPER(TRIM(Raw_Data!D362))="New Delhi",PROPER(TRIM(Raw_Data!D362))="Delhi"),"Delhi",PROPER(TRIM(Raw_Data!D362)))))</f>
        <v/>
      </c>
      <c r="C294">
        <f>IF(TRIM(Raw_Data!F362&amp;"")="","Not Specified",Raw_Data!F362)</f>
        <v/>
      </c>
      <c r="D294">
        <f>Raw_Data!H362</f>
        <v/>
      </c>
      <c r="E294">
        <f>Raw_Data!E362</f>
        <v/>
      </c>
    </row>
    <row r="295">
      <c r="A295">
        <f>_xlfn.IFS(ISNUMBER(SEARCH("data analy",B366)),"Data Analyst",ISNUMBER(SEARCH("business analy",B366)),"Business Analyst",OR(ISNUMBER(SEARCH("developer",B366)),ISNUMBER(SEARCH("software engineer",B366)),ISNUMBER(SEARCH("programmer",B366))),"Software Developer",ISNUMBER(SEARCH("business development",B366)),"Business Development",ISNUMBER(SEARCH("sales",B366)),"Sales Executive",ISNUMBER(SEARCH("marketing",B366)),"Marketing Executive",OR(ISNUMBER(SEARCH("hr ",B366)),ISNUMBER(SEARCH("recruit",B366)),ISNUMBER(SEARCH("human resource",B366))),"HR / Recruiter",OR(ISNUMBER(SEARCH("account",B366)),ISNUMBER(SEARCH("finance",B366)),ISNUMBER(SEARCH("tax",B366)),ISNUMBER(SEARCH("audit",B366))),"Accountant / Finance",OR(ISNUMBER(SEARCH("customer service",B366)),ISNUMBER(SEARCH("customer support",B366)),ISNUMBER(SEARCH("customer care",B366)),ISNUMBER(SEARCH("voice process",B366)),ISNUMBER(SEARCH("bpo",B366))),"Customer Support",ISNUMBER(SEARCH("engineer",B366)),"Engineer (Technical)",ISNUMBER(SEARCH("manager",B366)),"Manager",OR(ISNUMBER(SEARCH("teacher",B366)),ISNUMBER(SEARCH("trainer",B366)),ISNUMBER(SEARCH("faculty",B366))),"Teacher / Trainer",OR(ISNUMBER(SEARCH("doctor",B366)),ISNUMBER(SEARCH("nurse",B366)),ISNUMBER(SEARCH("medical",B366)),ISNUMBER(SEARCH("pharma",B366)),ISNUMBER(SEARCH("clinical",B366))),"Healthcare",TRUE,"Other")</f>
        <v/>
      </c>
      <c r="B295">
        <f>IF(PROPER(TRIM(Raw_Data!D363))="Bangalore","Bengaluru",IF(PROPER(TRIM(Raw_Data!D363))="Gurgaon","Gurugram",IF(OR(PROPER(TRIM(Raw_Data!D363))="New Delhi",PROPER(TRIM(Raw_Data!D363))="Delhi"),"Delhi",PROPER(TRIM(Raw_Data!D363)))))</f>
        <v/>
      </c>
      <c r="C295">
        <f>IF(TRIM(Raw_Data!F363&amp;"")="","Not Specified",Raw_Data!F363)</f>
        <v/>
      </c>
      <c r="D295">
        <f>Raw_Data!H363</f>
        <v/>
      </c>
      <c r="E295">
        <f>Raw_Data!E363</f>
        <v/>
      </c>
    </row>
    <row r="296">
      <c r="A296">
        <f>_xlfn.IFS(ISNUMBER(SEARCH("data analy",B367)),"Data Analyst",ISNUMBER(SEARCH("business analy",B367)),"Business Analyst",OR(ISNUMBER(SEARCH("developer",B367)),ISNUMBER(SEARCH("software engineer",B367)),ISNUMBER(SEARCH("programmer",B367))),"Software Developer",ISNUMBER(SEARCH("business development",B367)),"Business Development",ISNUMBER(SEARCH("sales",B367)),"Sales Executive",ISNUMBER(SEARCH("marketing",B367)),"Marketing Executive",OR(ISNUMBER(SEARCH("hr ",B367)),ISNUMBER(SEARCH("recruit",B367)),ISNUMBER(SEARCH("human resource",B367))),"HR / Recruiter",OR(ISNUMBER(SEARCH("account",B367)),ISNUMBER(SEARCH("finance",B367)),ISNUMBER(SEARCH("tax",B367)),ISNUMBER(SEARCH("audit",B367))),"Accountant / Finance",OR(ISNUMBER(SEARCH("customer service",B367)),ISNUMBER(SEARCH("customer support",B367)),ISNUMBER(SEARCH("customer care",B367)),ISNUMBER(SEARCH("voice process",B367)),ISNUMBER(SEARCH("bpo",B367))),"Customer Support",ISNUMBER(SEARCH("engineer",B367)),"Engineer (Technical)",ISNUMBER(SEARCH("manager",B367)),"Manager",OR(ISNUMBER(SEARCH("teacher",B367)),ISNUMBER(SEARCH("trainer",B367)),ISNUMBER(SEARCH("faculty",B367))),"Teacher / Trainer",OR(ISNUMBER(SEARCH("doctor",B367)),ISNUMBER(SEARCH("nurse",B367)),ISNUMBER(SEARCH("medical",B367)),ISNUMBER(SEARCH("pharma",B367)),ISNUMBER(SEARCH("clinical",B367))),"Healthcare",TRUE,"Other")</f>
        <v/>
      </c>
      <c r="B296">
        <f>IF(PROPER(TRIM(Raw_Data!D364))="Bangalore","Bengaluru",IF(PROPER(TRIM(Raw_Data!D364))="Gurgaon","Gurugram",IF(OR(PROPER(TRIM(Raw_Data!D364))="New Delhi",PROPER(TRIM(Raw_Data!D364))="Delhi"),"Delhi",PROPER(TRIM(Raw_Data!D364)))))</f>
        <v/>
      </c>
      <c r="C296">
        <f>IF(TRIM(Raw_Data!F364&amp;"")="","Not Specified",Raw_Data!F364)</f>
        <v/>
      </c>
      <c r="D296">
        <f>Raw_Data!H364</f>
        <v/>
      </c>
      <c r="E296">
        <f>Raw_Data!E364</f>
        <v/>
      </c>
    </row>
    <row r="297">
      <c r="A297">
        <f>_xlfn.IFS(ISNUMBER(SEARCH("data analy",B368)),"Data Analyst",ISNUMBER(SEARCH("business analy",B368)),"Business Analyst",OR(ISNUMBER(SEARCH("developer",B368)),ISNUMBER(SEARCH("software engineer",B368)),ISNUMBER(SEARCH("programmer",B368))),"Software Developer",ISNUMBER(SEARCH("business development",B368)),"Business Development",ISNUMBER(SEARCH("sales",B368)),"Sales Executive",ISNUMBER(SEARCH("marketing",B368)),"Marketing Executive",OR(ISNUMBER(SEARCH("hr ",B368)),ISNUMBER(SEARCH("recruit",B368)),ISNUMBER(SEARCH("human resource",B368))),"HR / Recruiter",OR(ISNUMBER(SEARCH("account",B368)),ISNUMBER(SEARCH("finance",B368)),ISNUMBER(SEARCH("tax",B368)),ISNUMBER(SEARCH("audit",B368))),"Accountant / Finance",OR(ISNUMBER(SEARCH("customer service",B368)),ISNUMBER(SEARCH("customer support",B368)),ISNUMBER(SEARCH("customer care",B368)),ISNUMBER(SEARCH("voice process",B368)),ISNUMBER(SEARCH("bpo",B368))),"Customer Support",ISNUMBER(SEARCH("engineer",B368)),"Engineer (Technical)",ISNUMBER(SEARCH("manager",B368)),"Manager",OR(ISNUMBER(SEARCH("teacher",B368)),ISNUMBER(SEARCH("trainer",B368)),ISNUMBER(SEARCH("faculty",B368))),"Teacher / Trainer",OR(ISNUMBER(SEARCH("doctor",B368)),ISNUMBER(SEARCH("nurse",B368)),ISNUMBER(SEARCH("medical",B368)),ISNUMBER(SEARCH("pharma",B368)),ISNUMBER(SEARCH("clinical",B368))),"Healthcare",TRUE,"Other")</f>
        <v/>
      </c>
      <c r="B297">
        <f>IF(PROPER(TRIM(Raw_Data!D365))="Bangalore","Bengaluru",IF(PROPER(TRIM(Raw_Data!D365))="Gurgaon","Gurugram",IF(OR(PROPER(TRIM(Raw_Data!D365))="New Delhi",PROPER(TRIM(Raw_Data!D365))="Delhi"),"Delhi",PROPER(TRIM(Raw_Data!D365)))))</f>
        <v/>
      </c>
      <c r="C297">
        <f>IF(TRIM(Raw_Data!F365&amp;"")="","Not Specified",Raw_Data!F365)</f>
        <v/>
      </c>
      <c r="D297">
        <f>Raw_Data!H365</f>
        <v/>
      </c>
      <c r="E297">
        <f>Raw_Data!E365</f>
        <v/>
      </c>
    </row>
    <row r="298">
      <c r="A298">
        <f>_xlfn.IFS(ISNUMBER(SEARCH("data analy",B369)),"Data Analyst",ISNUMBER(SEARCH("business analy",B369)),"Business Analyst",OR(ISNUMBER(SEARCH("developer",B369)),ISNUMBER(SEARCH("software engineer",B369)),ISNUMBER(SEARCH("programmer",B369))),"Software Developer",ISNUMBER(SEARCH("business development",B369)),"Business Development",ISNUMBER(SEARCH("sales",B369)),"Sales Executive",ISNUMBER(SEARCH("marketing",B369)),"Marketing Executive",OR(ISNUMBER(SEARCH("hr ",B369)),ISNUMBER(SEARCH("recruit",B369)),ISNUMBER(SEARCH("human resource",B369))),"HR / Recruiter",OR(ISNUMBER(SEARCH("account",B369)),ISNUMBER(SEARCH("finance",B369)),ISNUMBER(SEARCH("tax",B369)),ISNUMBER(SEARCH("audit",B369))),"Accountant / Finance",OR(ISNUMBER(SEARCH("customer service",B369)),ISNUMBER(SEARCH("customer support",B369)),ISNUMBER(SEARCH("customer care",B369)),ISNUMBER(SEARCH("voice process",B369)),ISNUMBER(SEARCH("bpo",B369))),"Customer Support",ISNUMBER(SEARCH("engineer",B369)),"Engineer (Technical)",ISNUMBER(SEARCH("manager",B369)),"Manager",OR(ISNUMBER(SEARCH("teacher",B369)),ISNUMBER(SEARCH("trainer",B369)),ISNUMBER(SEARCH("faculty",B369))),"Teacher / Trainer",OR(ISNUMBER(SEARCH("doctor",B369)),ISNUMBER(SEARCH("nurse",B369)),ISNUMBER(SEARCH("medical",B369)),ISNUMBER(SEARCH("pharma",B369)),ISNUMBER(SEARCH("clinical",B369))),"Healthcare",TRUE,"Other")</f>
        <v/>
      </c>
      <c r="B298">
        <f>IF(PROPER(TRIM(Raw_Data!D366))="Bangalore","Bengaluru",IF(PROPER(TRIM(Raw_Data!D366))="Gurgaon","Gurugram",IF(OR(PROPER(TRIM(Raw_Data!D366))="New Delhi",PROPER(TRIM(Raw_Data!D366))="Delhi"),"Delhi",PROPER(TRIM(Raw_Data!D366)))))</f>
        <v/>
      </c>
      <c r="C298">
        <f>IF(TRIM(Raw_Data!F366&amp;"")="","Not Specified",Raw_Data!F366)</f>
        <v/>
      </c>
      <c r="D298">
        <f>Raw_Data!H366</f>
        <v/>
      </c>
      <c r="E298">
        <f>Raw_Data!E366</f>
        <v/>
      </c>
    </row>
    <row r="299">
      <c r="A299">
        <f>_xlfn.IFS(ISNUMBER(SEARCH("data analy",B37)),"Data Analyst",ISNUMBER(SEARCH("business analy",B37)),"Business Analyst",OR(ISNUMBER(SEARCH("developer",B37)),ISNUMBER(SEARCH("software engineer",B37)),ISNUMBER(SEARCH("programmer",B37))),"Software Developer",ISNUMBER(SEARCH("business development",B37)),"Business Development",ISNUMBER(SEARCH("sales",B37)),"Sales Executive",ISNUMBER(SEARCH("marketing",B37)),"Marketing Executive",OR(ISNUMBER(SEARCH("hr ",B37)),ISNUMBER(SEARCH("recruit",B37)),ISNUMBER(SEARCH("human resource",B37))),"HR / Recruiter",OR(ISNUMBER(SEARCH("account",B37)),ISNUMBER(SEARCH("finance",B37)),ISNUMBER(SEARCH("tax",B37)),ISNUMBER(SEARCH("audit",B37))),"Accountant / Finance",OR(ISNUMBER(SEARCH("customer service",B37)),ISNUMBER(SEARCH("customer support",B37)),ISNUMBER(SEARCH("customer care",B37)),ISNUMBER(SEARCH("voice process",B37)),ISNUMBER(SEARCH("bpo",B37))),"Customer Support",ISNUMBER(SEARCH("engineer",B37)),"Engineer (Technical)",ISNUMBER(SEARCH("manager",B37)),"Manager",OR(ISNUMBER(SEARCH("teacher",B37)),ISNUMBER(SEARCH("trainer",B37)),ISNUMBER(SEARCH("faculty",B37))),"Teacher / Trainer",OR(ISNUMBER(SEARCH("doctor",B37)),ISNUMBER(SEARCH("nurse",B37)),ISNUMBER(SEARCH("medical",B37)),ISNUMBER(SEARCH("pharma",B37)),ISNUMBER(SEARCH("clinical",B37))),"Healthcare",TRUE,"Other")</f>
        <v/>
      </c>
      <c r="B299">
        <f>IF(PROPER(TRIM(Raw_Data!D367))="Bangalore","Bengaluru",IF(PROPER(TRIM(Raw_Data!D367))="Gurgaon","Gurugram",IF(OR(PROPER(TRIM(Raw_Data!D367))="New Delhi",PROPER(TRIM(Raw_Data!D367))="Delhi"),"Delhi",PROPER(TRIM(Raw_Data!D367)))))</f>
        <v/>
      </c>
      <c r="C299">
        <f>IF(TRIM(Raw_Data!F367&amp;"")="","Not Specified",Raw_Data!F367)</f>
        <v/>
      </c>
      <c r="D299">
        <f>Raw_Data!H367</f>
        <v/>
      </c>
      <c r="E299">
        <f>Raw_Data!E367</f>
        <v/>
      </c>
    </row>
    <row r="300">
      <c r="A300">
        <f>_xlfn.IFS(ISNUMBER(SEARCH("data analy",B370)),"Data Analyst",ISNUMBER(SEARCH("business analy",B370)),"Business Analyst",OR(ISNUMBER(SEARCH("developer",B370)),ISNUMBER(SEARCH("software engineer",B370)),ISNUMBER(SEARCH("programmer",B370))),"Software Developer",ISNUMBER(SEARCH("business development",B370)),"Business Development",ISNUMBER(SEARCH("sales",B370)),"Sales Executive",ISNUMBER(SEARCH("marketing",B370)),"Marketing Executive",OR(ISNUMBER(SEARCH("hr ",B370)),ISNUMBER(SEARCH("recruit",B370)),ISNUMBER(SEARCH("human resource",B370))),"HR / Recruiter",OR(ISNUMBER(SEARCH("account",B370)),ISNUMBER(SEARCH("finance",B370)),ISNUMBER(SEARCH("tax",B370)),ISNUMBER(SEARCH("audit",B370))),"Accountant / Finance",OR(ISNUMBER(SEARCH("customer service",B370)),ISNUMBER(SEARCH("customer support",B370)),ISNUMBER(SEARCH("customer care",B370)),ISNUMBER(SEARCH("voice process",B370)),ISNUMBER(SEARCH("bpo",B370))),"Customer Support",ISNUMBER(SEARCH("engineer",B370)),"Engineer (Technical)",ISNUMBER(SEARCH("manager",B370)),"Manager",OR(ISNUMBER(SEARCH("teacher",B370)),ISNUMBER(SEARCH("trainer",B370)),ISNUMBER(SEARCH("faculty",B370))),"Teacher / Trainer",OR(ISNUMBER(SEARCH("doctor",B370)),ISNUMBER(SEARCH("nurse",B370)),ISNUMBER(SEARCH("medical",B370)),ISNUMBER(SEARCH("pharma",B370)),ISNUMBER(SEARCH("clinical",B370))),"Healthcare",TRUE,"Other")</f>
        <v/>
      </c>
      <c r="B300">
        <f>IF(PROPER(TRIM(Raw_Data!D368))="Bangalore","Bengaluru",IF(PROPER(TRIM(Raw_Data!D368))="Gurgaon","Gurugram",IF(OR(PROPER(TRIM(Raw_Data!D368))="New Delhi",PROPER(TRIM(Raw_Data!D368))="Delhi"),"Delhi",PROPER(TRIM(Raw_Data!D368)))))</f>
        <v/>
      </c>
      <c r="C300">
        <f>IF(TRIM(Raw_Data!F368&amp;"")="","Not Specified",Raw_Data!F368)</f>
        <v/>
      </c>
      <c r="D300">
        <f>Raw_Data!H368</f>
        <v/>
      </c>
      <c r="E300">
        <f>Raw_Data!E368</f>
        <v/>
      </c>
    </row>
    <row r="301">
      <c r="A301">
        <f>_xlfn.IFS(ISNUMBER(SEARCH("data analy",B371)),"Data Analyst",ISNUMBER(SEARCH("business analy",B371)),"Business Analyst",OR(ISNUMBER(SEARCH("developer",B371)),ISNUMBER(SEARCH("software engineer",B371)),ISNUMBER(SEARCH("programmer",B371))),"Software Developer",ISNUMBER(SEARCH("business development",B371)),"Business Development",ISNUMBER(SEARCH("sales",B371)),"Sales Executive",ISNUMBER(SEARCH("marketing",B371)),"Marketing Executive",OR(ISNUMBER(SEARCH("hr ",B371)),ISNUMBER(SEARCH("recruit",B371)),ISNUMBER(SEARCH("human resource",B371))),"HR / Recruiter",OR(ISNUMBER(SEARCH("account",B371)),ISNUMBER(SEARCH("finance",B371)),ISNUMBER(SEARCH("tax",B371)),ISNUMBER(SEARCH("audit",B371))),"Accountant / Finance",OR(ISNUMBER(SEARCH("customer service",B371)),ISNUMBER(SEARCH("customer support",B371)),ISNUMBER(SEARCH("customer care",B371)),ISNUMBER(SEARCH("voice process",B371)),ISNUMBER(SEARCH("bpo",B371))),"Customer Support",ISNUMBER(SEARCH("engineer",B371)),"Engineer (Technical)",ISNUMBER(SEARCH("manager",B371)),"Manager",OR(ISNUMBER(SEARCH("teacher",B371)),ISNUMBER(SEARCH("trainer",B371)),ISNUMBER(SEARCH("faculty",B371))),"Teacher / Trainer",OR(ISNUMBER(SEARCH("doctor",B371)),ISNUMBER(SEARCH("nurse",B371)),ISNUMBER(SEARCH("medical",B371)),ISNUMBER(SEARCH("pharma",B371)),ISNUMBER(SEARCH("clinical",B371))),"Healthcare",TRUE,"Other")</f>
        <v/>
      </c>
      <c r="B301">
        <f>IF(PROPER(TRIM(Raw_Data!D369))="Bangalore","Bengaluru",IF(PROPER(TRIM(Raw_Data!D369))="Gurgaon","Gurugram",IF(OR(PROPER(TRIM(Raw_Data!D369))="New Delhi",PROPER(TRIM(Raw_Data!D369))="Delhi"),"Delhi",PROPER(TRIM(Raw_Data!D369)))))</f>
        <v/>
      </c>
      <c r="C301">
        <f>IF(TRIM(Raw_Data!F369&amp;"")="","Not Specified",Raw_Data!F369)</f>
        <v/>
      </c>
      <c r="D301">
        <f>Raw_Data!H369</f>
        <v/>
      </c>
      <c r="E301">
        <f>Raw_Data!E369</f>
        <v/>
      </c>
    </row>
    <row r="302">
      <c r="A302">
        <f>_xlfn.IFS(ISNUMBER(SEARCH("data analy",B372)),"Data Analyst",ISNUMBER(SEARCH("business analy",B372)),"Business Analyst",OR(ISNUMBER(SEARCH("developer",B372)),ISNUMBER(SEARCH("software engineer",B372)),ISNUMBER(SEARCH("programmer",B372))),"Software Developer",ISNUMBER(SEARCH("business development",B372)),"Business Development",ISNUMBER(SEARCH("sales",B372)),"Sales Executive",ISNUMBER(SEARCH("marketing",B372)),"Marketing Executive",OR(ISNUMBER(SEARCH("hr ",B372)),ISNUMBER(SEARCH("recruit",B372)),ISNUMBER(SEARCH("human resource",B372))),"HR / Recruiter",OR(ISNUMBER(SEARCH("account",B372)),ISNUMBER(SEARCH("finance",B372)),ISNUMBER(SEARCH("tax",B372)),ISNUMBER(SEARCH("audit",B372))),"Accountant / Finance",OR(ISNUMBER(SEARCH("customer service",B372)),ISNUMBER(SEARCH("customer support",B372)),ISNUMBER(SEARCH("customer care",B372)),ISNUMBER(SEARCH("voice process",B372)),ISNUMBER(SEARCH("bpo",B372))),"Customer Support",ISNUMBER(SEARCH("engineer",B372)),"Engineer (Technical)",ISNUMBER(SEARCH("manager",B372)),"Manager",OR(ISNUMBER(SEARCH("teacher",B372)),ISNUMBER(SEARCH("trainer",B372)),ISNUMBER(SEARCH("faculty",B372))),"Teacher / Trainer",OR(ISNUMBER(SEARCH("doctor",B372)),ISNUMBER(SEARCH("nurse",B372)),ISNUMBER(SEARCH("medical",B372)),ISNUMBER(SEARCH("pharma",B372)),ISNUMBER(SEARCH("clinical",B372))),"Healthcare",TRUE,"Other")</f>
        <v/>
      </c>
      <c r="B302">
        <f>IF(PROPER(TRIM(Raw_Data!D37))="Bangalore","Bengaluru",IF(PROPER(TRIM(Raw_Data!D37))="Gurgaon","Gurugram",IF(OR(PROPER(TRIM(Raw_Data!D37))="New Delhi",PROPER(TRIM(Raw_Data!D37))="Delhi"),"Delhi",PROPER(TRIM(Raw_Data!D37)))))</f>
        <v/>
      </c>
      <c r="C302">
        <f>IF(TRIM(Raw_Data!F37&amp;"")="","Not Specified",Raw_Data!F37)</f>
        <v/>
      </c>
      <c r="D302">
        <f>Raw_Data!H37</f>
        <v/>
      </c>
      <c r="E302">
        <f>Raw_Data!E37</f>
        <v/>
      </c>
    </row>
    <row r="303">
      <c r="A303">
        <f>_xlfn.IFS(ISNUMBER(SEARCH("data analy",B373)),"Data Analyst",ISNUMBER(SEARCH("business analy",B373)),"Business Analyst",OR(ISNUMBER(SEARCH("developer",B373)),ISNUMBER(SEARCH("software engineer",B373)),ISNUMBER(SEARCH("programmer",B373))),"Software Developer",ISNUMBER(SEARCH("business development",B373)),"Business Development",ISNUMBER(SEARCH("sales",B373)),"Sales Executive",ISNUMBER(SEARCH("marketing",B373)),"Marketing Executive",OR(ISNUMBER(SEARCH("hr ",B373)),ISNUMBER(SEARCH("recruit",B373)),ISNUMBER(SEARCH("human resource",B373))),"HR / Recruiter",OR(ISNUMBER(SEARCH("account",B373)),ISNUMBER(SEARCH("finance",B373)),ISNUMBER(SEARCH("tax",B373)),ISNUMBER(SEARCH("audit",B373))),"Accountant / Finance",OR(ISNUMBER(SEARCH("customer service",B373)),ISNUMBER(SEARCH("customer support",B373)),ISNUMBER(SEARCH("customer care",B373)),ISNUMBER(SEARCH("voice process",B373)),ISNUMBER(SEARCH("bpo",B373))),"Customer Support",ISNUMBER(SEARCH("engineer",B373)),"Engineer (Technical)",ISNUMBER(SEARCH("manager",B373)),"Manager",OR(ISNUMBER(SEARCH("teacher",B373)),ISNUMBER(SEARCH("trainer",B373)),ISNUMBER(SEARCH("faculty",B373))),"Teacher / Trainer",OR(ISNUMBER(SEARCH("doctor",B373)),ISNUMBER(SEARCH("nurse",B373)),ISNUMBER(SEARCH("medical",B373)),ISNUMBER(SEARCH("pharma",B373)),ISNUMBER(SEARCH("clinical",B373))),"Healthcare",TRUE,"Other")</f>
        <v/>
      </c>
      <c r="B303">
        <f>IF(PROPER(TRIM(Raw_Data!D370))="Bangalore","Bengaluru",IF(PROPER(TRIM(Raw_Data!D370))="Gurgaon","Gurugram",IF(OR(PROPER(TRIM(Raw_Data!D370))="New Delhi",PROPER(TRIM(Raw_Data!D370))="Delhi"),"Delhi",PROPER(TRIM(Raw_Data!D370)))))</f>
        <v/>
      </c>
      <c r="C303">
        <f>IF(TRIM(Raw_Data!F370&amp;"")="","Not Specified",Raw_Data!F370)</f>
        <v/>
      </c>
      <c r="D303">
        <f>Raw_Data!H370</f>
        <v/>
      </c>
      <c r="E303">
        <f>Raw_Data!E370</f>
        <v/>
      </c>
    </row>
    <row r="304">
      <c r="A304">
        <f>_xlfn.IFS(ISNUMBER(SEARCH("data analy",B374)),"Data Analyst",ISNUMBER(SEARCH("business analy",B374)),"Business Analyst",OR(ISNUMBER(SEARCH("developer",B374)),ISNUMBER(SEARCH("software engineer",B374)),ISNUMBER(SEARCH("programmer",B374))),"Software Developer",ISNUMBER(SEARCH("business development",B374)),"Business Development",ISNUMBER(SEARCH("sales",B374)),"Sales Executive",ISNUMBER(SEARCH("marketing",B374)),"Marketing Executive",OR(ISNUMBER(SEARCH("hr ",B374)),ISNUMBER(SEARCH("recruit",B374)),ISNUMBER(SEARCH("human resource",B374))),"HR / Recruiter",OR(ISNUMBER(SEARCH("account",B374)),ISNUMBER(SEARCH("finance",B374)),ISNUMBER(SEARCH("tax",B374)),ISNUMBER(SEARCH("audit",B374))),"Accountant / Finance",OR(ISNUMBER(SEARCH("customer service",B374)),ISNUMBER(SEARCH("customer support",B374)),ISNUMBER(SEARCH("customer care",B374)),ISNUMBER(SEARCH("voice process",B374)),ISNUMBER(SEARCH("bpo",B374))),"Customer Support",ISNUMBER(SEARCH("engineer",B374)),"Engineer (Technical)",ISNUMBER(SEARCH("manager",B374)),"Manager",OR(ISNUMBER(SEARCH("teacher",B374)),ISNUMBER(SEARCH("trainer",B374)),ISNUMBER(SEARCH("faculty",B374))),"Teacher / Trainer",OR(ISNUMBER(SEARCH("doctor",B374)),ISNUMBER(SEARCH("nurse",B374)),ISNUMBER(SEARCH("medical",B374)),ISNUMBER(SEARCH("pharma",B374)),ISNUMBER(SEARCH("clinical",B374))),"Healthcare",TRUE,"Other")</f>
        <v/>
      </c>
      <c r="B304">
        <f>IF(PROPER(TRIM(Raw_Data!D371))="Bangalore","Bengaluru",IF(PROPER(TRIM(Raw_Data!D371))="Gurgaon","Gurugram",IF(OR(PROPER(TRIM(Raw_Data!D371))="New Delhi",PROPER(TRIM(Raw_Data!D371))="Delhi"),"Delhi",PROPER(TRIM(Raw_Data!D371)))))</f>
        <v/>
      </c>
      <c r="C304">
        <f>IF(TRIM(Raw_Data!F371&amp;"")="","Not Specified",Raw_Data!F371)</f>
        <v/>
      </c>
      <c r="D304">
        <f>Raw_Data!H371</f>
        <v/>
      </c>
      <c r="E304">
        <f>Raw_Data!E371</f>
        <v/>
      </c>
    </row>
    <row r="305">
      <c r="A305">
        <f>_xlfn.IFS(ISNUMBER(SEARCH("data analy",B375)),"Data Analyst",ISNUMBER(SEARCH("business analy",B375)),"Business Analyst",OR(ISNUMBER(SEARCH("developer",B375)),ISNUMBER(SEARCH("software engineer",B375)),ISNUMBER(SEARCH("programmer",B375))),"Software Developer",ISNUMBER(SEARCH("business development",B375)),"Business Development",ISNUMBER(SEARCH("sales",B375)),"Sales Executive",ISNUMBER(SEARCH("marketing",B375)),"Marketing Executive",OR(ISNUMBER(SEARCH("hr ",B375)),ISNUMBER(SEARCH("recruit",B375)),ISNUMBER(SEARCH("human resource",B375))),"HR / Recruiter",OR(ISNUMBER(SEARCH("account",B375)),ISNUMBER(SEARCH("finance",B375)),ISNUMBER(SEARCH("tax",B375)),ISNUMBER(SEARCH("audit",B375))),"Accountant / Finance",OR(ISNUMBER(SEARCH("customer service",B375)),ISNUMBER(SEARCH("customer support",B375)),ISNUMBER(SEARCH("customer care",B375)),ISNUMBER(SEARCH("voice process",B375)),ISNUMBER(SEARCH("bpo",B375))),"Customer Support",ISNUMBER(SEARCH("engineer",B375)),"Engineer (Technical)",ISNUMBER(SEARCH("manager",B375)),"Manager",OR(ISNUMBER(SEARCH("teacher",B375)),ISNUMBER(SEARCH("trainer",B375)),ISNUMBER(SEARCH("faculty",B375))),"Teacher / Trainer",OR(ISNUMBER(SEARCH("doctor",B375)),ISNUMBER(SEARCH("nurse",B375)),ISNUMBER(SEARCH("medical",B375)),ISNUMBER(SEARCH("pharma",B375)),ISNUMBER(SEARCH("clinical",B375))),"Healthcare",TRUE,"Other")</f>
        <v/>
      </c>
      <c r="B305">
        <f>IF(PROPER(TRIM(Raw_Data!D372))="Bangalore","Bengaluru",IF(PROPER(TRIM(Raw_Data!D372))="Gurgaon","Gurugram",IF(OR(PROPER(TRIM(Raw_Data!D372))="New Delhi",PROPER(TRIM(Raw_Data!D372))="Delhi"),"Delhi",PROPER(TRIM(Raw_Data!D372)))))</f>
        <v/>
      </c>
      <c r="C305">
        <f>IF(TRIM(Raw_Data!F372&amp;"")="","Not Specified",Raw_Data!F372)</f>
        <v/>
      </c>
      <c r="D305">
        <f>Raw_Data!H372</f>
        <v/>
      </c>
      <c r="E305">
        <f>Raw_Data!E372</f>
        <v/>
      </c>
    </row>
    <row r="306">
      <c r="A306">
        <f>_xlfn.IFS(ISNUMBER(SEARCH("data analy",B376)),"Data Analyst",ISNUMBER(SEARCH("business analy",B376)),"Business Analyst",OR(ISNUMBER(SEARCH("developer",B376)),ISNUMBER(SEARCH("software engineer",B376)),ISNUMBER(SEARCH("programmer",B376))),"Software Developer",ISNUMBER(SEARCH("business development",B376)),"Business Development",ISNUMBER(SEARCH("sales",B376)),"Sales Executive",ISNUMBER(SEARCH("marketing",B376)),"Marketing Executive",OR(ISNUMBER(SEARCH("hr ",B376)),ISNUMBER(SEARCH("recruit",B376)),ISNUMBER(SEARCH("human resource",B376))),"HR / Recruiter",OR(ISNUMBER(SEARCH("account",B376)),ISNUMBER(SEARCH("finance",B376)),ISNUMBER(SEARCH("tax",B376)),ISNUMBER(SEARCH("audit",B376))),"Accountant / Finance",OR(ISNUMBER(SEARCH("customer service",B376)),ISNUMBER(SEARCH("customer support",B376)),ISNUMBER(SEARCH("customer care",B376)),ISNUMBER(SEARCH("voice process",B376)),ISNUMBER(SEARCH("bpo",B376))),"Customer Support",ISNUMBER(SEARCH("engineer",B376)),"Engineer (Technical)",ISNUMBER(SEARCH("manager",B376)),"Manager",OR(ISNUMBER(SEARCH("teacher",B376)),ISNUMBER(SEARCH("trainer",B376)),ISNUMBER(SEARCH("faculty",B376))),"Teacher / Trainer",OR(ISNUMBER(SEARCH("doctor",B376)),ISNUMBER(SEARCH("nurse",B376)),ISNUMBER(SEARCH("medical",B376)),ISNUMBER(SEARCH("pharma",B376)),ISNUMBER(SEARCH("clinical",B376))),"Healthcare",TRUE,"Other")</f>
        <v/>
      </c>
      <c r="B306">
        <f>IF(PROPER(TRIM(Raw_Data!D373))="Bangalore","Bengaluru",IF(PROPER(TRIM(Raw_Data!D373))="Gurgaon","Gurugram",IF(OR(PROPER(TRIM(Raw_Data!D373))="New Delhi",PROPER(TRIM(Raw_Data!D373))="Delhi"),"Delhi",PROPER(TRIM(Raw_Data!D373)))))</f>
        <v/>
      </c>
      <c r="C306">
        <f>IF(TRIM(Raw_Data!F373&amp;"")="","Not Specified",Raw_Data!F373)</f>
        <v/>
      </c>
      <c r="D306">
        <f>Raw_Data!H373</f>
        <v/>
      </c>
      <c r="E306">
        <f>Raw_Data!E373</f>
        <v/>
      </c>
    </row>
    <row r="307">
      <c r="A307">
        <f>_xlfn.IFS(ISNUMBER(SEARCH("data analy",B377)),"Data Analyst",ISNUMBER(SEARCH("business analy",B377)),"Business Analyst",OR(ISNUMBER(SEARCH("developer",B377)),ISNUMBER(SEARCH("software engineer",B377)),ISNUMBER(SEARCH("programmer",B377))),"Software Developer",ISNUMBER(SEARCH("business development",B377)),"Business Development",ISNUMBER(SEARCH("sales",B377)),"Sales Executive",ISNUMBER(SEARCH("marketing",B377)),"Marketing Executive",OR(ISNUMBER(SEARCH("hr ",B377)),ISNUMBER(SEARCH("recruit",B377)),ISNUMBER(SEARCH("human resource",B377))),"HR / Recruiter",OR(ISNUMBER(SEARCH("account",B377)),ISNUMBER(SEARCH("finance",B377)),ISNUMBER(SEARCH("tax",B377)),ISNUMBER(SEARCH("audit",B377))),"Accountant / Finance",OR(ISNUMBER(SEARCH("customer service",B377)),ISNUMBER(SEARCH("customer support",B377)),ISNUMBER(SEARCH("customer care",B377)),ISNUMBER(SEARCH("voice process",B377)),ISNUMBER(SEARCH("bpo",B377))),"Customer Support",ISNUMBER(SEARCH("engineer",B377)),"Engineer (Technical)",ISNUMBER(SEARCH("manager",B377)),"Manager",OR(ISNUMBER(SEARCH("teacher",B377)),ISNUMBER(SEARCH("trainer",B377)),ISNUMBER(SEARCH("faculty",B377))),"Teacher / Trainer",OR(ISNUMBER(SEARCH("doctor",B377)),ISNUMBER(SEARCH("nurse",B377)),ISNUMBER(SEARCH("medical",B377)),ISNUMBER(SEARCH("pharma",B377)),ISNUMBER(SEARCH("clinical",B377))),"Healthcare",TRUE,"Other")</f>
        <v/>
      </c>
      <c r="B307">
        <f>IF(PROPER(TRIM(Raw_Data!D374))="Bangalore","Bengaluru",IF(PROPER(TRIM(Raw_Data!D374))="Gurgaon","Gurugram",IF(OR(PROPER(TRIM(Raw_Data!D374))="New Delhi",PROPER(TRIM(Raw_Data!D374))="Delhi"),"Delhi",PROPER(TRIM(Raw_Data!D374)))))</f>
        <v/>
      </c>
      <c r="C307">
        <f>IF(TRIM(Raw_Data!F374&amp;"")="","Not Specified",Raw_Data!F374)</f>
        <v/>
      </c>
      <c r="D307">
        <f>Raw_Data!H374</f>
        <v/>
      </c>
      <c r="E307">
        <f>Raw_Data!E374</f>
        <v/>
      </c>
    </row>
    <row r="308">
      <c r="A308">
        <f>_xlfn.IFS(ISNUMBER(SEARCH("data analy",B378)),"Data Analyst",ISNUMBER(SEARCH("business analy",B378)),"Business Analyst",OR(ISNUMBER(SEARCH("developer",B378)),ISNUMBER(SEARCH("software engineer",B378)),ISNUMBER(SEARCH("programmer",B378))),"Software Developer",ISNUMBER(SEARCH("business development",B378)),"Business Development",ISNUMBER(SEARCH("sales",B378)),"Sales Executive",ISNUMBER(SEARCH("marketing",B378)),"Marketing Executive",OR(ISNUMBER(SEARCH("hr ",B378)),ISNUMBER(SEARCH("recruit",B378)),ISNUMBER(SEARCH("human resource",B378))),"HR / Recruiter",OR(ISNUMBER(SEARCH("account",B378)),ISNUMBER(SEARCH("finance",B378)),ISNUMBER(SEARCH("tax",B378)),ISNUMBER(SEARCH("audit",B378))),"Accountant / Finance",OR(ISNUMBER(SEARCH("customer service",B378)),ISNUMBER(SEARCH("customer support",B378)),ISNUMBER(SEARCH("customer care",B378)),ISNUMBER(SEARCH("voice process",B378)),ISNUMBER(SEARCH("bpo",B378))),"Customer Support",ISNUMBER(SEARCH("engineer",B378)),"Engineer (Technical)",ISNUMBER(SEARCH("manager",B378)),"Manager",OR(ISNUMBER(SEARCH("teacher",B378)),ISNUMBER(SEARCH("trainer",B378)),ISNUMBER(SEARCH("faculty",B378))),"Teacher / Trainer",OR(ISNUMBER(SEARCH("doctor",B378)),ISNUMBER(SEARCH("nurse",B378)),ISNUMBER(SEARCH("medical",B378)),ISNUMBER(SEARCH("pharma",B378)),ISNUMBER(SEARCH("clinical",B378))),"Healthcare",TRUE,"Other")</f>
        <v/>
      </c>
      <c r="B308">
        <f>IF(PROPER(TRIM(Raw_Data!D375))="Bangalore","Bengaluru",IF(PROPER(TRIM(Raw_Data!D375))="Gurgaon","Gurugram",IF(OR(PROPER(TRIM(Raw_Data!D375))="New Delhi",PROPER(TRIM(Raw_Data!D375))="Delhi"),"Delhi",PROPER(TRIM(Raw_Data!D375)))))</f>
        <v/>
      </c>
      <c r="C308">
        <f>IF(TRIM(Raw_Data!F375&amp;"")="","Not Specified",Raw_Data!F375)</f>
        <v/>
      </c>
      <c r="D308">
        <f>Raw_Data!H375</f>
        <v/>
      </c>
      <c r="E308">
        <f>Raw_Data!E375</f>
        <v/>
      </c>
    </row>
    <row r="309">
      <c r="A309">
        <f>_xlfn.IFS(ISNUMBER(SEARCH("data analy",B379)),"Data Analyst",ISNUMBER(SEARCH("business analy",B379)),"Business Analyst",OR(ISNUMBER(SEARCH("developer",B379)),ISNUMBER(SEARCH("software engineer",B379)),ISNUMBER(SEARCH("programmer",B379))),"Software Developer",ISNUMBER(SEARCH("business development",B379)),"Business Development",ISNUMBER(SEARCH("sales",B379)),"Sales Executive",ISNUMBER(SEARCH("marketing",B379)),"Marketing Executive",OR(ISNUMBER(SEARCH("hr ",B379)),ISNUMBER(SEARCH("recruit",B379)),ISNUMBER(SEARCH("human resource",B379))),"HR / Recruiter",OR(ISNUMBER(SEARCH("account",B379)),ISNUMBER(SEARCH("finance",B379)),ISNUMBER(SEARCH("tax",B379)),ISNUMBER(SEARCH("audit",B379))),"Accountant / Finance",OR(ISNUMBER(SEARCH("customer service",B379)),ISNUMBER(SEARCH("customer support",B379)),ISNUMBER(SEARCH("customer care",B379)),ISNUMBER(SEARCH("voice process",B379)),ISNUMBER(SEARCH("bpo",B379))),"Customer Support",ISNUMBER(SEARCH("engineer",B379)),"Engineer (Technical)",ISNUMBER(SEARCH("manager",B379)),"Manager",OR(ISNUMBER(SEARCH("teacher",B379)),ISNUMBER(SEARCH("trainer",B379)),ISNUMBER(SEARCH("faculty",B379))),"Teacher / Trainer",OR(ISNUMBER(SEARCH("doctor",B379)),ISNUMBER(SEARCH("nurse",B379)),ISNUMBER(SEARCH("medical",B379)),ISNUMBER(SEARCH("pharma",B379)),ISNUMBER(SEARCH("clinical",B379))),"Healthcare",TRUE,"Other")</f>
        <v/>
      </c>
      <c r="B309">
        <f>IF(PROPER(TRIM(Raw_Data!D376))="Bangalore","Bengaluru",IF(PROPER(TRIM(Raw_Data!D376))="Gurgaon","Gurugram",IF(OR(PROPER(TRIM(Raw_Data!D376))="New Delhi",PROPER(TRIM(Raw_Data!D376))="Delhi"),"Delhi",PROPER(TRIM(Raw_Data!D376)))))</f>
        <v/>
      </c>
      <c r="C309">
        <f>IF(TRIM(Raw_Data!F376&amp;"")="","Not Specified",Raw_Data!F376)</f>
        <v/>
      </c>
      <c r="D309">
        <f>Raw_Data!H376</f>
        <v/>
      </c>
      <c r="E309">
        <f>Raw_Data!E376</f>
        <v/>
      </c>
    </row>
    <row r="310">
      <c r="A310">
        <f>_xlfn.IFS(ISNUMBER(SEARCH("data analy",B38)),"Data Analyst",ISNUMBER(SEARCH("business analy",B38)),"Business Analyst",OR(ISNUMBER(SEARCH("developer",B38)),ISNUMBER(SEARCH("software engineer",B38)),ISNUMBER(SEARCH("programmer",B38))),"Software Developer",ISNUMBER(SEARCH("business development",B38)),"Business Development",ISNUMBER(SEARCH("sales",B38)),"Sales Executive",ISNUMBER(SEARCH("marketing",B38)),"Marketing Executive",OR(ISNUMBER(SEARCH("hr ",B38)),ISNUMBER(SEARCH("recruit",B38)),ISNUMBER(SEARCH("human resource",B38))),"HR / Recruiter",OR(ISNUMBER(SEARCH("account",B38)),ISNUMBER(SEARCH("finance",B38)),ISNUMBER(SEARCH("tax",B38)),ISNUMBER(SEARCH("audit",B38))),"Accountant / Finance",OR(ISNUMBER(SEARCH("customer service",B38)),ISNUMBER(SEARCH("customer support",B38)),ISNUMBER(SEARCH("customer care",B38)),ISNUMBER(SEARCH("voice process",B38)),ISNUMBER(SEARCH("bpo",B38))),"Customer Support",ISNUMBER(SEARCH("engineer",B38)),"Engineer (Technical)",ISNUMBER(SEARCH("manager",B38)),"Manager",OR(ISNUMBER(SEARCH("teacher",B38)),ISNUMBER(SEARCH("trainer",B38)),ISNUMBER(SEARCH("faculty",B38))),"Teacher / Trainer",OR(ISNUMBER(SEARCH("doctor",B38)),ISNUMBER(SEARCH("nurse",B38)),ISNUMBER(SEARCH("medical",B38)),ISNUMBER(SEARCH("pharma",B38)),ISNUMBER(SEARCH("clinical",B38))),"Healthcare",TRUE,"Other")</f>
        <v/>
      </c>
      <c r="B310">
        <f>IF(PROPER(TRIM(Raw_Data!D377))="Bangalore","Bengaluru",IF(PROPER(TRIM(Raw_Data!D377))="Gurgaon","Gurugram",IF(OR(PROPER(TRIM(Raw_Data!D377))="New Delhi",PROPER(TRIM(Raw_Data!D377))="Delhi"),"Delhi",PROPER(TRIM(Raw_Data!D377)))))</f>
        <v/>
      </c>
      <c r="C310">
        <f>IF(TRIM(Raw_Data!F377&amp;"")="","Not Specified",Raw_Data!F377)</f>
        <v/>
      </c>
      <c r="D310">
        <f>Raw_Data!H377</f>
        <v/>
      </c>
      <c r="E310">
        <f>Raw_Data!E377</f>
        <v/>
      </c>
    </row>
    <row r="311">
      <c r="A311">
        <f>_xlfn.IFS(ISNUMBER(SEARCH("data analy",B380)),"Data Analyst",ISNUMBER(SEARCH("business analy",B380)),"Business Analyst",OR(ISNUMBER(SEARCH("developer",B380)),ISNUMBER(SEARCH("software engineer",B380)),ISNUMBER(SEARCH("programmer",B380))),"Software Developer",ISNUMBER(SEARCH("business development",B380)),"Business Development",ISNUMBER(SEARCH("sales",B380)),"Sales Executive",ISNUMBER(SEARCH("marketing",B380)),"Marketing Executive",OR(ISNUMBER(SEARCH("hr ",B380)),ISNUMBER(SEARCH("recruit",B380)),ISNUMBER(SEARCH("human resource",B380))),"HR / Recruiter",OR(ISNUMBER(SEARCH("account",B380)),ISNUMBER(SEARCH("finance",B380)),ISNUMBER(SEARCH("tax",B380)),ISNUMBER(SEARCH("audit",B380))),"Accountant / Finance",OR(ISNUMBER(SEARCH("customer service",B380)),ISNUMBER(SEARCH("customer support",B380)),ISNUMBER(SEARCH("customer care",B380)),ISNUMBER(SEARCH("voice process",B380)),ISNUMBER(SEARCH("bpo",B380))),"Customer Support",ISNUMBER(SEARCH("engineer",B380)),"Engineer (Technical)",ISNUMBER(SEARCH("manager",B380)),"Manager",OR(ISNUMBER(SEARCH("teacher",B380)),ISNUMBER(SEARCH("trainer",B380)),ISNUMBER(SEARCH("faculty",B380))),"Teacher / Trainer",OR(ISNUMBER(SEARCH("doctor",B380)),ISNUMBER(SEARCH("nurse",B380)),ISNUMBER(SEARCH("medical",B380)),ISNUMBER(SEARCH("pharma",B380)),ISNUMBER(SEARCH("clinical",B380))),"Healthcare",TRUE,"Other")</f>
        <v/>
      </c>
      <c r="B311">
        <f>IF(PROPER(TRIM(Raw_Data!D378))="Bangalore","Bengaluru",IF(PROPER(TRIM(Raw_Data!D378))="Gurgaon","Gurugram",IF(OR(PROPER(TRIM(Raw_Data!D378))="New Delhi",PROPER(TRIM(Raw_Data!D378))="Delhi"),"Delhi",PROPER(TRIM(Raw_Data!D378)))))</f>
        <v/>
      </c>
      <c r="C311">
        <f>IF(TRIM(Raw_Data!F378&amp;"")="","Not Specified",Raw_Data!F378)</f>
        <v/>
      </c>
      <c r="D311">
        <f>Raw_Data!H378</f>
        <v/>
      </c>
      <c r="E311">
        <f>Raw_Data!E378</f>
        <v/>
      </c>
    </row>
    <row r="312">
      <c r="A312">
        <f>_xlfn.IFS(ISNUMBER(SEARCH("data analy",B381)),"Data Analyst",ISNUMBER(SEARCH("business analy",B381)),"Business Analyst",OR(ISNUMBER(SEARCH("developer",B381)),ISNUMBER(SEARCH("software engineer",B381)),ISNUMBER(SEARCH("programmer",B381))),"Software Developer",ISNUMBER(SEARCH("business development",B381)),"Business Development",ISNUMBER(SEARCH("sales",B381)),"Sales Executive",ISNUMBER(SEARCH("marketing",B381)),"Marketing Executive",OR(ISNUMBER(SEARCH("hr ",B381)),ISNUMBER(SEARCH("recruit",B381)),ISNUMBER(SEARCH("human resource",B381))),"HR / Recruiter",OR(ISNUMBER(SEARCH("account",B381)),ISNUMBER(SEARCH("finance",B381)),ISNUMBER(SEARCH("tax",B381)),ISNUMBER(SEARCH("audit",B381))),"Accountant / Finance",OR(ISNUMBER(SEARCH("customer service",B381)),ISNUMBER(SEARCH("customer support",B381)),ISNUMBER(SEARCH("customer care",B381)),ISNUMBER(SEARCH("voice process",B381)),ISNUMBER(SEARCH("bpo",B381))),"Customer Support",ISNUMBER(SEARCH("engineer",B381)),"Engineer (Technical)",ISNUMBER(SEARCH("manager",B381)),"Manager",OR(ISNUMBER(SEARCH("teacher",B381)),ISNUMBER(SEARCH("trainer",B381)),ISNUMBER(SEARCH("faculty",B381))),"Teacher / Trainer",OR(ISNUMBER(SEARCH("doctor",B381)),ISNUMBER(SEARCH("nurse",B381)),ISNUMBER(SEARCH("medical",B381)),ISNUMBER(SEARCH("pharma",B381)),ISNUMBER(SEARCH("clinical",B381))),"Healthcare",TRUE,"Other")</f>
        <v/>
      </c>
      <c r="B312">
        <f>IF(PROPER(TRIM(Raw_Data!D379))="Bangalore","Bengaluru",IF(PROPER(TRIM(Raw_Data!D379))="Gurgaon","Gurugram",IF(OR(PROPER(TRIM(Raw_Data!D379))="New Delhi",PROPER(TRIM(Raw_Data!D379))="Delhi"),"Delhi",PROPER(TRIM(Raw_Data!D379)))))</f>
        <v/>
      </c>
      <c r="C312">
        <f>IF(TRIM(Raw_Data!F379&amp;"")="","Not Specified",Raw_Data!F379)</f>
        <v/>
      </c>
      <c r="D312">
        <f>Raw_Data!H379</f>
        <v/>
      </c>
      <c r="E312">
        <f>Raw_Data!E379</f>
        <v/>
      </c>
    </row>
    <row r="313">
      <c r="A313">
        <f>_xlfn.IFS(ISNUMBER(SEARCH("data analy",B382)),"Data Analyst",ISNUMBER(SEARCH("business analy",B382)),"Business Analyst",OR(ISNUMBER(SEARCH("developer",B382)),ISNUMBER(SEARCH("software engineer",B382)),ISNUMBER(SEARCH("programmer",B382))),"Software Developer",ISNUMBER(SEARCH("business development",B382)),"Business Development",ISNUMBER(SEARCH("sales",B382)),"Sales Executive",ISNUMBER(SEARCH("marketing",B382)),"Marketing Executive",OR(ISNUMBER(SEARCH("hr ",B382)),ISNUMBER(SEARCH("recruit",B382)),ISNUMBER(SEARCH("human resource",B382))),"HR / Recruiter",OR(ISNUMBER(SEARCH("account",B382)),ISNUMBER(SEARCH("finance",B382)),ISNUMBER(SEARCH("tax",B382)),ISNUMBER(SEARCH("audit",B382))),"Accountant / Finance",OR(ISNUMBER(SEARCH("customer service",B382)),ISNUMBER(SEARCH("customer support",B382)),ISNUMBER(SEARCH("customer care",B382)),ISNUMBER(SEARCH("voice process",B382)),ISNUMBER(SEARCH("bpo",B382))),"Customer Support",ISNUMBER(SEARCH("engineer",B382)),"Engineer (Technical)",ISNUMBER(SEARCH("manager",B382)),"Manager",OR(ISNUMBER(SEARCH("teacher",B382)),ISNUMBER(SEARCH("trainer",B382)),ISNUMBER(SEARCH("faculty",B382))),"Teacher / Trainer",OR(ISNUMBER(SEARCH("doctor",B382)),ISNUMBER(SEARCH("nurse",B382)),ISNUMBER(SEARCH("medical",B382)),ISNUMBER(SEARCH("pharma",B382)),ISNUMBER(SEARCH("clinical",B382))),"Healthcare",TRUE,"Other")</f>
        <v/>
      </c>
      <c r="B313">
        <f>IF(PROPER(TRIM(Raw_Data!D38))="Bangalore","Bengaluru",IF(PROPER(TRIM(Raw_Data!D38))="Gurgaon","Gurugram",IF(OR(PROPER(TRIM(Raw_Data!D38))="New Delhi",PROPER(TRIM(Raw_Data!D38))="Delhi"),"Delhi",PROPER(TRIM(Raw_Data!D38)))))</f>
        <v/>
      </c>
      <c r="C313">
        <f>IF(TRIM(Raw_Data!F38&amp;"")="","Not Specified",Raw_Data!F38)</f>
        <v/>
      </c>
      <c r="D313">
        <f>Raw_Data!H38</f>
        <v/>
      </c>
      <c r="E313">
        <f>Raw_Data!E38</f>
        <v/>
      </c>
    </row>
    <row r="314">
      <c r="A314">
        <f>_xlfn.IFS(ISNUMBER(SEARCH("data analy",B383)),"Data Analyst",ISNUMBER(SEARCH("business analy",B383)),"Business Analyst",OR(ISNUMBER(SEARCH("developer",B383)),ISNUMBER(SEARCH("software engineer",B383)),ISNUMBER(SEARCH("programmer",B383))),"Software Developer",ISNUMBER(SEARCH("business development",B383)),"Business Development",ISNUMBER(SEARCH("sales",B383)),"Sales Executive",ISNUMBER(SEARCH("marketing",B383)),"Marketing Executive",OR(ISNUMBER(SEARCH("hr ",B383)),ISNUMBER(SEARCH("recruit",B383)),ISNUMBER(SEARCH("human resource",B383))),"HR / Recruiter",OR(ISNUMBER(SEARCH("account",B383)),ISNUMBER(SEARCH("finance",B383)),ISNUMBER(SEARCH("tax",B383)),ISNUMBER(SEARCH("audit",B383))),"Accountant / Finance",OR(ISNUMBER(SEARCH("customer service",B383)),ISNUMBER(SEARCH("customer support",B383)),ISNUMBER(SEARCH("customer care",B383)),ISNUMBER(SEARCH("voice process",B383)),ISNUMBER(SEARCH("bpo",B383))),"Customer Support",ISNUMBER(SEARCH("engineer",B383)),"Engineer (Technical)",ISNUMBER(SEARCH("manager",B383)),"Manager",OR(ISNUMBER(SEARCH("teacher",B383)),ISNUMBER(SEARCH("trainer",B383)),ISNUMBER(SEARCH("faculty",B383))),"Teacher / Trainer",OR(ISNUMBER(SEARCH("doctor",B383)),ISNUMBER(SEARCH("nurse",B383)),ISNUMBER(SEARCH("medical",B383)),ISNUMBER(SEARCH("pharma",B383)),ISNUMBER(SEARCH("clinical",B383))),"Healthcare",TRUE,"Other")</f>
        <v/>
      </c>
      <c r="B314">
        <f>IF(PROPER(TRIM(Raw_Data!D380))="Bangalore","Bengaluru",IF(PROPER(TRIM(Raw_Data!D380))="Gurgaon","Gurugram",IF(OR(PROPER(TRIM(Raw_Data!D380))="New Delhi",PROPER(TRIM(Raw_Data!D380))="Delhi"),"Delhi",PROPER(TRIM(Raw_Data!D380)))))</f>
        <v/>
      </c>
      <c r="C314">
        <f>IF(TRIM(Raw_Data!F380&amp;"")="","Not Specified",Raw_Data!F380)</f>
        <v/>
      </c>
      <c r="D314">
        <f>Raw_Data!H380</f>
        <v/>
      </c>
      <c r="E314">
        <f>Raw_Data!E380</f>
        <v/>
      </c>
    </row>
    <row r="315">
      <c r="A315">
        <f>_xlfn.IFS(ISNUMBER(SEARCH("data analy",B384)),"Data Analyst",ISNUMBER(SEARCH("business analy",B384)),"Business Analyst",OR(ISNUMBER(SEARCH("developer",B384)),ISNUMBER(SEARCH("software engineer",B384)),ISNUMBER(SEARCH("programmer",B384))),"Software Developer",ISNUMBER(SEARCH("business development",B384)),"Business Development",ISNUMBER(SEARCH("sales",B384)),"Sales Executive",ISNUMBER(SEARCH("marketing",B384)),"Marketing Executive",OR(ISNUMBER(SEARCH("hr ",B384)),ISNUMBER(SEARCH("recruit",B384)),ISNUMBER(SEARCH("human resource",B384))),"HR / Recruiter",OR(ISNUMBER(SEARCH("account",B384)),ISNUMBER(SEARCH("finance",B384)),ISNUMBER(SEARCH("tax",B384)),ISNUMBER(SEARCH("audit",B384))),"Accountant / Finance",OR(ISNUMBER(SEARCH("customer service",B384)),ISNUMBER(SEARCH("customer support",B384)),ISNUMBER(SEARCH("customer care",B384)),ISNUMBER(SEARCH("voice process",B384)),ISNUMBER(SEARCH("bpo",B384))),"Customer Support",ISNUMBER(SEARCH("engineer",B384)),"Engineer (Technical)",ISNUMBER(SEARCH("manager",B384)),"Manager",OR(ISNUMBER(SEARCH("teacher",B384)),ISNUMBER(SEARCH("trainer",B384)),ISNUMBER(SEARCH("faculty",B384))),"Teacher / Trainer",OR(ISNUMBER(SEARCH("doctor",B384)),ISNUMBER(SEARCH("nurse",B384)),ISNUMBER(SEARCH("medical",B384)),ISNUMBER(SEARCH("pharma",B384)),ISNUMBER(SEARCH("clinical",B384))),"Healthcare",TRUE,"Other")</f>
        <v/>
      </c>
      <c r="B315">
        <f>IF(PROPER(TRIM(Raw_Data!D381))="Bangalore","Bengaluru",IF(PROPER(TRIM(Raw_Data!D381))="Gurgaon","Gurugram",IF(OR(PROPER(TRIM(Raw_Data!D381))="New Delhi",PROPER(TRIM(Raw_Data!D381))="Delhi"),"Delhi",PROPER(TRIM(Raw_Data!D381)))))</f>
        <v/>
      </c>
      <c r="C315">
        <f>IF(TRIM(Raw_Data!F381&amp;"")="","Not Specified",Raw_Data!F381)</f>
        <v/>
      </c>
      <c r="D315">
        <f>Raw_Data!H381</f>
        <v/>
      </c>
      <c r="E315">
        <f>Raw_Data!E381</f>
        <v/>
      </c>
    </row>
    <row r="316">
      <c r="A316">
        <f>_xlfn.IFS(ISNUMBER(SEARCH("data analy",B385)),"Data Analyst",ISNUMBER(SEARCH("business analy",B385)),"Business Analyst",OR(ISNUMBER(SEARCH("developer",B385)),ISNUMBER(SEARCH("software engineer",B385)),ISNUMBER(SEARCH("programmer",B385))),"Software Developer",ISNUMBER(SEARCH("business development",B385)),"Business Development",ISNUMBER(SEARCH("sales",B385)),"Sales Executive",ISNUMBER(SEARCH("marketing",B385)),"Marketing Executive",OR(ISNUMBER(SEARCH("hr ",B385)),ISNUMBER(SEARCH("recruit",B385)),ISNUMBER(SEARCH("human resource",B385))),"HR / Recruiter",OR(ISNUMBER(SEARCH("account",B385)),ISNUMBER(SEARCH("finance",B385)),ISNUMBER(SEARCH("tax",B385)),ISNUMBER(SEARCH("audit",B385))),"Accountant / Finance",OR(ISNUMBER(SEARCH("customer service",B385)),ISNUMBER(SEARCH("customer support",B385)),ISNUMBER(SEARCH("customer care",B385)),ISNUMBER(SEARCH("voice process",B385)),ISNUMBER(SEARCH("bpo",B385))),"Customer Support",ISNUMBER(SEARCH("engineer",B385)),"Engineer (Technical)",ISNUMBER(SEARCH("manager",B385)),"Manager",OR(ISNUMBER(SEARCH("teacher",B385)),ISNUMBER(SEARCH("trainer",B385)),ISNUMBER(SEARCH("faculty",B385))),"Teacher / Trainer",OR(ISNUMBER(SEARCH("doctor",B385)),ISNUMBER(SEARCH("nurse",B385)),ISNUMBER(SEARCH("medical",B385)),ISNUMBER(SEARCH("pharma",B385)),ISNUMBER(SEARCH("clinical",B385))),"Healthcare",TRUE,"Other")</f>
        <v/>
      </c>
      <c r="B316">
        <f>IF(PROPER(TRIM(Raw_Data!D382))="Bangalore","Bengaluru",IF(PROPER(TRIM(Raw_Data!D382))="Gurgaon","Gurugram",IF(OR(PROPER(TRIM(Raw_Data!D382))="New Delhi",PROPER(TRIM(Raw_Data!D382))="Delhi"),"Delhi",PROPER(TRIM(Raw_Data!D382)))))</f>
        <v/>
      </c>
      <c r="C316">
        <f>IF(TRIM(Raw_Data!F382&amp;"")="","Not Specified",Raw_Data!F382)</f>
        <v/>
      </c>
      <c r="D316">
        <f>Raw_Data!H382</f>
        <v/>
      </c>
      <c r="E316">
        <f>Raw_Data!E382</f>
        <v/>
      </c>
    </row>
    <row r="317">
      <c r="A317">
        <f>_xlfn.IFS(ISNUMBER(SEARCH("data analy",B386)),"Data Analyst",ISNUMBER(SEARCH("business analy",B386)),"Business Analyst",OR(ISNUMBER(SEARCH("developer",B386)),ISNUMBER(SEARCH("software engineer",B386)),ISNUMBER(SEARCH("programmer",B386))),"Software Developer",ISNUMBER(SEARCH("business development",B386)),"Business Development",ISNUMBER(SEARCH("sales",B386)),"Sales Executive",ISNUMBER(SEARCH("marketing",B386)),"Marketing Executive",OR(ISNUMBER(SEARCH("hr ",B386)),ISNUMBER(SEARCH("recruit",B386)),ISNUMBER(SEARCH("human resource",B386))),"HR / Recruiter",OR(ISNUMBER(SEARCH("account",B386)),ISNUMBER(SEARCH("finance",B386)),ISNUMBER(SEARCH("tax",B386)),ISNUMBER(SEARCH("audit",B386))),"Accountant / Finance",OR(ISNUMBER(SEARCH("customer service",B386)),ISNUMBER(SEARCH("customer support",B386)),ISNUMBER(SEARCH("customer care",B386)),ISNUMBER(SEARCH("voice process",B386)),ISNUMBER(SEARCH("bpo",B386))),"Customer Support",ISNUMBER(SEARCH("engineer",B386)),"Engineer (Technical)",ISNUMBER(SEARCH("manager",B386)),"Manager",OR(ISNUMBER(SEARCH("teacher",B386)),ISNUMBER(SEARCH("trainer",B386)),ISNUMBER(SEARCH("faculty",B386))),"Teacher / Trainer",OR(ISNUMBER(SEARCH("doctor",B386)),ISNUMBER(SEARCH("nurse",B386)),ISNUMBER(SEARCH("medical",B386)),ISNUMBER(SEARCH("pharma",B386)),ISNUMBER(SEARCH("clinical",B386))),"Healthcare",TRUE,"Other")</f>
        <v/>
      </c>
      <c r="B317">
        <f>IF(PROPER(TRIM(Raw_Data!D383))="Bangalore","Bengaluru",IF(PROPER(TRIM(Raw_Data!D383))="Gurgaon","Gurugram",IF(OR(PROPER(TRIM(Raw_Data!D383))="New Delhi",PROPER(TRIM(Raw_Data!D383))="Delhi"),"Delhi",PROPER(TRIM(Raw_Data!D383)))))</f>
        <v/>
      </c>
      <c r="C317">
        <f>IF(TRIM(Raw_Data!F383&amp;"")="","Not Specified",Raw_Data!F383)</f>
        <v/>
      </c>
      <c r="D317">
        <f>Raw_Data!H383</f>
        <v/>
      </c>
      <c r="E317">
        <f>Raw_Data!E383</f>
        <v/>
      </c>
    </row>
    <row r="318">
      <c r="A318">
        <f>_xlfn.IFS(ISNUMBER(SEARCH("data analy",B387)),"Data Analyst",ISNUMBER(SEARCH("business analy",B387)),"Business Analyst",OR(ISNUMBER(SEARCH("developer",B387)),ISNUMBER(SEARCH("software engineer",B387)),ISNUMBER(SEARCH("programmer",B387))),"Software Developer",ISNUMBER(SEARCH("business development",B387)),"Business Development",ISNUMBER(SEARCH("sales",B387)),"Sales Executive",ISNUMBER(SEARCH("marketing",B387)),"Marketing Executive",OR(ISNUMBER(SEARCH("hr ",B387)),ISNUMBER(SEARCH("recruit",B387)),ISNUMBER(SEARCH("human resource",B387))),"HR / Recruiter",OR(ISNUMBER(SEARCH("account",B387)),ISNUMBER(SEARCH("finance",B387)),ISNUMBER(SEARCH("tax",B387)),ISNUMBER(SEARCH("audit",B387))),"Accountant / Finance",OR(ISNUMBER(SEARCH("customer service",B387)),ISNUMBER(SEARCH("customer support",B387)),ISNUMBER(SEARCH("customer care",B387)),ISNUMBER(SEARCH("voice process",B387)),ISNUMBER(SEARCH("bpo",B387))),"Customer Support",ISNUMBER(SEARCH("engineer",B387)),"Engineer (Technical)",ISNUMBER(SEARCH("manager",B387)),"Manager",OR(ISNUMBER(SEARCH("teacher",B387)),ISNUMBER(SEARCH("trainer",B387)),ISNUMBER(SEARCH("faculty",B387))),"Teacher / Trainer",OR(ISNUMBER(SEARCH("doctor",B387)),ISNUMBER(SEARCH("nurse",B387)),ISNUMBER(SEARCH("medical",B387)),ISNUMBER(SEARCH("pharma",B387)),ISNUMBER(SEARCH("clinical",B387))),"Healthcare",TRUE,"Other")</f>
        <v/>
      </c>
      <c r="B318">
        <f>IF(PROPER(TRIM(Raw_Data!D384))="Bangalore","Bengaluru",IF(PROPER(TRIM(Raw_Data!D384))="Gurgaon","Gurugram",IF(OR(PROPER(TRIM(Raw_Data!D384))="New Delhi",PROPER(TRIM(Raw_Data!D384))="Delhi"),"Delhi",PROPER(TRIM(Raw_Data!D384)))))</f>
        <v/>
      </c>
      <c r="C318">
        <f>IF(TRIM(Raw_Data!F384&amp;"")="","Not Specified",Raw_Data!F384)</f>
        <v/>
      </c>
      <c r="D318">
        <f>Raw_Data!H384</f>
        <v/>
      </c>
      <c r="E318">
        <f>Raw_Data!E384</f>
        <v/>
      </c>
    </row>
    <row r="319">
      <c r="A319">
        <f>_xlfn.IFS(ISNUMBER(SEARCH("data analy",B388)),"Data Analyst",ISNUMBER(SEARCH("business analy",B388)),"Business Analyst",OR(ISNUMBER(SEARCH("developer",B388)),ISNUMBER(SEARCH("software engineer",B388)),ISNUMBER(SEARCH("programmer",B388))),"Software Developer",ISNUMBER(SEARCH("business development",B388)),"Business Development",ISNUMBER(SEARCH("sales",B388)),"Sales Executive",ISNUMBER(SEARCH("marketing",B388)),"Marketing Executive",OR(ISNUMBER(SEARCH("hr ",B388)),ISNUMBER(SEARCH("recruit",B388)),ISNUMBER(SEARCH("human resource",B388))),"HR / Recruiter",OR(ISNUMBER(SEARCH("account",B388)),ISNUMBER(SEARCH("finance",B388)),ISNUMBER(SEARCH("tax",B388)),ISNUMBER(SEARCH("audit",B388))),"Accountant / Finance",OR(ISNUMBER(SEARCH("customer service",B388)),ISNUMBER(SEARCH("customer support",B388)),ISNUMBER(SEARCH("customer care",B388)),ISNUMBER(SEARCH("voice process",B388)),ISNUMBER(SEARCH("bpo",B388))),"Customer Support",ISNUMBER(SEARCH("engineer",B388)),"Engineer (Technical)",ISNUMBER(SEARCH("manager",B388)),"Manager",OR(ISNUMBER(SEARCH("teacher",B388)),ISNUMBER(SEARCH("trainer",B388)),ISNUMBER(SEARCH("faculty",B388))),"Teacher / Trainer",OR(ISNUMBER(SEARCH("doctor",B388)),ISNUMBER(SEARCH("nurse",B388)),ISNUMBER(SEARCH("medical",B388)),ISNUMBER(SEARCH("pharma",B388)),ISNUMBER(SEARCH("clinical",B388))),"Healthcare",TRUE,"Other")</f>
        <v/>
      </c>
      <c r="B319">
        <f>IF(PROPER(TRIM(Raw_Data!D385))="Bangalore","Bengaluru",IF(PROPER(TRIM(Raw_Data!D385))="Gurgaon","Gurugram",IF(OR(PROPER(TRIM(Raw_Data!D385))="New Delhi",PROPER(TRIM(Raw_Data!D385))="Delhi"),"Delhi",PROPER(TRIM(Raw_Data!D385)))))</f>
        <v/>
      </c>
      <c r="C319">
        <f>IF(TRIM(Raw_Data!F385&amp;"")="","Not Specified",Raw_Data!F385)</f>
        <v/>
      </c>
      <c r="D319">
        <f>Raw_Data!H385</f>
        <v/>
      </c>
      <c r="E319">
        <f>Raw_Data!E385</f>
        <v/>
      </c>
    </row>
    <row r="320">
      <c r="A320">
        <f>_xlfn.IFS(ISNUMBER(SEARCH("data analy",B389)),"Data Analyst",ISNUMBER(SEARCH("business analy",B389)),"Business Analyst",OR(ISNUMBER(SEARCH("developer",B389)),ISNUMBER(SEARCH("software engineer",B389)),ISNUMBER(SEARCH("programmer",B389))),"Software Developer",ISNUMBER(SEARCH("business development",B389)),"Business Development",ISNUMBER(SEARCH("sales",B389)),"Sales Executive",ISNUMBER(SEARCH("marketing",B389)),"Marketing Executive",OR(ISNUMBER(SEARCH("hr ",B389)),ISNUMBER(SEARCH("recruit",B389)),ISNUMBER(SEARCH("human resource",B389))),"HR / Recruiter",OR(ISNUMBER(SEARCH("account",B389)),ISNUMBER(SEARCH("finance",B389)),ISNUMBER(SEARCH("tax",B389)),ISNUMBER(SEARCH("audit",B389))),"Accountant / Finance",OR(ISNUMBER(SEARCH("customer service",B389)),ISNUMBER(SEARCH("customer support",B389)),ISNUMBER(SEARCH("customer care",B389)),ISNUMBER(SEARCH("voice process",B389)),ISNUMBER(SEARCH("bpo",B389))),"Customer Support",ISNUMBER(SEARCH("engineer",B389)),"Engineer (Technical)",ISNUMBER(SEARCH("manager",B389)),"Manager",OR(ISNUMBER(SEARCH("teacher",B389)),ISNUMBER(SEARCH("trainer",B389)),ISNUMBER(SEARCH("faculty",B389))),"Teacher / Trainer",OR(ISNUMBER(SEARCH("doctor",B389)),ISNUMBER(SEARCH("nurse",B389)),ISNUMBER(SEARCH("medical",B389)),ISNUMBER(SEARCH("pharma",B389)),ISNUMBER(SEARCH("clinical",B389))),"Healthcare",TRUE,"Other")</f>
        <v/>
      </c>
      <c r="B320">
        <f>IF(PROPER(TRIM(Raw_Data!D386))="Bangalore","Bengaluru",IF(PROPER(TRIM(Raw_Data!D386))="Gurgaon","Gurugram",IF(OR(PROPER(TRIM(Raw_Data!D386))="New Delhi",PROPER(TRIM(Raw_Data!D386))="Delhi"),"Delhi",PROPER(TRIM(Raw_Data!D386)))))</f>
        <v/>
      </c>
      <c r="C320">
        <f>IF(TRIM(Raw_Data!F386&amp;"")="","Not Specified",Raw_Data!F386)</f>
        <v/>
      </c>
      <c r="D320">
        <f>Raw_Data!H386</f>
        <v/>
      </c>
      <c r="E320">
        <f>Raw_Data!E386</f>
        <v/>
      </c>
    </row>
    <row r="321">
      <c r="A321">
        <f>_xlfn.IFS(ISNUMBER(SEARCH("data analy",B39)),"Data Analyst",ISNUMBER(SEARCH("business analy",B39)),"Business Analyst",OR(ISNUMBER(SEARCH("developer",B39)),ISNUMBER(SEARCH("software engineer",B39)),ISNUMBER(SEARCH("programmer",B39))),"Software Developer",ISNUMBER(SEARCH("business development",B39)),"Business Development",ISNUMBER(SEARCH("sales",B39)),"Sales Executive",ISNUMBER(SEARCH("marketing",B39)),"Marketing Executive",OR(ISNUMBER(SEARCH("hr ",B39)),ISNUMBER(SEARCH("recruit",B39)),ISNUMBER(SEARCH("human resource",B39))),"HR / Recruiter",OR(ISNUMBER(SEARCH("account",B39)),ISNUMBER(SEARCH("finance",B39)),ISNUMBER(SEARCH("tax",B39)),ISNUMBER(SEARCH("audit",B39))),"Accountant / Finance",OR(ISNUMBER(SEARCH("customer service",B39)),ISNUMBER(SEARCH("customer support",B39)),ISNUMBER(SEARCH("customer care",B39)),ISNUMBER(SEARCH("voice process",B39)),ISNUMBER(SEARCH("bpo",B39))),"Customer Support",ISNUMBER(SEARCH("engineer",B39)),"Engineer (Technical)",ISNUMBER(SEARCH("manager",B39)),"Manager",OR(ISNUMBER(SEARCH("teacher",B39)),ISNUMBER(SEARCH("trainer",B39)),ISNUMBER(SEARCH("faculty",B39))),"Teacher / Trainer",OR(ISNUMBER(SEARCH("doctor",B39)),ISNUMBER(SEARCH("nurse",B39)),ISNUMBER(SEARCH("medical",B39)),ISNUMBER(SEARCH("pharma",B39)),ISNUMBER(SEARCH("clinical",B39))),"Healthcare",TRUE,"Other")</f>
        <v/>
      </c>
      <c r="B321">
        <f>IF(PROPER(TRIM(Raw_Data!D387))="Bangalore","Bengaluru",IF(PROPER(TRIM(Raw_Data!D387))="Gurgaon","Gurugram",IF(OR(PROPER(TRIM(Raw_Data!D387))="New Delhi",PROPER(TRIM(Raw_Data!D387))="Delhi"),"Delhi",PROPER(TRIM(Raw_Data!D387)))))</f>
        <v/>
      </c>
      <c r="C321">
        <f>IF(TRIM(Raw_Data!F387&amp;"")="","Not Specified",Raw_Data!F387)</f>
        <v/>
      </c>
      <c r="D321">
        <f>Raw_Data!H387</f>
        <v/>
      </c>
      <c r="E321">
        <f>Raw_Data!E387</f>
        <v/>
      </c>
    </row>
    <row r="322">
      <c r="A322">
        <f>_xlfn.IFS(ISNUMBER(SEARCH("data analy",B390)),"Data Analyst",ISNUMBER(SEARCH("business analy",B390)),"Business Analyst",OR(ISNUMBER(SEARCH("developer",B390)),ISNUMBER(SEARCH("software engineer",B390)),ISNUMBER(SEARCH("programmer",B390))),"Software Developer",ISNUMBER(SEARCH("business development",B390)),"Business Development",ISNUMBER(SEARCH("sales",B390)),"Sales Executive",ISNUMBER(SEARCH("marketing",B390)),"Marketing Executive",OR(ISNUMBER(SEARCH("hr ",B390)),ISNUMBER(SEARCH("recruit",B390)),ISNUMBER(SEARCH("human resource",B390))),"HR / Recruiter",OR(ISNUMBER(SEARCH("account",B390)),ISNUMBER(SEARCH("finance",B390)),ISNUMBER(SEARCH("tax",B390)),ISNUMBER(SEARCH("audit",B390))),"Accountant / Finance",OR(ISNUMBER(SEARCH("customer service",B390)),ISNUMBER(SEARCH("customer support",B390)),ISNUMBER(SEARCH("customer care",B390)),ISNUMBER(SEARCH("voice process",B390)),ISNUMBER(SEARCH("bpo",B390))),"Customer Support",ISNUMBER(SEARCH("engineer",B390)),"Engineer (Technical)",ISNUMBER(SEARCH("manager",B390)),"Manager",OR(ISNUMBER(SEARCH("teacher",B390)),ISNUMBER(SEARCH("trainer",B390)),ISNUMBER(SEARCH("faculty",B390))),"Teacher / Trainer",OR(ISNUMBER(SEARCH("doctor",B390)),ISNUMBER(SEARCH("nurse",B390)),ISNUMBER(SEARCH("medical",B390)),ISNUMBER(SEARCH("pharma",B390)),ISNUMBER(SEARCH("clinical",B390))),"Healthcare",TRUE,"Other")</f>
        <v/>
      </c>
      <c r="B322">
        <f>IF(PROPER(TRIM(Raw_Data!D388))="Bangalore","Bengaluru",IF(PROPER(TRIM(Raw_Data!D388))="Gurgaon","Gurugram",IF(OR(PROPER(TRIM(Raw_Data!D388))="New Delhi",PROPER(TRIM(Raw_Data!D388))="Delhi"),"Delhi",PROPER(TRIM(Raw_Data!D388)))))</f>
        <v/>
      </c>
      <c r="C322">
        <f>IF(TRIM(Raw_Data!F388&amp;"")="","Not Specified",Raw_Data!F388)</f>
        <v/>
      </c>
      <c r="D322">
        <f>Raw_Data!H388</f>
        <v/>
      </c>
      <c r="E322">
        <f>Raw_Data!E388</f>
        <v/>
      </c>
    </row>
    <row r="323">
      <c r="A323">
        <f>_xlfn.IFS(ISNUMBER(SEARCH("data analy",B391)),"Data Analyst",ISNUMBER(SEARCH("business analy",B391)),"Business Analyst",OR(ISNUMBER(SEARCH("developer",B391)),ISNUMBER(SEARCH("software engineer",B391)),ISNUMBER(SEARCH("programmer",B391))),"Software Developer",ISNUMBER(SEARCH("business development",B391)),"Business Development",ISNUMBER(SEARCH("sales",B391)),"Sales Executive",ISNUMBER(SEARCH("marketing",B391)),"Marketing Executive",OR(ISNUMBER(SEARCH("hr ",B391)),ISNUMBER(SEARCH("recruit",B391)),ISNUMBER(SEARCH("human resource",B391))),"HR / Recruiter",OR(ISNUMBER(SEARCH("account",B391)),ISNUMBER(SEARCH("finance",B391)),ISNUMBER(SEARCH("tax",B391)),ISNUMBER(SEARCH("audit",B391))),"Accountant / Finance",OR(ISNUMBER(SEARCH("customer service",B391)),ISNUMBER(SEARCH("customer support",B391)),ISNUMBER(SEARCH("customer care",B391)),ISNUMBER(SEARCH("voice process",B391)),ISNUMBER(SEARCH("bpo",B391))),"Customer Support",ISNUMBER(SEARCH("engineer",B391)),"Engineer (Technical)",ISNUMBER(SEARCH("manager",B391)),"Manager",OR(ISNUMBER(SEARCH("teacher",B391)),ISNUMBER(SEARCH("trainer",B391)),ISNUMBER(SEARCH("faculty",B391))),"Teacher / Trainer",OR(ISNUMBER(SEARCH("doctor",B391)),ISNUMBER(SEARCH("nurse",B391)),ISNUMBER(SEARCH("medical",B391)),ISNUMBER(SEARCH("pharma",B391)),ISNUMBER(SEARCH("clinical",B391))),"Healthcare",TRUE,"Other")</f>
        <v/>
      </c>
      <c r="B323">
        <f>IF(PROPER(TRIM(Raw_Data!D389))="Bangalore","Bengaluru",IF(PROPER(TRIM(Raw_Data!D389))="Gurgaon","Gurugram",IF(OR(PROPER(TRIM(Raw_Data!D389))="New Delhi",PROPER(TRIM(Raw_Data!D389))="Delhi"),"Delhi",PROPER(TRIM(Raw_Data!D389)))))</f>
        <v/>
      </c>
      <c r="C323">
        <f>IF(TRIM(Raw_Data!F389&amp;"")="","Not Specified",Raw_Data!F389)</f>
        <v/>
      </c>
      <c r="D323">
        <f>Raw_Data!H389</f>
        <v/>
      </c>
      <c r="E323">
        <f>Raw_Data!E389</f>
        <v/>
      </c>
    </row>
    <row r="324">
      <c r="A324">
        <f>_xlfn.IFS(ISNUMBER(SEARCH("data analy",B392)),"Data Analyst",ISNUMBER(SEARCH("business analy",B392)),"Business Analyst",OR(ISNUMBER(SEARCH("developer",B392)),ISNUMBER(SEARCH("software engineer",B392)),ISNUMBER(SEARCH("programmer",B392))),"Software Developer",ISNUMBER(SEARCH("business development",B392)),"Business Development",ISNUMBER(SEARCH("sales",B392)),"Sales Executive",ISNUMBER(SEARCH("marketing",B392)),"Marketing Executive",OR(ISNUMBER(SEARCH("hr ",B392)),ISNUMBER(SEARCH("recruit",B392)),ISNUMBER(SEARCH("human resource",B392))),"HR / Recruiter",OR(ISNUMBER(SEARCH("account",B392)),ISNUMBER(SEARCH("finance",B392)),ISNUMBER(SEARCH("tax",B392)),ISNUMBER(SEARCH("audit",B392))),"Accountant / Finance",OR(ISNUMBER(SEARCH("customer service",B392)),ISNUMBER(SEARCH("customer support",B392)),ISNUMBER(SEARCH("customer care",B392)),ISNUMBER(SEARCH("voice process",B392)),ISNUMBER(SEARCH("bpo",B392))),"Customer Support",ISNUMBER(SEARCH("engineer",B392)),"Engineer (Technical)",ISNUMBER(SEARCH("manager",B392)),"Manager",OR(ISNUMBER(SEARCH("teacher",B392)),ISNUMBER(SEARCH("trainer",B392)),ISNUMBER(SEARCH("faculty",B392))),"Teacher / Trainer",OR(ISNUMBER(SEARCH("doctor",B392)),ISNUMBER(SEARCH("nurse",B392)),ISNUMBER(SEARCH("medical",B392)),ISNUMBER(SEARCH("pharma",B392)),ISNUMBER(SEARCH("clinical",B392))),"Healthcare",TRUE,"Other")</f>
        <v/>
      </c>
      <c r="B324">
        <f>IF(PROPER(TRIM(Raw_Data!D39))="Bangalore","Bengaluru",IF(PROPER(TRIM(Raw_Data!D39))="Gurgaon","Gurugram",IF(OR(PROPER(TRIM(Raw_Data!D39))="New Delhi",PROPER(TRIM(Raw_Data!D39))="Delhi"),"Delhi",PROPER(TRIM(Raw_Data!D39)))))</f>
        <v/>
      </c>
      <c r="C324">
        <f>IF(TRIM(Raw_Data!F39&amp;"")="","Not Specified",Raw_Data!F39)</f>
        <v/>
      </c>
      <c r="D324">
        <f>Raw_Data!H39</f>
        <v/>
      </c>
      <c r="E324">
        <f>Raw_Data!E39</f>
        <v/>
      </c>
    </row>
    <row r="325">
      <c r="A325">
        <f>_xlfn.IFS(ISNUMBER(SEARCH("data analy",B393)),"Data Analyst",ISNUMBER(SEARCH("business analy",B393)),"Business Analyst",OR(ISNUMBER(SEARCH("developer",B393)),ISNUMBER(SEARCH("software engineer",B393)),ISNUMBER(SEARCH("programmer",B393))),"Software Developer",ISNUMBER(SEARCH("business development",B393)),"Business Development",ISNUMBER(SEARCH("sales",B393)),"Sales Executive",ISNUMBER(SEARCH("marketing",B393)),"Marketing Executive",OR(ISNUMBER(SEARCH("hr ",B393)),ISNUMBER(SEARCH("recruit",B393)),ISNUMBER(SEARCH("human resource",B393))),"HR / Recruiter",OR(ISNUMBER(SEARCH("account",B393)),ISNUMBER(SEARCH("finance",B393)),ISNUMBER(SEARCH("tax",B393)),ISNUMBER(SEARCH("audit",B393))),"Accountant / Finance",OR(ISNUMBER(SEARCH("customer service",B393)),ISNUMBER(SEARCH("customer support",B393)),ISNUMBER(SEARCH("customer care",B393)),ISNUMBER(SEARCH("voice process",B393)),ISNUMBER(SEARCH("bpo",B393))),"Customer Support",ISNUMBER(SEARCH("engineer",B393)),"Engineer (Technical)",ISNUMBER(SEARCH("manager",B393)),"Manager",OR(ISNUMBER(SEARCH("teacher",B393)),ISNUMBER(SEARCH("trainer",B393)),ISNUMBER(SEARCH("faculty",B393))),"Teacher / Trainer",OR(ISNUMBER(SEARCH("doctor",B393)),ISNUMBER(SEARCH("nurse",B393)),ISNUMBER(SEARCH("medical",B393)),ISNUMBER(SEARCH("pharma",B393)),ISNUMBER(SEARCH("clinical",B393))),"Healthcare",TRUE,"Other")</f>
        <v/>
      </c>
      <c r="B325">
        <f>IF(PROPER(TRIM(Raw_Data!D390))="Bangalore","Bengaluru",IF(PROPER(TRIM(Raw_Data!D390))="Gurgaon","Gurugram",IF(OR(PROPER(TRIM(Raw_Data!D390))="New Delhi",PROPER(TRIM(Raw_Data!D390))="Delhi"),"Delhi",PROPER(TRIM(Raw_Data!D390)))))</f>
        <v/>
      </c>
      <c r="C325">
        <f>IF(TRIM(Raw_Data!F390&amp;"")="","Not Specified",Raw_Data!F390)</f>
        <v/>
      </c>
      <c r="D325">
        <f>Raw_Data!H390</f>
        <v/>
      </c>
      <c r="E325">
        <f>Raw_Data!E390</f>
        <v/>
      </c>
    </row>
    <row r="326">
      <c r="A326">
        <f>_xlfn.IFS(ISNUMBER(SEARCH("data analy",B394)),"Data Analyst",ISNUMBER(SEARCH("business analy",B394)),"Business Analyst",OR(ISNUMBER(SEARCH("developer",B394)),ISNUMBER(SEARCH("software engineer",B394)),ISNUMBER(SEARCH("programmer",B394))),"Software Developer",ISNUMBER(SEARCH("business development",B394)),"Business Development",ISNUMBER(SEARCH("sales",B394)),"Sales Executive",ISNUMBER(SEARCH("marketing",B394)),"Marketing Executive",OR(ISNUMBER(SEARCH("hr ",B394)),ISNUMBER(SEARCH("recruit",B394)),ISNUMBER(SEARCH("human resource",B394))),"HR / Recruiter",OR(ISNUMBER(SEARCH("account",B394)),ISNUMBER(SEARCH("finance",B394)),ISNUMBER(SEARCH("tax",B394)),ISNUMBER(SEARCH("audit",B394))),"Accountant / Finance",OR(ISNUMBER(SEARCH("customer service",B394)),ISNUMBER(SEARCH("customer support",B394)),ISNUMBER(SEARCH("customer care",B394)),ISNUMBER(SEARCH("voice process",B394)),ISNUMBER(SEARCH("bpo",B394))),"Customer Support",ISNUMBER(SEARCH("engineer",B394)),"Engineer (Technical)",ISNUMBER(SEARCH("manager",B394)),"Manager",OR(ISNUMBER(SEARCH("teacher",B394)),ISNUMBER(SEARCH("trainer",B394)),ISNUMBER(SEARCH("faculty",B394))),"Teacher / Trainer",OR(ISNUMBER(SEARCH("doctor",B394)),ISNUMBER(SEARCH("nurse",B394)),ISNUMBER(SEARCH("medical",B394)),ISNUMBER(SEARCH("pharma",B394)),ISNUMBER(SEARCH("clinical",B394))),"Healthcare",TRUE,"Other")</f>
        <v/>
      </c>
      <c r="B326">
        <f>IF(PROPER(TRIM(Raw_Data!D391))="Bangalore","Bengaluru",IF(PROPER(TRIM(Raw_Data!D391))="Gurgaon","Gurugram",IF(OR(PROPER(TRIM(Raw_Data!D391))="New Delhi",PROPER(TRIM(Raw_Data!D391))="Delhi"),"Delhi",PROPER(TRIM(Raw_Data!D391)))))</f>
        <v/>
      </c>
      <c r="C326">
        <f>IF(TRIM(Raw_Data!F391&amp;"")="","Not Specified",Raw_Data!F391)</f>
        <v/>
      </c>
      <c r="D326">
        <f>Raw_Data!H391</f>
        <v/>
      </c>
      <c r="E326">
        <f>Raw_Data!E391</f>
        <v/>
      </c>
    </row>
    <row r="327">
      <c r="A327">
        <f>_xlfn.IFS(ISNUMBER(SEARCH("data analy",B395)),"Data Analyst",ISNUMBER(SEARCH("business analy",B395)),"Business Analyst",OR(ISNUMBER(SEARCH("developer",B395)),ISNUMBER(SEARCH("software engineer",B395)),ISNUMBER(SEARCH("programmer",B395))),"Software Developer",ISNUMBER(SEARCH("business development",B395)),"Business Development",ISNUMBER(SEARCH("sales",B395)),"Sales Executive",ISNUMBER(SEARCH("marketing",B395)),"Marketing Executive",OR(ISNUMBER(SEARCH("hr ",B395)),ISNUMBER(SEARCH("recruit",B395)),ISNUMBER(SEARCH("human resource",B395))),"HR / Recruiter",OR(ISNUMBER(SEARCH("account",B395)),ISNUMBER(SEARCH("finance",B395)),ISNUMBER(SEARCH("tax",B395)),ISNUMBER(SEARCH("audit",B395))),"Accountant / Finance",OR(ISNUMBER(SEARCH("customer service",B395)),ISNUMBER(SEARCH("customer support",B395)),ISNUMBER(SEARCH("customer care",B395)),ISNUMBER(SEARCH("voice process",B395)),ISNUMBER(SEARCH("bpo",B395))),"Customer Support",ISNUMBER(SEARCH("engineer",B395)),"Engineer (Technical)",ISNUMBER(SEARCH("manager",B395)),"Manager",OR(ISNUMBER(SEARCH("teacher",B395)),ISNUMBER(SEARCH("trainer",B395)),ISNUMBER(SEARCH("faculty",B395))),"Teacher / Trainer",OR(ISNUMBER(SEARCH("doctor",B395)),ISNUMBER(SEARCH("nurse",B395)),ISNUMBER(SEARCH("medical",B395)),ISNUMBER(SEARCH("pharma",B395)),ISNUMBER(SEARCH("clinical",B395))),"Healthcare",TRUE,"Other")</f>
        <v/>
      </c>
      <c r="B327">
        <f>IF(PROPER(TRIM(Raw_Data!D392))="Bangalore","Bengaluru",IF(PROPER(TRIM(Raw_Data!D392))="Gurgaon","Gurugram",IF(OR(PROPER(TRIM(Raw_Data!D392))="New Delhi",PROPER(TRIM(Raw_Data!D392))="Delhi"),"Delhi",PROPER(TRIM(Raw_Data!D392)))))</f>
        <v/>
      </c>
      <c r="C327">
        <f>IF(TRIM(Raw_Data!F392&amp;"")="","Not Specified",Raw_Data!F392)</f>
        <v/>
      </c>
      <c r="D327">
        <f>Raw_Data!H392</f>
        <v/>
      </c>
      <c r="E327">
        <f>Raw_Data!E392</f>
        <v/>
      </c>
    </row>
    <row r="328">
      <c r="A328">
        <f>_xlfn.IFS(ISNUMBER(SEARCH("data analy",B396)),"Data Analyst",ISNUMBER(SEARCH("business analy",B396)),"Business Analyst",OR(ISNUMBER(SEARCH("developer",B396)),ISNUMBER(SEARCH("software engineer",B396)),ISNUMBER(SEARCH("programmer",B396))),"Software Developer",ISNUMBER(SEARCH("business development",B396)),"Business Development",ISNUMBER(SEARCH("sales",B396)),"Sales Executive",ISNUMBER(SEARCH("marketing",B396)),"Marketing Executive",OR(ISNUMBER(SEARCH("hr ",B396)),ISNUMBER(SEARCH("recruit",B396)),ISNUMBER(SEARCH("human resource",B396))),"HR / Recruiter",OR(ISNUMBER(SEARCH("account",B396)),ISNUMBER(SEARCH("finance",B396)),ISNUMBER(SEARCH("tax",B396)),ISNUMBER(SEARCH("audit",B396))),"Accountant / Finance",OR(ISNUMBER(SEARCH("customer service",B396)),ISNUMBER(SEARCH("customer support",B396)),ISNUMBER(SEARCH("customer care",B396)),ISNUMBER(SEARCH("voice process",B396)),ISNUMBER(SEARCH("bpo",B396))),"Customer Support",ISNUMBER(SEARCH("engineer",B396)),"Engineer (Technical)",ISNUMBER(SEARCH("manager",B396)),"Manager",OR(ISNUMBER(SEARCH("teacher",B396)),ISNUMBER(SEARCH("trainer",B396)),ISNUMBER(SEARCH("faculty",B396))),"Teacher / Trainer",OR(ISNUMBER(SEARCH("doctor",B396)),ISNUMBER(SEARCH("nurse",B396)),ISNUMBER(SEARCH("medical",B396)),ISNUMBER(SEARCH("pharma",B396)),ISNUMBER(SEARCH("clinical",B396))),"Healthcare",TRUE,"Other")</f>
        <v/>
      </c>
      <c r="B328">
        <f>IF(PROPER(TRIM(Raw_Data!D393))="Bangalore","Bengaluru",IF(PROPER(TRIM(Raw_Data!D393))="Gurgaon","Gurugram",IF(OR(PROPER(TRIM(Raw_Data!D393))="New Delhi",PROPER(TRIM(Raw_Data!D393))="Delhi"),"Delhi",PROPER(TRIM(Raw_Data!D393)))))</f>
        <v/>
      </c>
      <c r="C328">
        <f>IF(TRIM(Raw_Data!F393&amp;"")="","Not Specified",Raw_Data!F393)</f>
        <v/>
      </c>
      <c r="D328">
        <f>Raw_Data!H393</f>
        <v/>
      </c>
      <c r="E328">
        <f>Raw_Data!E393</f>
        <v/>
      </c>
    </row>
    <row r="329">
      <c r="A329">
        <f>_xlfn.IFS(ISNUMBER(SEARCH("data analy",B397)),"Data Analyst",ISNUMBER(SEARCH("business analy",B397)),"Business Analyst",OR(ISNUMBER(SEARCH("developer",B397)),ISNUMBER(SEARCH("software engineer",B397)),ISNUMBER(SEARCH("programmer",B397))),"Software Developer",ISNUMBER(SEARCH("business development",B397)),"Business Development",ISNUMBER(SEARCH("sales",B397)),"Sales Executive",ISNUMBER(SEARCH("marketing",B397)),"Marketing Executive",OR(ISNUMBER(SEARCH("hr ",B397)),ISNUMBER(SEARCH("recruit",B397)),ISNUMBER(SEARCH("human resource",B397))),"HR / Recruiter",OR(ISNUMBER(SEARCH("account",B397)),ISNUMBER(SEARCH("finance",B397)),ISNUMBER(SEARCH("tax",B397)),ISNUMBER(SEARCH("audit",B397))),"Accountant / Finance",OR(ISNUMBER(SEARCH("customer service",B397)),ISNUMBER(SEARCH("customer support",B397)),ISNUMBER(SEARCH("customer care",B397)),ISNUMBER(SEARCH("voice process",B397)),ISNUMBER(SEARCH("bpo",B397))),"Customer Support",ISNUMBER(SEARCH("engineer",B397)),"Engineer (Technical)",ISNUMBER(SEARCH("manager",B397)),"Manager",OR(ISNUMBER(SEARCH("teacher",B397)),ISNUMBER(SEARCH("trainer",B397)),ISNUMBER(SEARCH("faculty",B397))),"Teacher / Trainer",OR(ISNUMBER(SEARCH("doctor",B397)),ISNUMBER(SEARCH("nurse",B397)),ISNUMBER(SEARCH("medical",B397)),ISNUMBER(SEARCH("pharma",B397)),ISNUMBER(SEARCH("clinical",B397))),"Healthcare",TRUE,"Other")</f>
        <v/>
      </c>
      <c r="B329">
        <f>IF(PROPER(TRIM(Raw_Data!D394))="Bangalore","Bengaluru",IF(PROPER(TRIM(Raw_Data!D394))="Gurgaon","Gurugram",IF(OR(PROPER(TRIM(Raw_Data!D394))="New Delhi",PROPER(TRIM(Raw_Data!D394))="Delhi"),"Delhi",PROPER(TRIM(Raw_Data!D394)))))</f>
        <v/>
      </c>
      <c r="C329">
        <f>IF(TRIM(Raw_Data!F394&amp;"")="","Not Specified",Raw_Data!F394)</f>
        <v/>
      </c>
      <c r="D329">
        <f>Raw_Data!H394</f>
        <v/>
      </c>
      <c r="E329">
        <f>Raw_Data!E394</f>
        <v/>
      </c>
    </row>
    <row r="330">
      <c r="A330">
        <f>_xlfn.IFS(ISNUMBER(SEARCH("data analy",B398)),"Data Analyst",ISNUMBER(SEARCH("business analy",B398)),"Business Analyst",OR(ISNUMBER(SEARCH("developer",B398)),ISNUMBER(SEARCH("software engineer",B398)),ISNUMBER(SEARCH("programmer",B398))),"Software Developer",ISNUMBER(SEARCH("business development",B398)),"Business Development",ISNUMBER(SEARCH("sales",B398)),"Sales Executive",ISNUMBER(SEARCH("marketing",B398)),"Marketing Executive",OR(ISNUMBER(SEARCH("hr ",B398)),ISNUMBER(SEARCH("recruit",B398)),ISNUMBER(SEARCH("human resource",B398))),"HR / Recruiter",OR(ISNUMBER(SEARCH("account",B398)),ISNUMBER(SEARCH("finance",B398)),ISNUMBER(SEARCH("tax",B398)),ISNUMBER(SEARCH("audit",B398))),"Accountant / Finance",OR(ISNUMBER(SEARCH("customer service",B398)),ISNUMBER(SEARCH("customer support",B398)),ISNUMBER(SEARCH("customer care",B398)),ISNUMBER(SEARCH("voice process",B398)),ISNUMBER(SEARCH("bpo",B398))),"Customer Support",ISNUMBER(SEARCH("engineer",B398)),"Engineer (Technical)",ISNUMBER(SEARCH("manager",B398)),"Manager",OR(ISNUMBER(SEARCH("teacher",B398)),ISNUMBER(SEARCH("trainer",B398)),ISNUMBER(SEARCH("faculty",B398))),"Teacher / Trainer",OR(ISNUMBER(SEARCH("doctor",B398)),ISNUMBER(SEARCH("nurse",B398)),ISNUMBER(SEARCH("medical",B398)),ISNUMBER(SEARCH("pharma",B398)),ISNUMBER(SEARCH("clinical",B398))),"Healthcare",TRUE,"Other")</f>
        <v/>
      </c>
      <c r="B330">
        <f>IF(PROPER(TRIM(Raw_Data!D395))="Bangalore","Bengaluru",IF(PROPER(TRIM(Raw_Data!D395))="Gurgaon","Gurugram",IF(OR(PROPER(TRIM(Raw_Data!D395))="New Delhi",PROPER(TRIM(Raw_Data!D395))="Delhi"),"Delhi",PROPER(TRIM(Raw_Data!D395)))))</f>
        <v/>
      </c>
      <c r="C330">
        <f>IF(TRIM(Raw_Data!F395&amp;"")="","Not Specified",Raw_Data!F395)</f>
        <v/>
      </c>
      <c r="D330">
        <f>Raw_Data!H395</f>
        <v/>
      </c>
      <c r="E330">
        <f>Raw_Data!E395</f>
        <v/>
      </c>
    </row>
    <row r="331">
      <c r="A331">
        <f>_xlfn.IFS(ISNUMBER(SEARCH("data analy",B399)),"Data Analyst",ISNUMBER(SEARCH("business analy",B399)),"Business Analyst",OR(ISNUMBER(SEARCH("developer",B399)),ISNUMBER(SEARCH("software engineer",B399)),ISNUMBER(SEARCH("programmer",B399))),"Software Developer",ISNUMBER(SEARCH("business development",B399)),"Business Development",ISNUMBER(SEARCH("sales",B399)),"Sales Executive",ISNUMBER(SEARCH("marketing",B399)),"Marketing Executive",OR(ISNUMBER(SEARCH("hr ",B399)),ISNUMBER(SEARCH("recruit",B399)),ISNUMBER(SEARCH("human resource",B399))),"HR / Recruiter",OR(ISNUMBER(SEARCH("account",B399)),ISNUMBER(SEARCH("finance",B399)),ISNUMBER(SEARCH("tax",B399)),ISNUMBER(SEARCH("audit",B399))),"Accountant / Finance",OR(ISNUMBER(SEARCH("customer service",B399)),ISNUMBER(SEARCH("customer support",B399)),ISNUMBER(SEARCH("customer care",B399)),ISNUMBER(SEARCH("voice process",B399)),ISNUMBER(SEARCH("bpo",B399))),"Customer Support",ISNUMBER(SEARCH("engineer",B399)),"Engineer (Technical)",ISNUMBER(SEARCH("manager",B399)),"Manager",OR(ISNUMBER(SEARCH("teacher",B399)),ISNUMBER(SEARCH("trainer",B399)),ISNUMBER(SEARCH("faculty",B399))),"Teacher / Trainer",OR(ISNUMBER(SEARCH("doctor",B399)),ISNUMBER(SEARCH("nurse",B399)),ISNUMBER(SEARCH("medical",B399)),ISNUMBER(SEARCH("pharma",B399)),ISNUMBER(SEARCH("clinical",B399))),"Healthcare",TRUE,"Other")</f>
        <v/>
      </c>
      <c r="B331">
        <f>IF(PROPER(TRIM(Raw_Data!D396))="Bangalore","Bengaluru",IF(PROPER(TRIM(Raw_Data!D396))="Gurgaon","Gurugram",IF(OR(PROPER(TRIM(Raw_Data!D396))="New Delhi",PROPER(TRIM(Raw_Data!D396))="Delhi"),"Delhi",PROPER(TRIM(Raw_Data!D396)))))</f>
        <v/>
      </c>
      <c r="C331">
        <f>IF(TRIM(Raw_Data!F396&amp;"")="","Not Specified",Raw_Data!F396)</f>
        <v/>
      </c>
      <c r="D331">
        <f>Raw_Data!H396</f>
        <v/>
      </c>
      <c r="E331">
        <f>Raw_Data!E396</f>
        <v/>
      </c>
    </row>
    <row r="332">
      <c r="A332">
        <f>_xlfn.IFS(ISNUMBER(SEARCH("data analy",B40)),"Data Analyst",ISNUMBER(SEARCH("business analy",B40)),"Business Analyst",OR(ISNUMBER(SEARCH("developer",B40)),ISNUMBER(SEARCH("software engineer",B40)),ISNUMBER(SEARCH("programmer",B40))),"Software Developer",ISNUMBER(SEARCH("business development",B40)),"Business Development",ISNUMBER(SEARCH("sales",B40)),"Sales Executive",ISNUMBER(SEARCH("marketing",B40)),"Marketing Executive",OR(ISNUMBER(SEARCH("hr ",B40)),ISNUMBER(SEARCH("recruit",B40)),ISNUMBER(SEARCH("human resource",B40))),"HR / Recruiter",OR(ISNUMBER(SEARCH("account",B40)),ISNUMBER(SEARCH("finance",B40)),ISNUMBER(SEARCH("tax",B40)),ISNUMBER(SEARCH("audit",B40))),"Accountant / Finance",OR(ISNUMBER(SEARCH("customer service",B40)),ISNUMBER(SEARCH("customer support",B40)),ISNUMBER(SEARCH("customer care",B40)),ISNUMBER(SEARCH("voice process",B40)),ISNUMBER(SEARCH("bpo",B40))),"Customer Support",ISNUMBER(SEARCH("engineer",B40)),"Engineer (Technical)",ISNUMBER(SEARCH("manager",B40)),"Manager",OR(ISNUMBER(SEARCH("teacher",B40)),ISNUMBER(SEARCH("trainer",B40)),ISNUMBER(SEARCH("faculty",B40))),"Teacher / Trainer",OR(ISNUMBER(SEARCH("doctor",B40)),ISNUMBER(SEARCH("nurse",B40)),ISNUMBER(SEARCH("medical",B40)),ISNUMBER(SEARCH("pharma",B40)),ISNUMBER(SEARCH("clinical",B40))),"Healthcare",TRUE,"Other")</f>
        <v/>
      </c>
      <c r="B332">
        <f>IF(PROPER(TRIM(Raw_Data!D397))="Bangalore","Bengaluru",IF(PROPER(TRIM(Raw_Data!D397))="Gurgaon","Gurugram",IF(OR(PROPER(TRIM(Raw_Data!D397))="New Delhi",PROPER(TRIM(Raw_Data!D397))="Delhi"),"Delhi",PROPER(TRIM(Raw_Data!D397)))))</f>
        <v/>
      </c>
      <c r="C332">
        <f>IF(TRIM(Raw_Data!F397&amp;"")="","Not Specified",Raw_Data!F397)</f>
        <v/>
      </c>
      <c r="D332">
        <f>Raw_Data!H397</f>
        <v/>
      </c>
      <c r="E332">
        <f>Raw_Data!E397</f>
        <v/>
      </c>
    </row>
    <row r="333">
      <c r="A333">
        <f>_xlfn.IFS(ISNUMBER(SEARCH("data analy",B400)),"Data Analyst",ISNUMBER(SEARCH("business analy",B400)),"Business Analyst",OR(ISNUMBER(SEARCH("developer",B400)),ISNUMBER(SEARCH("software engineer",B400)),ISNUMBER(SEARCH("programmer",B400))),"Software Developer",ISNUMBER(SEARCH("business development",B400)),"Business Development",ISNUMBER(SEARCH("sales",B400)),"Sales Executive",ISNUMBER(SEARCH("marketing",B400)),"Marketing Executive",OR(ISNUMBER(SEARCH("hr ",B400)),ISNUMBER(SEARCH("recruit",B400)),ISNUMBER(SEARCH("human resource",B400))),"HR / Recruiter",OR(ISNUMBER(SEARCH("account",B400)),ISNUMBER(SEARCH("finance",B400)),ISNUMBER(SEARCH("tax",B400)),ISNUMBER(SEARCH("audit",B400))),"Accountant / Finance",OR(ISNUMBER(SEARCH("customer service",B400)),ISNUMBER(SEARCH("customer support",B400)),ISNUMBER(SEARCH("customer care",B400)),ISNUMBER(SEARCH("voice process",B400)),ISNUMBER(SEARCH("bpo",B400))),"Customer Support",ISNUMBER(SEARCH("engineer",B400)),"Engineer (Technical)",ISNUMBER(SEARCH("manager",B400)),"Manager",OR(ISNUMBER(SEARCH("teacher",B400)),ISNUMBER(SEARCH("trainer",B400)),ISNUMBER(SEARCH("faculty",B400))),"Teacher / Trainer",OR(ISNUMBER(SEARCH("doctor",B400)),ISNUMBER(SEARCH("nurse",B400)),ISNUMBER(SEARCH("medical",B400)),ISNUMBER(SEARCH("pharma",B400)),ISNUMBER(SEARCH("clinical",B400))),"Healthcare",TRUE,"Other")</f>
        <v/>
      </c>
      <c r="B333">
        <f>IF(PROPER(TRIM(Raw_Data!D398))="Bangalore","Bengaluru",IF(PROPER(TRIM(Raw_Data!D398))="Gurgaon","Gurugram",IF(OR(PROPER(TRIM(Raw_Data!D398))="New Delhi",PROPER(TRIM(Raw_Data!D398))="Delhi"),"Delhi",PROPER(TRIM(Raw_Data!D398)))))</f>
        <v/>
      </c>
      <c r="C333">
        <f>IF(TRIM(Raw_Data!F398&amp;"")="","Not Specified",Raw_Data!F398)</f>
        <v/>
      </c>
      <c r="D333">
        <f>Raw_Data!H398</f>
        <v/>
      </c>
      <c r="E333">
        <f>Raw_Data!E398</f>
        <v/>
      </c>
    </row>
    <row r="334">
      <c r="A334">
        <f>_xlfn.IFS(ISNUMBER(SEARCH("data analy",B401)),"Data Analyst",ISNUMBER(SEARCH("business analy",B401)),"Business Analyst",OR(ISNUMBER(SEARCH("developer",B401)),ISNUMBER(SEARCH("software engineer",B401)),ISNUMBER(SEARCH("programmer",B401))),"Software Developer",ISNUMBER(SEARCH("business development",B401)),"Business Development",ISNUMBER(SEARCH("sales",B401)),"Sales Executive",ISNUMBER(SEARCH("marketing",B401)),"Marketing Executive",OR(ISNUMBER(SEARCH("hr ",B401)),ISNUMBER(SEARCH("recruit",B401)),ISNUMBER(SEARCH("human resource",B401))),"HR / Recruiter",OR(ISNUMBER(SEARCH("account",B401)),ISNUMBER(SEARCH("finance",B401)),ISNUMBER(SEARCH("tax",B401)),ISNUMBER(SEARCH("audit",B401))),"Accountant / Finance",OR(ISNUMBER(SEARCH("customer service",B401)),ISNUMBER(SEARCH("customer support",B401)),ISNUMBER(SEARCH("customer care",B401)),ISNUMBER(SEARCH("voice process",B401)),ISNUMBER(SEARCH("bpo",B401))),"Customer Support",ISNUMBER(SEARCH("engineer",B401)),"Engineer (Technical)",ISNUMBER(SEARCH("manager",B401)),"Manager",OR(ISNUMBER(SEARCH("teacher",B401)),ISNUMBER(SEARCH("trainer",B401)),ISNUMBER(SEARCH("faculty",B401))),"Teacher / Trainer",OR(ISNUMBER(SEARCH("doctor",B401)),ISNUMBER(SEARCH("nurse",B401)),ISNUMBER(SEARCH("medical",B401)),ISNUMBER(SEARCH("pharma",B401)),ISNUMBER(SEARCH("clinical",B401))),"Healthcare",TRUE,"Other")</f>
        <v/>
      </c>
      <c r="B334">
        <f>IF(PROPER(TRIM(Raw_Data!D399))="Bangalore","Bengaluru",IF(PROPER(TRIM(Raw_Data!D399))="Gurgaon","Gurugram",IF(OR(PROPER(TRIM(Raw_Data!D399))="New Delhi",PROPER(TRIM(Raw_Data!D399))="Delhi"),"Delhi",PROPER(TRIM(Raw_Data!D399)))))</f>
        <v/>
      </c>
      <c r="C334">
        <f>IF(TRIM(Raw_Data!F399&amp;"")="","Not Specified",Raw_Data!F399)</f>
        <v/>
      </c>
      <c r="D334">
        <f>Raw_Data!H399</f>
        <v/>
      </c>
      <c r="E334">
        <f>Raw_Data!E399</f>
        <v/>
      </c>
    </row>
    <row r="335">
      <c r="A335">
        <f>_xlfn.IFS(ISNUMBER(SEARCH("data analy",B402)),"Data Analyst",ISNUMBER(SEARCH("business analy",B402)),"Business Analyst",OR(ISNUMBER(SEARCH("developer",B402)),ISNUMBER(SEARCH("software engineer",B402)),ISNUMBER(SEARCH("programmer",B402))),"Software Developer",ISNUMBER(SEARCH("business development",B402)),"Business Development",ISNUMBER(SEARCH("sales",B402)),"Sales Executive",ISNUMBER(SEARCH("marketing",B402)),"Marketing Executive",OR(ISNUMBER(SEARCH("hr ",B402)),ISNUMBER(SEARCH("recruit",B402)),ISNUMBER(SEARCH("human resource",B402))),"HR / Recruiter",OR(ISNUMBER(SEARCH("account",B402)),ISNUMBER(SEARCH("finance",B402)),ISNUMBER(SEARCH("tax",B402)),ISNUMBER(SEARCH("audit",B402))),"Accountant / Finance",OR(ISNUMBER(SEARCH("customer service",B402)),ISNUMBER(SEARCH("customer support",B402)),ISNUMBER(SEARCH("customer care",B402)),ISNUMBER(SEARCH("voice process",B402)),ISNUMBER(SEARCH("bpo",B402))),"Customer Support",ISNUMBER(SEARCH("engineer",B402)),"Engineer (Technical)",ISNUMBER(SEARCH("manager",B402)),"Manager",OR(ISNUMBER(SEARCH("teacher",B402)),ISNUMBER(SEARCH("trainer",B402)),ISNUMBER(SEARCH("faculty",B402))),"Teacher / Trainer",OR(ISNUMBER(SEARCH("doctor",B402)),ISNUMBER(SEARCH("nurse",B402)),ISNUMBER(SEARCH("medical",B402)),ISNUMBER(SEARCH("pharma",B402)),ISNUMBER(SEARCH("clinical",B402))),"Healthcare",TRUE,"Other")</f>
        <v/>
      </c>
      <c r="B335">
        <f>IF(PROPER(TRIM(Raw_Data!D4))="Bangalore","Bengaluru",IF(PROPER(TRIM(Raw_Data!D4))="Gurgaon","Gurugram",IF(OR(PROPER(TRIM(Raw_Data!D4))="New Delhi",PROPER(TRIM(Raw_Data!D4))="Delhi"),"Delhi",PROPER(TRIM(Raw_Data!D4)))))</f>
        <v/>
      </c>
      <c r="C335">
        <f>IF(TRIM(Raw_Data!F4&amp;"")="","Not Specified",Raw_Data!F4)</f>
        <v/>
      </c>
      <c r="D335">
        <f>Raw_Data!H4</f>
        <v/>
      </c>
      <c r="E335">
        <f>Raw_Data!E4</f>
        <v/>
      </c>
    </row>
    <row r="336">
      <c r="A336">
        <f>_xlfn.IFS(ISNUMBER(SEARCH("data analy",B403)),"Data Analyst",ISNUMBER(SEARCH("business analy",B403)),"Business Analyst",OR(ISNUMBER(SEARCH("developer",B403)),ISNUMBER(SEARCH("software engineer",B403)),ISNUMBER(SEARCH("programmer",B403))),"Software Developer",ISNUMBER(SEARCH("business development",B403)),"Business Development",ISNUMBER(SEARCH("sales",B403)),"Sales Executive",ISNUMBER(SEARCH("marketing",B403)),"Marketing Executive",OR(ISNUMBER(SEARCH("hr ",B403)),ISNUMBER(SEARCH("recruit",B403)),ISNUMBER(SEARCH("human resource",B403))),"HR / Recruiter",OR(ISNUMBER(SEARCH("account",B403)),ISNUMBER(SEARCH("finance",B403)),ISNUMBER(SEARCH("tax",B403)),ISNUMBER(SEARCH("audit",B403))),"Accountant / Finance",OR(ISNUMBER(SEARCH("customer service",B403)),ISNUMBER(SEARCH("customer support",B403)),ISNUMBER(SEARCH("customer care",B403)),ISNUMBER(SEARCH("voice process",B403)),ISNUMBER(SEARCH("bpo",B403))),"Customer Support",ISNUMBER(SEARCH("engineer",B403)),"Engineer (Technical)",ISNUMBER(SEARCH("manager",B403)),"Manager",OR(ISNUMBER(SEARCH("teacher",B403)),ISNUMBER(SEARCH("trainer",B403)),ISNUMBER(SEARCH("faculty",B403))),"Teacher / Trainer",OR(ISNUMBER(SEARCH("doctor",B403)),ISNUMBER(SEARCH("nurse",B403)),ISNUMBER(SEARCH("medical",B403)),ISNUMBER(SEARCH("pharma",B403)),ISNUMBER(SEARCH("clinical",B403))),"Healthcare",TRUE,"Other")</f>
        <v/>
      </c>
      <c r="B336">
        <f>IF(PROPER(TRIM(Raw_Data!D40))="Bangalore","Bengaluru",IF(PROPER(TRIM(Raw_Data!D40))="Gurgaon","Gurugram",IF(OR(PROPER(TRIM(Raw_Data!D40))="New Delhi",PROPER(TRIM(Raw_Data!D40))="Delhi"),"Delhi",PROPER(TRIM(Raw_Data!D40)))))</f>
        <v/>
      </c>
      <c r="C336">
        <f>IF(TRIM(Raw_Data!F40&amp;"")="","Not Specified",Raw_Data!F40)</f>
        <v/>
      </c>
      <c r="D336">
        <f>Raw_Data!H40</f>
        <v/>
      </c>
      <c r="E336">
        <f>Raw_Data!E40</f>
        <v/>
      </c>
    </row>
    <row r="337">
      <c r="A337">
        <f>_xlfn.IFS(ISNUMBER(SEARCH("data analy",B404)),"Data Analyst",ISNUMBER(SEARCH("business analy",B404)),"Business Analyst",OR(ISNUMBER(SEARCH("developer",B404)),ISNUMBER(SEARCH("software engineer",B404)),ISNUMBER(SEARCH("programmer",B404))),"Software Developer",ISNUMBER(SEARCH("business development",B404)),"Business Development",ISNUMBER(SEARCH("sales",B404)),"Sales Executive",ISNUMBER(SEARCH("marketing",B404)),"Marketing Executive",OR(ISNUMBER(SEARCH("hr ",B404)),ISNUMBER(SEARCH("recruit",B404)),ISNUMBER(SEARCH("human resource",B404))),"HR / Recruiter",OR(ISNUMBER(SEARCH("account",B404)),ISNUMBER(SEARCH("finance",B404)),ISNUMBER(SEARCH("tax",B404)),ISNUMBER(SEARCH("audit",B404))),"Accountant / Finance",OR(ISNUMBER(SEARCH("customer service",B404)),ISNUMBER(SEARCH("customer support",B404)),ISNUMBER(SEARCH("customer care",B404)),ISNUMBER(SEARCH("voice process",B404)),ISNUMBER(SEARCH("bpo",B404))),"Customer Support",ISNUMBER(SEARCH("engineer",B404)),"Engineer (Technical)",ISNUMBER(SEARCH("manager",B404)),"Manager",OR(ISNUMBER(SEARCH("teacher",B404)),ISNUMBER(SEARCH("trainer",B404)),ISNUMBER(SEARCH("faculty",B404))),"Teacher / Trainer",OR(ISNUMBER(SEARCH("doctor",B404)),ISNUMBER(SEARCH("nurse",B404)),ISNUMBER(SEARCH("medical",B404)),ISNUMBER(SEARCH("pharma",B404)),ISNUMBER(SEARCH("clinical",B404))),"Healthcare",TRUE,"Other")</f>
        <v/>
      </c>
      <c r="B337">
        <f>IF(PROPER(TRIM(Raw_Data!D400))="Bangalore","Bengaluru",IF(PROPER(TRIM(Raw_Data!D400))="Gurgaon","Gurugram",IF(OR(PROPER(TRIM(Raw_Data!D400))="New Delhi",PROPER(TRIM(Raw_Data!D400))="Delhi"),"Delhi",PROPER(TRIM(Raw_Data!D400)))))</f>
        <v/>
      </c>
      <c r="C337">
        <f>IF(TRIM(Raw_Data!F400&amp;"")="","Not Specified",Raw_Data!F400)</f>
        <v/>
      </c>
      <c r="D337">
        <f>Raw_Data!H400</f>
        <v/>
      </c>
      <c r="E337">
        <f>Raw_Data!E400</f>
        <v/>
      </c>
    </row>
    <row r="338">
      <c r="A338">
        <f>_xlfn.IFS(ISNUMBER(SEARCH("data analy",B405)),"Data Analyst",ISNUMBER(SEARCH("business analy",B405)),"Business Analyst",OR(ISNUMBER(SEARCH("developer",B405)),ISNUMBER(SEARCH("software engineer",B405)),ISNUMBER(SEARCH("programmer",B405))),"Software Developer",ISNUMBER(SEARCH("business development",B405)),"Business Development",ISNUMBER(SEARCH("sales",B405)),"Sales Executive",ISNUMBER(SEARCH("marketing",B405)),"Marketing Executive",OR(ISNUMBER(SEARCH("hr ",B405)),ISNUMBER(SEARCH("recruit",B405)),ISNUMBER(SEARCH("human resource",B405))),"HR / Recruiter",OR(ISNUMBER(SEARCH("account",B405)),ISNUMBER(SEARCH("finance",B405)),ISNUMBER(SEARCH("tax",B405)),ISNUMBER(SEARCH("audit",B405))),"Accountant / Finance",OR(ISNUMBER(SEARCH("customer service",B405)),ISNUMBER(SEARCH("customer support",B405)),ISNUMBER(SEARCH("customer care",B405)),ISNUMBER(SEARCH("voice process",B405)),ISNUMBER(SEARCH("bpo",B405))),"Customer Support",ISNUMBER(SEARCH("engineer",B405)),"Engineer (Technical)",ISNUMBER(SEARCH("manager",B405)),"Manager",OR(ISNUMBER(SEARCH("teacher",B405)),ISNUMBER(SEARCH("trainer",B405)),ISNUMBER(SEARCH("faculty",B405))),"Teacher / Trainer",OR(ISNUMBER(SEARCH("doctor",B405)),ISNUMBER(SEARCH("nurse",B405)),ISNUMBER(SEARCH("medical",B405)),ISNUMBER(SEARCH("pharma",B405)),ISNUMBER(SEARCH("clinical",B405))),"Healthcare",TRUE,"Other")</f>
        <v/>
      </c>
      <c r="B338">
        <f>IF(PROPER(TRIM(Raw_Data!D401))="Bangalore","Bengaluru",IF(PROPER(TRIM(Raw_Data!D401))="Gurgaon","Gurugram",IF(OR(PROPER(TRIM(Raw_Data!D401))="New Delhi",PROPER(TRIM(Raw_Data!D401))="Delhi"),"Delhi",PROPER(TRIM(Raw_Data!D401)))))</f>
        <v/>
      </c>
      <c r="C338">
        <f>IF(TRIM(Raw_Data!F401&amp;"")="","Not Specified",Raw_Data!F401)</f>
        <v/>
      </c>
      <c r="D338">
        <f>Raw_Data!H401</f>
        <v/>
      </c>
      <c r="E338">
        <f>Raw_Data!E401</f>
        <v/>
      </c>
    </row>
    <row r="339">
      <c r="A339">
        <f>_xlfn.IFS(ISNUMBER(SEARCH("data analy",B406)),"Data Analyst",ISNUMBER(SEARCH("business analy",B406)),"Business Analyst",OR(ISNUMBER(SEARCH("developer",B406)),ISNUMBER(SEARCH("software engineer",B406)),ISNUMBER(SEARCH("programmer",B406))),"Software Developer",ISNUMBER(SEARCH("business development",B406)),"Business Development",ISNUMBER(SEARCH("sales",B406)),"Sales Executive",ISNUMBER(SEARCH("marketing",B406)),"Marketing Executive",OR(ISNUMBER(SEARCH("hr ",B406)),ISNUMBER(SEARCH("recruit",B406)),ISNUMBER(SEARCH("human resource",B406))),"HR / Recruiter",OR(ISNUMBER(SEARCH("account",B406)),ISNUMBER(SEARCH("finance",B406)),ISNUMBER(SEARCH("tax",B406)),ISNUMBER(SEARCH("audit",B406))),"Accountant / Finance",OR(ISNUMBER(SEARCH("customer service",B406)),ISNUMBER(SEARCH("customer support",B406)),ISNUMBER(SEARCH("customer care",B406)),ISNUMBER(SEARCH("voice process",B406)),ISNUMBER(SEARCH("bpo",B406))),"Customer Support",ISNUMBER(SEARCH("engineer",B406)),"Engineer (Technical)",ISNUMBER(SEARCH("manager",B406)),"Manager",OR(ISNUMBER(SEARCH("teacher",B406)),ISNUMBER(SEARCH("trainer",B406)),ISNUMBER(SEARCH("faculty",B406))),"Teacher / Trainer",OR(ISNUMBER(SEARCH("doctor",B406)),ISNUMBER(SEARCH("nurse",B406)),ISNUMBER(SEARCH("medical",B406)),ISNUMBER(SEARCH("pharma",B406)),ISNUMBER(SEARCH("clinical",B406))),"Healthcare",TRUE,"Other")</f>
        <v/>
      </c>
      <c r="B339">
        <f>IF(PROPER(TRIM(Raw_Data!D402))="Bangalore","Bengaluru",IF(PROPER(TRIM(Raw_Data!D402))="Gurgaon","Gurugram",IF(OR(PROPER(TRIM(Raw_Data!D402))="New Delhi",PROPER(TRIM(Raw_Data!D402))="Delhi"),"Delhi",PROPER(TRIM(Raw_Data!D402)))))</f>
        <v/>
      </c>
      <c r="C339">
        <f>IF(TRIM(Raw_Data!F402&amp;"")="","Not Specified",Raw_Data!F402)</f>
        <v/>
      </c>
      <c r="D339">
        <f>Raw_Data!H402</f>
        <v/>
      </c>
      <c r="E339">
        <f>Raw_Data!E402</f>
        <v/>
      </c>
    </row>
    <row r="340">
      <c r="A340">
        <f>_xlfn.IFS(ISNUMBER(SEARCH("data analy",B407)),"Data Analyst",ISNUMBER(SEARCH("business analy",B407)),"Business Analyst",OR(ISNUMBER(SEARCH("developer",B407)),ISNUMBER(SEARCH("software engineer",B407)),ISNUMBER(SEARCH("programmer",B407))),"Software Developer",ISNUMBER(SEARCH("business development",B407)),"Business Development",ISNUMBER(SEARCH("sales",B407)),"Sales Executive",ISNUMBER(SEARCH("marketing",B407)),"Marketing Executive",OR(ISNUMBER(SEARCH("hr ",B407)),ISNUMBER(SEARCH("recruit",B407)),ISNUMBER(SEARCH("human resource",B407))),"HR / Recruiter",OR(ISNUMBER(SEARCH("account",B407)),ISNUMBER(SEARCH("finance",B407)),ISNUMBER(SEARCH("tax",B407)),ISNUMBER(SEARCH("audit",B407))),"Accountant / Finance",OR(ISNUMBER(SEARCH("customer service",B407)),ISNUMBER(SEARCH("customer support",B407)),ISNUMBER(SEARCH("customer care",B407)),ISNUMBER(SEARCH("voice process",B407)),ISNUMBER(SEARCH("bpo",B407))),"Customer Support",ISNUMBER(SEARCH("engineer",B407)),"Engineer (Technical)",ISNUMBER(SEARCH("manager",B407)),"Manager",OR(ISNUMBER(SEARCH("teacher",B407)),ISNUMBER(SEARCH("trainer",B407)),ISNUMBER(SEARCH("faculty",B407))),"Teacher / Trainer",OR(ISNUMBER(SEARCH("doctor",B407)),ISNUMBER(SEARCH("nurse",B407)),ISNUMBER(SEARCH("medical",B407)),ISNUMBER(SEARCH("pharma",B407)),ISNUMBER(SEARCH("clinical",B407))),"Healthcare",TRUE,"Other")</f>
        <v/>
      </c>
      <c r="B340">
        <f>IF(PROPER(TRIM(Raw_Data!D403))="Bangalore","Bengaluru",IF(PROPER(TRIM(Raw_Data!D403))="Gurgaon","Gurugram",IF(OR(PROPER(TRIM(Raw_Data!D403))="New Delhi",PROPER(TRIM(Raw_Data!D403))="Delhi"),"Delhi",PROPER(TRIM(Raw_Data!D403)))))</f>
        <v/>
      </c>
      <c r="C340">
        <f>IF(TRIM(Raw_Data!F403&amp;"")="","Not Specified",Raw_Data!F403)</f>
        <v/>
      </c>
      <c r="D340">
        <f>Raw_Data!H403</f>
        <v/>
      </c>
      <c r="E340">
        <f>Raw_Data!E403</f>
        <v/>
      </c>
    </row>
    <row r="341">
      <c r="A341">
        <f>_xlfn.IFS(ISNUMBER(SEARCH("data analy",B408)),"Data Analyst",ISNUMBER(SEARCH("business analy",B408)),"Business Analyst",OR(ISNUMBER(SEARCH("developer",B408)),ISNUMBER(SEARCH("software engineer",B408)),ISNUMBER(SEARCH("programmer",B408))),"Software Developer",ISNUMBER(SEARCH("business development",B408)),"Business Development",ISNUMBER(SEARCH("sales",B408)),"Sales Executive",ISNUMBER(SEARCH("marketing",B408)),"Marketing Executive",OR(ISNUMBER(SEARCH("hr ",B408)),ISNUMBER(SEARCH("recruit",B408)),ISNUMBER(SEARCH("human resource",B408))),"HR / Recruiter",OR(ISNUMBER(SEARCH("account",B408)),ISNUMBER(SEARCH("finance",B408)),ISNUMBER(SEARCH("tax",B408)),ISNUMBER(SEARCH("audit",B408))),"Accountant / Finance",OR(ISNUMBER(SEARCH("customer service",B408)),ISNUMBER(SEARCH("customer support",B408)),ISNUMBER(SEARCH("customer care",B408)),ISNUMBER(SEARCH("voice process",B408)),ISNUMBER(SEARCH("bpo",B408))),"Customer Support",ISNUMBER(SEARCH("engineer",B408)),"Engineer (Technical)",ISNUMBER(SEARCH("manager",B408)),"Manager",OR(ISNUMBER(SEARCH("teacher",B408)),ISNUMBER(SEARCH("trainer",B408)),ISNUMBER(SEARCH("faculty",B408))),"Teacher / Trainer",OR(ISNUMBER(SEARCH("doctor",B408)),ISNUMBER(SEARCH("nurse",B408)),ISNUMBER(SEARCH("medical",B408)),ISNUMBER(SEARCH("pharma",B408)),ISNUMBER(SEARCH("clinical",B408))),"Healthcare",TRUE,"Other")</f>
        <v/>
      </c>
      <c r="B341">
        <f>IF(PROPER(TRIM(Raw_Data!D404))="Bangalore","Bengaluru",IF(PROPER(TRIM(Raw_Data!D404))="Gurgaon","Gurugram",IF(OR(PROPER(TRIM(Raw_Data!D404))="New Delhi",PROPER(TRIM(Raw_Data!D404))="Delhi"),"Delhi",PROPER(TRIM(Raw_Data!D404)))))</f>
        <v/>
      </c>
      <c r="C341">
        <f>IF(TRIM(Raw_Data!F404&amp;"")="","Not Specified",Raw_Data!F404)</f>
        <v/>
      </c>
      <c r="D341">
        <f>Raw_Data!H404</f>
        <v/>
      </c>
      <c r="E341">
        <f>Raw_Data!E404</f>
        <v/>
      </c>
    </row>
    <row r="342">
      <c r="A342">
        <f>_xlfn.IFS(ISNUMBER(SEARCH("data analy",B409)),"Data Analyst",ISNUMBER(SEARCH("business analy",B409)),"Business Analyst",OR(ISNUMBER(SEARCH("developer",B409)),ISNUMBER(SEARCH("software engineer",B409)),ISNUMBER(SEARCH("programmer",B409))),"Software Developer",ISNUMBER(SEARCH("business development",B409)),"Business Development",ISNUMBER(SEARCH("sales",B409)),"Sales Executive",ISNUMBER(SEARCH("marketing",B409)),"Marketing Executive",OR(ISNUMBER(SEARCH("hr ",B409)),ISNUMBER(SEARCH("recruit",B409)),ISNUMBER(SEARCH("human resource",B409))),"HR / Recruiter",OR(ISNUMBER(SEARCH("account",B409)),ISNUMBER(SEARCH("finance",B409)),ISNUMBER(SEARCH("tax",B409)),ISNUMBER(SEARCH("audit",B409))),"Accountant / Finance",OR(ISNUMBER(SEARCH("customer service",B409)),ISNUMBER(SEARCH("customer support",B409)),ISNUMBER(SEARCH("customer care",B409)),ISNUMBER(SEARCH("voice process",B409)),ISNUMBER(SEARCH("bpo",B409))),"Customer Support",ISNUMBER(SEARCH("engineer",B409)),"Engineer (Technical)",ISNUMBER(SEARCH("manager",B409)),"Manager",OR(ISNUMBER(SEARCH("teacher",B409)),ISNUMBER(SEARCH("trainer",B409)),ISNUMBER(SEARCH("faculty",B409))),"Teacher / Trainer",OR(ISNUMBER(SEARCH("doctor",B409)),ISNUMBER(SEARCH("nurse",B409)),ISNUMBER(SEARCH("medical",B409)),ISNUMBER(SEARCH("pharma",B409)),ISNUMBER(SEARCH("clinical",B409))),"Healthcare",TRUE,"Other")</f>
        <v/>
      </c>
      <c r="B342">
        <f>IF(PROPER(TRIM(Raw_Data!D405))="Bangalore","Bengaluru",IF(PROPER(TRIM(Raw_Data!D405))="Gurgaon","Gurugram",IF(OR(PROPER(TRIM(Raw_Data!D405))="New Delhi",PROPER(TRIM(Raw_Data!D405))="Delhi"),"Delhi",PROPER(TRIM(Raw_Data!D405)))))</f>
        <v/>
      </c>
      <c r="C342">
        <f>IF(TRIM(Raw_Data!F405&amp;"")="","Not Specified",Raw_Data!F405)</f>
        <v/>
      </c>
      <c r="D342">
        <f>Raw_Data!H405</f>
        <v/>
      </c>
      <c r="E342">
        <f>Raw_Data!E405</f>
        <v/>
      </c>
    </row>
    <row r="343">
      <c r="A343">
        <f>_xlfn.IFS(ISNUMBER(SEARCH("data analy",B41)),"Data Analyst",ISNUMBER(SEARCH("business analy",B41)),"Business Analyst",OR(ISNUMBER(SEARCH("developer",B41)),ISNUMBER(SEARCH("software engineer",B41)),ISNUMBER(SEARCH("programmer",B41))),"Software Developer",ISNUMBER(SEARCH("business development",B41)),"Business Development",ISNUMBER(SEARCH("sales",B41)),"Sales Executive",ISNUMBER(SEARCH("marketing",B41)),"Marketing Executive",OR(ISNUMBER(SEARCH("hr ",B41)),ISNUMBER(SEARCH("recruit",B41)),ISNUMBER(SEARCH("human resource",B41))),"HR / Recruiter",OR(ISNUMBER(SEARCH("account",B41)),ISNUMBER(SEARCH("finance",B41)),ISNUMBER(SEARCH("tax",B41)),ISNUMBER(SEARCH("audit",B41))),"Accountant / Finance",OR(ISNUMBER(SEARCH("customer service",B41)),ISNUMBER(SEARCH("customer support",B41)),ISNUMBER(SEARCH("customer care",B41)),ISNUMBER(SEARCH("voice process",B41)),ISNUMBER(SEARCH("bpo",B41))),"Customer Support",ISNUMBER(SEARCH("engineer",B41)),"Engineer (Technical)",ISNUMBER(SEARCH("manager",B41)),"Manager",OR(ISNUMBER(SEARCH("teacher",B41)),ISNUMBER(SEARCH("trainer",B41)),ISNUMBER(SEARCH("faculty",B41))),"Teacher / Trainer",OR(ISNUMBER(SEARCH("doctor",B41)),ISNUMBER(SEARCH("nurse",B41)),ISNUMBER(SEARCH("medical",B41)),ISNUMBER(SEARCH("pharma",B41)),ISNUMBER(SEARCH("clinical",B41))),"Healthcare",TRUE,"Other")</f>
        <v/>
      </c>
      <c r="B343">
        <f>IF(PROPER(TRIM(Raw_Data!D406))="Bangalore","Bengaluru",IF(PROPER(TRIM(Raw_Data!D406))="Gurgaon","Gurugram",IF(OR(PROPER(TRIM(Raw_Data!D406))="New Delhi",PROPER(TRIM(Raw_Data!D406))="Delhi"),"Delhi",PROPER(TRIM(Raw_Data!D406)))))</f>
        <v/>
      </c>
      <c r="C343">
        <f>IF(TRIM(Raw_Data!F406&amp;"")="","Not Specified",Raw_Data!F406)</f>
        <v/>
      </c>
      <c r="D343">
        <f>Raw_Data!H406</f>
        <v/>
      </c>
      <c r="E343">
        <f>Raw_Data!E406</f>
        <v/>
      </c>
    </row>
    <row r="344">
      <c r="A344">
        <f>_xlfn.IFS(ISNUMBER(SEARCH("data analy",B410)),"Data Analyst",ISNUMBER(SEARCH("business analy",B410)),"Business Analyst",OR(ISNUMBER(SEARCH("developer",B410)),ISNUMBER(SEARCH("software engineer",B410)),ISNUMBER(SEARCH("programmer",B410))),"Software Developer",ISNUMBER(SEARCH("business development",B410)),"Business Development",ISNUMBER(SEARCH("sales",B410)),"Sales Executive",ISNUMBER(SEARCH("marketing",B410)),"Marketing Executive",OR(ISNUMBER(SEARCH("hr ",B410)),ISNUMBER(SEARCH("recruit",B410)),ISNUMBER(SEARCH("human resource",B410))),"HR / Recruiter",OR(ISNUMBER(SEARCH("account",B410)),ISNUMBER(SEARCH("finance",B410)),ISNUMBER(SEARCH("tax",B410)),ISNUMBER(SEARCH("audit",B410))),"Accountant / Finance",OR(ISNUMBER(SEARCH("customer service",B410)),ISNUMBER(SEARCH("customer support",B410)),ISNUMBER(SEARCH("customer care",B410)),ISNUMBER(SEARCH("voice process",B410)),ISNUMBER(SEARCH("bpo",B410))),"Customer Support",ISNUMBER(SEARCH("engineer",B410)),"Engineer (Technical)",ISNUMBER(SEARCH("manager",B410)),"Manager",OR(ISNUMBER(SEARCH("teacher",B410)),ISNUMBER(SEARCH("trainer",B410)),ISNUMBER(SEARCH("faculty",B410))),"Teacher / Trainer",OR(ISNUMBER(SEARCH("doctor",B410)),ISNUMBER(SEARCH("nurse",B410)),ISNUMBER(SEARCH("medical",B410)),ISNUMBER(SEARCH("pharma",B410)),ISNUMBER(SEARCH("clinical",B410))),"Healthcare",TRUE,"Other")</f>
        <v/>
      </c>
      <c r="B344">
        <f>IF(PROPER(TRIM(Raw_Data!D407))="Bangalore","Bengaluru",IF(PROPER(TRIM(Raw_Data!D407))="Gurgaon","Gurugram",IF(OR(PROPER(TRIM(Raw_Data!D407))="New Delhi",PROPER(TRIM(Raw_Data!D407))="Delhi"),"Delhi",PROPER(TRIM(Raw_Data!D407)))))</f>
        <v/>
      </c>
      <c r="C344">
        <f>IF(TRIM(Raw_Data!F407&amp;"")="","Not Specified",Raw_Data!F407)</f>
        <v/>
      </c>
      <c r="D344">
        <f>Raw_Data!H407</f>
        <v/>
      </c>
      <c r="E344">
        <f>Raw_Data!E407</f>
        <v/>
      </c>
    </row>
    <row r="345">
      <c r="A345">
        <f>_xlfn.IFS(ISNUMBER(SEARCH("data analy",B411)),"Data Analyst",ISNUMBER(SEARCH("business analy",B411)),"Business Analyst",OR(ISNUMBER(SEARCH("developer",B411)),ISNUMBER(SEARCH("software engineer",B411)),ISNUMBER(SEARCH("programmer",B411))),"Software Developer",ISNUMBER(SEARCH("business development",B411)),"Business Development",ISNUMBER(SEARCH("sales",B411)),"Sales Executive",ISNUMBER(SEARCH("marketing",B411)),"Marketing Executive",OR(ISNUMBER(SEARCH("hr ",B411)),ISNUMBER(SEARCH("recruit",B411)),ISNUMBER(SEARCH("human resource",B411))),"HR / Recruiter",OR(ISNUMBER(SEARCH("account",B411)),ISNUMBER(SEARCH("finance",B411)),ISNUMBER(SEARCH("tax",B411)),ISNUMBER(SEARCH("audit",B411))),"Accountant / Finance",OR(ISNUMBER(SEARCH("customer service",B411)),ISNUMBER(SEARCH("customer support",B411)),ISNUMBER(SEARCH("customer care",B411)),ISNUMBER(SEARCH("voice process",B411)),ISNUMBER(SEARCH("bpo",B411))),"Customer Support",ISNUMBER(SEARCH("engineer",B411)),"Engineer (Technical)",ISNUMBER(SEARCH("manager",B411)),"Manager",OR(ISNUMBER(SEARCH("teacher",B411)),ISNUMBER(SEARCH("trainer",B411)),ISNUMBER(SEARCH("faculty",B411))),"Teacher / Trainer",OR(ISNUMBER(SEARCH("doctor",B411)),ISNUMBER(SEARCH("nurse",B411)),ISNUMBER(SEARCH("medical",B411)),ISNUMBER(SEARCH("pharma",B411)),ISNUMBER(SEARCH("clinical",B411))),"Healthcare",TRUE,"Other")</f>
        <v/>
      </c>
      <c r="B345">
        <f>IF(PROPER(TRIM(Raw_Data!D408))="Bangalore","Bengaluru",IF(PROPER(TRIM(Raw_Data!D408))="Gurgaon","Gurugram",IF(OR(PROPER(TRIM(Raw_Data!D408))="New Delhi",PROPER(TRIM(Raw_Data!D408))="Delhi"),"Delhi",PROPER(TRIM(Raw_Data!D408)))))</f>
        <v/>
      </c>
      <c r="C345">
        <f>IF(TRIM(Raw_Data!F408&amp;"")="","Not Specified",Raw_Data!F408)</f>
        <v/>
      </c>
      <c r="D345">
        <f>Raw_Data!H408</f>
        <v/>
      </c>
      <c r="E345">
        <f>Raw_Data!E408</f>
        <v/>
      </c>
    </row>
    <row r="346">
      <c r="A346">
        <f>_xlfn.IFS(ISNUMBER(SEARCH("data analy",B412)),"Data Analyst",ISNUMBER(SEARCH("business analy",B412)),"Business Analyst",OR(ISNUMBER(SEARCH("developer",B412)),ISNUMBER(SEARCH("software engineer",B412)),ISNUMBER(SEARCH("programmer",B412))),"Software Developer",ISNUMBER(SEARCH("business development",B412)),"Business Development",ISNUMBER(SEARCH("sales",B412)),"Sales Executive",ISNUMBER(SEARCH("marketing",B412)),"Marketing Executive",OR(ISNUMBER(SEARCH("hr ",B412)),ISNUMBER(SEARCH("recruit",B412)),ISNUMBER(SEARCH("human resource",B412))),"HR / Recruiter",OR(ISNUMBER(SEARCH("account",B412)),ISNUMBER(SEARCH("finance",B412)),ISNUMBER(SEARCH("tax",B412)),ISNUMBER(SEARCH("audit",B412))),"Accountant / Finance",OR(ISNUMBER(SEARCH("customer service",B412)),ISNUMBER(SEARCH("customer support",B412)),ISNUMBER(SEARCH("customer care",B412)),ISNUMBER(SEARCH("voice process",B412)),ISNUMBER(SEARCH("bpo",B412))),"Customer Support",ISNUMBER(SEARCH("engineer",B412)),"Engineer (Technical)",ISNUMBER(SEARCH("manager",B412)),"Manager",OR(ISNUMBER(SEARCH("teacher",B412)),ISNUMBER(SEARCH("trainer",B412)),ISNUMBER(SEARCH("faculty",B412))),"Teacher / Trainer",OR(ISNUMBER(SEARCH("doctor",B412)),ISNUMBER(SEARCH("nurse",B412)),ISNUMBER(SEARCH("medical",B412)),ISNUMBER(SEARCH("pharma",B412)),ISNUMBER(SEARCH("clinical",B412))),"Healthcare",TRUE,"Other")</f>
        <v/>
      </c>
      <c r="B346">
        <f>IF(PROPER(TRIM(Raw_Data!D409))="Bangalore","Bengaluru",IF(PROPER(TRIM(Raw_Data!D409))="Gurgaon","Gurugram",IF(OR(PROPER(TRIM(Raw_Data!D409))="New Delhi",PROPER(TRIM(Raw_Data!D409))="Delhi"),"Delhi",PROPER(TRIM(Raw_Data!D409)))))</f>
        <v/>
      </c>
      <c r="C346">
        <f>IF(TRIM(Raw_Data!F409&amp;"")="","Not Specified",Raw_Data!F409)</f>
        <v/>
      </c>
      <c r="D346">
        <f>Raw_Data!H409</f>
        <v/>
      </c>
      <c r="E346">
        <f>Raw_Data!E409</f>
        <v/>
      </c>
    </row>
    <row r="347">
      <c r="A347">
        <f>_xlfn.IFS(ISNUMBER(SEARCH("data analy",B413)),"Data Analyst",ISNUMBER(SEARCH("business analy",B413)),"Business Analyst",OR(ISNUMBER(SEARCH("developer",B413)),ISNUMBER(SEARCH("software engineer",B413)),ISNUMBER(SEARCH("programmer",B413))),"Software Developer",ISNUMBER(SEARCH("business development",B413)),"Business Development",ISNUMBER(SEARCH("sales",B413)),"Sales Executive",ISNUMBER(SEARCH("marketing",B413)),"Marketing Executive",OR(ISNUMBER(SEARCH("hr ",B413)),ISNUMBER(SEARCH("recruit",B413)),ISNUMBER(SEARCH("human resource",B413))),"HR / Recruiter",OR(ISNUMBER(SEARCH("account",B413)),ISNUMBER(SEARCH("finance",B413)),ISNUMBER(SEARCH("tax",B413)),ISNUMBER(SEARCH("audit",B413))),"Accountant / Finance",OR(ISNUMBER(SEARCH("customer service",B413)),ISNUMBER(SEARCH("customer support",B413)),ISNUMBER(SEARCH("customer care",B413)),ISNUMBER(SEARCH("voice process",B413)),ISNUMBER(SEARCH("bpo",B413))),"Customer Support",ISNUMBER(SEARCH("engineer",B413)),"Engineer (Technical)",ISNUMBER(SEARCH("manager",B413)),"Manager",OR(ISNUMBER(SEARCH("teacher",B413)),ISNUMBER(SEARCH("trainer",B413)),ISNUMBER(SEARCH("faculty",B413))),"Teacher / Trainer",OR(ISNUMBER(SEARCH("doctor",B413)),ISNUMBER(SEARCH("nurse",B413)),ISNUMBER(SEARCH("medical",B413)),ISNUMBER(SEARCH("pharma",B413)),ISNUMBER(SEARCH("clinical",B413))),"Healthcare",TRUE,"Other")</f>
        <v/>
      </c>
      <c r="B347">
        <f>IF(PROPER(TRIM(Raw_Data!D41))="Bangalore","Bengaluru",IF(PROPER(TRIM(Raw_Data!D41))="Gurgaon","Gurugram",IF(OR(PROPER(TRIM(Raw_Data!D41))="New Delhi",PROPER(TRIM(Raw_Data!D41))="Delhi"),"Delhi",PROPER(TRIM(Raw_Data!D41)))))</f>
        <v/>
      </c>
      <c r="C347">
        <f>IF(TRIM(Raw_Data!F41&amp;"")="","Not Specified",Raw_Data!F41)</f>
        <v/>
      </c>
      <c r="D347">
        <f>Raw_Data!H41</f>
        <v/>
      </c>
      <c r="E347">
        <f>Raw_Data!E41</f>
        <v/>
      </c>
    </row>
    <row r="348">
      <c r="A348">
        <f>_xlfn.IFS(ISNUMBER(SEARCH("data analy",B414)),"Data Analyst",ISNUMBER(SEARCH("business analy",B414)),"Business Analyst",OR(ISNUMBER(SEARCH("developer",B414)),ISNUMBER(SEARCH("software engineer",B414)),ISNUMBER(SEARCH("programmer",B414))),"Software Developer",ISNUMBER(SEARCH("business development",B414)),"Business Development",ISNUMBER(SEARCH("sales",B414)),"Sales Executive",ISNUMBER(SEARCH("marketing",B414)),"Marketing Executive",OR(ISNUMBER(SEARCH("hr ",B414)),ISNUMBER(SEARCH("recruit",B414)),ISNUMBER(SEARCH("human resource",B414))),"HR / Recruiter",OR(ISNUMBER(SEARCH("account",B414)),ISNUMBER(SEARCH("finance",B414)),ISNUMBER(SEARCH("tax",B414)),ISNUMBER(SEARCH("audit",B414))),"Accountant / Finance",OR(ISNUMBER(SEARCH("customer service",B414)),ISNUMBER(SEARCH("customer support",B414)),ISNUMBER(SEARCH("customer care",B414)),ISNUMBER(SEARCH("voice process",B414)),ISNUMBER(SEARCH("bpo",B414))),"Customer Support",ISNUMBER(SEARCH("engineer",B414)),"Engineer (Technical)",ISNUMBER(SEARCH("manager",B414)),"Manager",OR(ISNUMBER(SEARCH("teacher",B414)),ISNUMBER(SEARCH("trainer",B414)),ISNUMBER(SEARCH("faculty",B414))),"Teacher / Trainer",OR(ISNUMBER(SEARCH("doctor",B414)),ISNUMBER(SEARCH("nurse",B414)),ISNUMBER(SEARCH("medical",B414)),ISNUMBER(SEARCH("pharma",B414)),ISNUMBER(SEARCH("clinical",B414))),"Healthcare",TRUE,"Other")</f>
        <v/>
      </c>
      <c r="B348">
        <f>IF(PROPER(TRIM(Raw_Data!D410))="Bangalore","Bengaluru",IF(PROPER(TRIM(Raw_Data!D410))="Gurgaon","Gurugram",IF(OR(PROPER(TRIM(Raw_Data!D410))="New Delhi",PROPER(TRIM(Raw_Data!D410))="Delhi"),"Delhi",PROPER(TRIM(Raw_Data!D410)))))</f>
        <v/>
      </c>
      <c r="C348">
        <f>IF(TRIM(Raw_Data!F410&amp;"")="","Not Specified",Raw_Data!F410)</f>
        <v/>
      </c>
      <c r="D348">
        <f>Raw_Data!H410</f>
        <v/>
      </c>
      <c r="E348">
        <f>Raw_Data!E410</f>
        <v/>
      </c>
    </row>
    <row r="349">
      <c r="A349">
        <f>_xlfn.IFS(ISNUMBER(SEARCH("data analy",B415)),"Data Analyst",ISNUMBER(SEARCH("business analy",B415)),"Business Analyst",OR(ISNUMBER(SEARCH("developer",B415)),ISNUMBER(SEARCH("software engineer",B415)),ISNUMBER(SEARCH("programmer",B415))),"Software Developer",ISNUMBER(SEARCH("business development",B415)),"Business Development",ISNUMBER(SEARCH("sales",B415)),"Sales Executive",ISNUMBER(SEARCH("marketing",B415)),"Marketing Executive",OR(ISNUMBER(SEARCH("hr ",B415)),ISNUMBER(SEARCH("recruit",B415)),ISNUMBER(SEARCH("human resource",B415))),"HR / Recruiter",OR(ISNUMBER(SEARCH("account",B415)),ISNUMBER(SEARCH("finance",B415)),ISNUMBER(SEARCH("tax",B415)),ISNUMBER(SEARCH("audit",B415))),"Accountant / Finance",OR(ISNUMBER(SEARCH("customer service",B415)),ISNUMBER(SEARCH("customer support",B415)),ISNUMBER(SEARCH("customer care",B415)),ISNUMBER(SEARCH("voice process",B415)),ISNUMBER(SEARCH("bpo",B415))),"Customer Support",ISNUMBER(SEARCH("engineer",B415)),"Engineer (Technical)",ISNUMBER(SEARCH("manager",B415)),"Manager",OR(ISNUMBER(SEARCH("teacher",B415)),ISNUMBER(SEARCH("trainer",B415)),ISNUMBER(SEARCH("faculty",B415))),"Teacher / Trainer",OR(ISNUMBER(SEARCH("doctor",B415)),ISNUMBER(SEARCH("nurse",B415)),ISNUMBER(SEARCH("medical",B415)),ISNUMBER(SEARCH("pharma",B415)),ISNUMBER(SEARCH("clinical",B415))),"Healthcare",TRUE,"Other")</f>
        <v/>
      </c>
      <c r="B349">
        <f>IF(PROPER(TRIM(Raw_Data!D411))="Bangalore","Bengaluru",IF(PROPER(TRIM(Raw_Data!D411))="Gurgaon","Gurugram",IF(OR(PROPER(TRIM(Raw_Data!D411))="New Delhi",PROPER(TRIM(Raw_Data!D411))="Delhi"),"Delhi",PROPER(TRIM(Raw_Data!D411)))))</f>
        <v/>
      </c>
      <c r="C349">
        <f>IF(TRIM(Raw_Data!F411&amp;"")="","Not Specified",Raw_Data!F411)</f>
        <v/>
      </c>
      <c r="D349">
        <f>Raw_Data!H411</f>
        <v/>
      </c>
      <c r="E349">
        <f>Raw_Data!E411</f>
        <v/>
      </c>
    </row>
    <row r="350">
      <c r="A350">
        <f>_xlfn.IFS(ISNUMBER(SEARCH("data analy",B416)),"Data Analyst",ISNUMBER(SEARCH("business analy",B416)),"Business Analyst",OR(ISNUMBER(SEARCH("developer",B416)),ISNUMBER(SEARCH("software engineer",B416)),ISNUMBER(SEARCH("programmer",B416))),"Software Developer",ISNUMBER(SEARCH("business development",B416)),"Business Development",ISNUMBER(SEARCH("sales",B416)),"Sales Executive",ISNUMBER(SEARCH("marketing",B416)),"Marketing Executive",OR(ISNUMBER(SEARCH("hr ",B416)),ISNUMBER(SEARCH("recruit",B416)),ISNUMBER(SEARCH("human resource",B416))),"HR / Recruiter",OR(ISNUMBER(SEARCH("account",B416)),ISNUMBER(SEARCH("finance",B416)),ISNUMBER(SEARCH("tax",B416)),ISNUMBER(SEARCH("audit",B416))),"Accountant / Finance",OR(ISNUMBER(SEARCH("customer service",B416)),ISNUMBER(SEARCH("customer support",B416)),ISNUMBER(SEARCH("customer care",B416)),ISNUMBER(SEARCH("voice process",B416)),ISNUMBER(SEARCH("bpo",B416))),"Customer Support",ISNUMBER(SEARCH("engineer",B416)),"Engineer (Technical)",ISNUMBER(SEARCH("manager",B416)),"Manager",OR(ISNUMBER(SEARCH("teacher",B416)),ISNUMBER(SEARCH("trainer",B416)),ISNUMBER(SEARCH("faculty",B416))),"Teacher / Trainer",OR(ISNUMBER(SEARCH("doctor",B416)),ISNUMBER(SEARCH("nurse",B416)),ISNUMBER(SEARCH("medical",B416)),ISNUMBER(SEARCH("pharma",B416)),ISNUMBER(SEARCH("clinical",B416))),"Healthcare",TRUE,"Other")</f>
        <v/>
      </c>
      <c r="B350">
        <f>IF(PROPER(TRIM(Raw_Data!D412))="Bangalore","Bengaluru",IF(PROPER(TRIM(Raw_Data!D412))="Gurgaon","Gurugram",IF(OR(PROPER(TRIM(Raw_Data!D412))="New Delhi",PROPER(TRIM(Raw_Data!D412))="Delhi"),"Delhi",PROPER(TRIM(Raw_Data!D412)))))</f>
        <v/>
      </c>
      <c r="C350">
        <f>IF(TRIM(Raw_Data!F412&amp;"")="","Not Specified",Raw_Data!F412)</f>
        <v/>
      </c>
      <c r="D350">
        <f>Raw_Data!H412</f>
        <v/>
      </c>
      <c r="E350">
        <f>Raw_Data!E412</f>
        <v/>
      </c>
    </row>
    <row r="351">
      <c r="A351">
        <f>_xlfn.IFS(ISNUMBER(SEARCH("data analy",B417)),"Data Analyst",ISNUMBER(SEARCH("business analy",B417)),"Business Analyst",OR(ISNUMBER(SEARCH("developer",B417)),ISNUMBER(SEARCH("software engineer",B417)),ISNUMBER(SEARCH("programmer",B417))),"Software Developer",ISNUMBER(SEARCH("business development",B417)),"Business Development",ISNUMBER(SEARCH("sales",B417)),"Sales Executive",ISNUMBER(SEARCH("marketing",B417)),"Marketing Executive",OR(ISNUMBER(SEARCH("hr ",B417)),ISNUMBER(SEARCH("recruit",B417)),ISNUMBER(SEARCH("human resource",B417))),"HR / Recruiter",OR(ISNUMBER(SEARCH("account",B417)),ISNUMBER(SEARCH("finance",B417)),ISNUMBER(SEARCH("tax",B417)),ISNUMBER(SEARCH("audit",B417))),"Accountant / Finance",OR(ISNUMBER(SEARCH("customer service",B417)),ISNUMBER(SEARCH("customer support",B417)),ISNUMBER(SEARCH("customer care",B417)),ISNUMBER(SEARCH("voice process",B417)),ISNUMBER(SEARCH("bpo",B417))),"Customer Support",ISNUMBER(SEARCH("engineer",B417)),"Engineer (Technical)",ISNUMBER(SEARCH("manager",B417)),"Manager",OR(ISNUMBER(SEARCH("teacher",B417)),ISNUMBER(SEARCH("trainer",B417)),ISNUMBER(SEARCH("faculty",B417))),"Teacher / Trainer",OR(ISNUMBER(SEARCH("doctor",B417)),ISNUMBER(SEARCH("nurse",B417)),ISNUMBER(SEARCH("medical",B417)),ISNUMBER(SEARCH("pharma",B417)),ISNUMBER(SEARCH("clinical",B417))),"Healthcare",TRUE,"Other")</f>
        <v/>
      </c>
      <c r="B351">
        <f>IF(PROPER(TRIM(Raw_Data!D413))="Bangalore","Bengaluru",IF(PROPER(TRIM(Raw_Data!D413))="Gurgaon","Gurugram",IF(OR(PROPER(TRIM(Raw_Data!D413))="New Delhi",PROPER(TRIM(Raw_Data!D413))="Delhi"),"Delhi",PROPER(TRIM(Raw_Data!D413)))))</f>
        <v/>
      </c>
      <c r="C351">
        <f>IF(TRIM(Raw_Data!F413&amp;"")="","Not Specified",Raw_Data!F413)</f>
        <v/>
      </c>
      <c r="D351">
        <f>Raw_Data!H413</f>
        <v/>
      </c>
      <c r="E351">
        <f>Raw_Data!E413</f>
        <v/>
      </c>
    </row>
    <row r="352">
      <c r="A352">
        <f>_xlfn.IFS(ISNUMBER(SEARCH("data analy",B418)),"Data Analyst",ISNUMBER(SEARCH("business analy",B418)),"Business Analyst",OR(ISNUMBER(SEARCH("developer",B418)),ISNUMBER(SEARCH("software engineer",B418)),ISNUMBER(SEARCH("programmer",B418))),"Software Developer",ISNUMBER(SEARCH("business development",B418)),"Business Development",ISNUMBER(SEARCH("sales",B418)),"Sales Executive",ISNUMBER(SEARCH("marketing",B418)),"Marketing Executive",OR(ISNUMBER(SEARCH("hr ",B418)),ISNUMBER(SEARCH("recruit",B418)),ISNUMBER(SEARCH("human resource",B418))),"HR / Recruiter",OR(ISNUMBER(SEARCH("account",B418)),ISNUMBER(SEARCH("finance",B418)),ISNUMBER(SEARCH("tax",B418)),ISNUMBER(SEARCH("audit",B418))),"Accountant / Finance",OR(ISNUMBER(SEARCH("customer service",B418)),ISNUMBER(SEARCH("customer support",B418)),ISNUMBER(SEARCH("customer care",B418)),ISNUMBER(SEARCH("voice process",B418)),ISNUMBER(SEARCH("bpo",B418))),"Customer Support",ISNUMBER(SEARCH("engineer",B418)),"Engineer (Technical)",ISNUMBER(SEARCH("manager",B418)),"Manager",OR(ISNUMBER(SEARCH("teacher",B418)),ISNUMBER(SEARCH("trainer",B418)),ISNUMBER(SEARCH("faculty",B418))),"Teacher / Trainer",OR(ISNUMBER(SEARCH("doctor",B418)),ISNUMBER(SEARCH("nurse",B418)),ISNUMBER(SEARCH("medical",B418)),ISNUMBER(SEARCH("pharma",B418)),ISNUMBER(SEARCH("clinical",B418))),"Healthcare",TRUE,"Other")</f>
        <v/>
      </c>
      <c r="B352">
        <f>IF(PROPER(TRIM(Raw_Data!D414))="Bangalore","Bengaluru",IF(PROPER(TRIM(Raw_Data!D414))="Gurgaon","Gurugram",IF(OR(PROPER(TRIM(Raw_Data!D414))="New Delhi",PROPER(TRIM(Raw_Data!D414))="Delhi"),"Delhi",PROPER(TRIM(Raw_Data!D414)))))</f>
        <v/>
      </c>
      <c r="C352">
        <f>IF(TRIM(Raw_Data!F414&amp;"")="","Not Specified",Raw_Data!F414)</f>
        <v/>
      </c>
      <c r="D352">
        <f>Raw_Data!H414</f>
        <v/>
      </c>
      <c r="E352">
        <f>Raw_Data!E414</f>
        <v/>
      </c>
    </row>
    <row r="353">
      <c r="A353">
        <f>_xlfn.IFS(ISNUMBER(SEARCH("data analy",B419)),"Data Analyst",ISNUMBER(SEARCH("business analy",B419)),"Business Analyst",OR(ISNUMBER(SEARCH("developer",B419)),ISNUMBER(SEARCH("software engineer",B419)),ISNUMBER(SEARCH("programmer",B419))),"Software Developer",ISNUMBER(SEARCH("business development",B419)),"Business Development",ISNUMBER(SEARCH("sales",B419)),"Sales Executive",ISNUMBER(SEARCH("marketing",B419)),"Marketing Executive",OR(ISNUMBER(SEARCH("hr ",B419)),ISNUMBER(SEARCH("recruit",B419)),ISNUMBER(SEARCH("human resource",B419))),"HR / Recruiter",OR(ISNUMBER(SEARCH("account",B419)),ISNUMBER(SEARCH("finance",B419)),ISNUMBER(SEARCH("tax",B419)),ISNUMBER(SEARCH("audit",B419))),"Accountant / Finance",OR(ISNUMBER(SEARCH("customer service",B419)),ISNUMBER(SEARCH("customer support",B419)),ISNUMBER(SEARCH("customer care",B419)),ISNUMBER(SEARCH("voice process",B419)),ISNUMBER(SEARCH("bpo",B419))),"Customer Support",ISNUMBER(SEARCH("engineer",B419)),"Engineer (Technical)",ISNUMBER(SEARCH("manager",B419)),"Manager",OR(ISNUMBER(SEARCH("teacher",B419)),ISNUMBER(SEARCH("trainer",B419)),ISNUMBER(SEARCH("faculty",B419))),"Teacher / Trainer",OR(ISNUMBER(SEARCH("doctor",B419)),ISNUMBER(SEARCH("nurse",B419)),ISNUMBER(SEARCH("medical",B419)),ISNUMBER(SEARCH("pharma",B419)),ISNUMBER(SEARCH("clinical",B419))),"Healthcare",TRUE,"Other")</f>
        <v/>
      </c>
      <c r="B353">
        <f>IF(PROPER(TRIM(Raw_Data!D415))="Bangalore","Bengaluru",IF(PROPER(TRIM(Raw_Data!D415))="Gurgaon","Gurugram",IF(OR(PROPER(TRIM(Raw_Data!D415))="New Delhi",PROPER(TRIM(Raw_Data!D415))="Delhi"),"Delhi",PROPER(TRIM(Raw_Data!D415)))))</f>
        <v/>
      </c>
      <c r="C353">
        <f>IF(TRIM(Raw_Data!F415&amp;"")="","Not Specified",Raw_Data!F415)</f>
        <v/>
      </c>
      <c r="D353">
        <f>Raw_Data!H415</f>
        <v/>
      </c>
      <c r="E353">
        <f>Raw_Data!E415</f>
        <v/>
      </c>
    </row>
    <row r="354">
      <c r="A354">
        <f>_xlfn.IFS(ISNUMBER(SEARCH("data analy",B42)),"Data Analyst",ISNUMBER(SEARCH("business analy",B42)),"Business Analyst",OR(ISNUMBER(SEARCH("developer",B42)),ISNUMBER(SEARCH("software engineer",B42)),ISNUMBER(SEARCH("programmer",B42))),"Software Developer",ISNUMBER(SEARCH("business development",B42)),"Business Development",ISNUMBER(SEARCH("sales",B42)),"Sales Executive",ISNUMBER(SEARCH("marketing",B42)),"Marketing Executive",OR(ISNUMBER(SEARCH("hr ",B42)),ISNUMBER(SEARCH("recruit",B42)),ISNUMBER(SEARCH("human resource",B42))),"HR / Recruiter",OR(ISNUMBER(SEARCH("account",B42)),ISNUMBER(SEARCH("finance",B42)),ISNUMBER(SEARCH("tax",B42)),ISNUMBER(SEARCH("audit",B42))),"Accountant / Finance",OR(ISNUMBER(SEARCH("customer service",B42)),ISNUMBER(SEARCH("customer support",B42)),ISNUMBER(SEARCH("customer care",B42)),ISNUMBER(SEARCH("voice process",B42)),ISNUMBER(SEARCH("bpo",B42))),"Customer Support",ISNUMBER(SEARCH("engineer",B42)),"Engineer (Technical)",ISNUMBER(SEARCH("manager",B42)),"Manager",OR(ISNUMBER(SEARCH("teacher",B42)),ISNUMBER(SEARCH("trainer",B42)),ISNUMBER(SEARCH("faculty",B42))),"Teacher / Trainer",OR(ISNUMBER(SEARCH("doctor",B42)),ISNUMBER(SEARCH("nurse",B42)),ISNUMBER(SEARCH("medical",B42)),ISNUMBER(SEARCH("pharma",B42)),ISNUMBER(SEARCH("clinical",B42))),"Healthcare",TRUE,"Other")</f>
        <v/>
      </c>
      <c r="B354">
        <f>IF(PROPER(TRIM(Raw_Data!D416))="Bangalore","Bengaluru",IF(PROPER(TRIM(Raw_Data!D416))="Gurgaon","Gurugram",IF(OR(PROPER(TRIM(Raw_Data!D416))="New Delhi",PROPER(TRIM(Raw_Data!D416))="Delhi"),"Delhi",PROPER(TRIM(Raw_Data!D416)))))</f>
        <v/>
      </c>
      <c r="C354">
        <f>IF(TRIM(Raw_Data!F416&amp;"")="","Not Specified",Raw_Data!F416)</f>
        <v/>
      </c>
      <c r="D354">
        <f>Raw_Data!H416</f>
        <v/>
      </c>
      <c r="E354">
        <f>Raw_Data!E416</f>
        <v/>
      </c>
    </row>
    <row r="355">
      <c r="A355">
        <f>_xlfn.IFS(ISNUMBER(SEARCH("data analy",B420)),"Data Analyst",ISNUMBER(SEARCH("business analy",B420)),"Business Analyst",OR(ISNUMBER(SEARCH("developer",B420)),ISNUMBER(SEARCH("software engineer",B420)),ISNUMBER(SEARCH("programmer",B420))),"Software Developer",ISNUMBER(SEARCH("business development",B420)),"Business Development",ISNUMBER(SEARCH("sales",B420)),"Sales Executive",ISNUMBER(SEARCH("marketing",B420)),"Marketing Executive",OR(ISNUMBER(SEARCH("hr ",B420)),ISNUMBER(SEARCH("recruit",B420)),ISNUMBER(SEARCH("human resource",B420))),"HR / Recruiter",OR(ISNUMBER(SEARCH("account",B420)),ISNUMBER(SEARCH("finance",B420)),ISNUMBER(SEARCH("tax",B420)),ISNUMBER(SEARCH("audit",B420))),"Accountant / Finance",OR(ISNUMBER(SEARCH("customer service",B420)),ISNUMBER(SEARCH("customer support",B420)),ISNUMBER(SEARCH("customer care",B420)),ISNUMBER(SEARCH("voice process",B420)),ISNUMBER(SEARCH("bpo",B420))),"Customer Support",ISNUMBER(SEARCH("engineer",B420)),"Engineer (Technical)",ISNUMBER(SEARCH("manager",B420)),"Manager",OR(ISNUMBER(SEARCH("teacher",B420)),ISNUMBER(SEARCH("trainer",B420)),ISNUMBER(SEARCH("faculty",B420))),"Teacher / Trainer",OR(ISNUMBER(SEARCH("doctor",B420)),ISNUMBER(SEARCH("nurse",B420)),ISNUMBER(SEARCH("medical",B420)),ISNUMBER(SEARCH("pharma",B420)),ISNUMBER(SEARCH("clinical",B420))),"Healthcare",TRUE,"Other")</f>
        <v/>
      </c>
      <c r="B355">
        <f>IF(PROPER(TRIM(Raw_Data!D417))="Bangalore","Bengaluru",IF(PROPER(TRIM(Raw_Data!D417))="Gurgaon","Gurugram",IF(OR(PROPER(TRIM(Raw_Data!D417))="New Delhi",PROPER(TRIM(Raw_Data!D417))="Delhi"),"Delhi",PROPER(TRIM(Raw_Data!D417)))))</f>
        <v/>
      </c>
      <c r="C355">
        <f>IF(TRIM(Raw_Data!F417&amp;"")="","Not Specified",Raw_Data!F417)</f>
        <v/>
      </c>
      <c r="D355">
        <f>Raw_Data!H417</f>
        <v/>
      </c>
      <c r="E355">
        <f>Raw_Data!E417</f>
        <v/>
      </c>
    </row>
    <row r="356">
      <c r="A356">
        <f>_xlfn.IFS(ISNUMBER(SEARCH("data analy",B421)),"Data Analyst",ISNUMBER(SEARCH("business analy",B421)),"Business Analyst",OR(ISNUMBER(SEARCH("developer",B421)),ISNUMBER(SEARCH("software engineer",B421)),ISNUMBER(SEARCH("programmer",B421))),"Software Developer",ISNUMBER(SEARCH("business development",B421)),"Business Development",ISNUMBER(SEARCH("sales",B421)),"Sales Executive",ISNUMBER(SEARCH("marketing",B421)),"Marketing Executive",OR(ISNUMBER(SEARCH("hr ",B421)),ISNUMBER(SEARCH("recruit",B421)),ISNUMBER(SEARCH("human resource",B421))),"HR / Recruiter",OR(ISNUMBER(SEARCH("account",B421)),ISNUMBER(SEARCH("finance",B421)),ISNUMBER(SEARCH("tax",B421)),ISNUMBER(SEARCH("audit",B421))),"Accountant / Finance",OR(ISNUMBER(SEARCH("customer service",B421)),ISNUMBER(SEARCH("customer support",B421)),ISNUMBER(SEARCH("customer care",B421)),ISNUMBER(SEARCH("voice process",B421)),ISNUMBER(SEARCH("bpo",B421))),"Customer Support",ISNUMBER(SEARCH("engineer",B421)),"Engineer (Technical)",ISNUMBER(SEARCH("manager",B421)),"Manager",OR(ISNUMBER(SEARCH("teacher",B421)),ISNUMBER(SEARCH("trainer",B421)),ISNUMBER(SEARCH("faculty",B421))),"Teacher / Trainer",OR(ISNUMBER(SEARCH("doctor",B421)),ISNUMBER(SEARCH("nurse",B421)),ISNUMBER(SEARCH("medical",B421)),ISNUMBER(SEARCH("pharma",B421)),ISNUMBER(SEARCH("clinical",B421))),"Healthcare",TRUE,"Other")</f>
        <v/>
      </c>
      <c r="B356">
        <f>IF(PROPER(TRIM(Raw_Data!D418))="Bangalore","Bengaluru",IF(PROPER(TRIM(Raw_Data!D418))="Gurgaon","Gurugram",IF(OR(PROPER(TRIM(Raw_Data!D418))="New Delhi",PROPER(TRIM(Raw_Data!D418))="Delhi"),"Delhi",PROPER(TRIM(Raw_Data!D418)))))</f>
        <v/>
      </c>
      <c r="C356">
        <f>IF(TRIM(Raw_Data!F418&amp;"")="","Not Specified",Raw_Data!F418)</f>
        <v/>
      </c>
      <c r="D356">
        <f>Raw_Data!H418</f>
        <v/>
      </c>
      <c r="E356">
        <f>Raw_Data!E418</f>
        <v/>
      </c>
    </row>
    <row r="357">
      <c r="A357">
        <f>_xlfn.IFS(ISNUMBER(SEARCH("data analy",B422)),"Data Analyst",ISNUMBER(SEARCH("business analy",B422)),"Business Analyst",OR(ISNUMBER(SEARCH("developer",B422)),ISNUMBER(SEARCH("software engineer",B422)),ISNUMBER(SEARCH("programmer",B422))),"Software Developer",ISNUMBER(SEARCH("business development",B422)),"Business Development",ISNUMBER(SEARCH("sales",B422)),"Sales Executive",ISNUMBER(SEARCH("marketing",B422)),"Marketing Executive",OR(ISNUMBER(SEARCH("hr ",B422)),ISNUMBER(SEARCH("recruit",B422)),ISNUMBER(SEARCH("human resource",B422))),"HR / Recruiter",OR(ISNUMBER(SEARCH("account",B422)),ISNUMBER(SEARCH("finance",B422)),ISNUMBER(SEARCH("tax",B422)),ISNUMBER(SEARCH("audit",B422))),"Accountant / Finance",OR(ISNUMBER(SEARCH("customer service",B422)),ISNUMBER(SEARCH("customer support",B422)),ISNUMBER(SEARCH("customer care",B422)),ISNUMBER(SEARCH("voice process",B422)),ISNUMBER(SEARCH("bpo",B422))),"Customer Support",ISNUMBER(SEARCH("engineer",B422)),"Engineer (Technical)",ISNUMBER(SEARCH("manager",B422)),"Manager",OR(ISNUMBER(SEARCH("teacher",B422)),ISNUMBER(SEARCH("trainer",B422)),ISNUMBER(SEARCH("faculty",B422))),"Teacher / Trainer",OR(ISNUMBER(SEARCH("doctor",B422)),ISNUMBER(SEARCH("nurse",B422)),ISNUMBER(SEARCH("medical",B422)),ISNUMBER(SEARCH("pharma",B422)),ISNUMBER(SEARCH("clinical",B422))),"Healthcare",TRUE,"Other")</f>
        <v/>
      </c>
      <c r="B357">
        <f>IF(PROPER(TRIM(Raw_Data!D419))="Bangalore","Bengaluru",IF(PROPER(TRIM(Raw_Data!D419))="Gurgaon","Gurugram",IF(OR(PROPER(TRIM(Raw_Data!D419))="New Delhi",PROPER(TRIM(Raw_Data!D419))="Delhi"),"Delhi",PROPER(TRIM(Raw_Data!D419)))))</f>
        <v/>
      </c>
      <c r="C357">
        <f>IF(TRIM(Raw_Data!F419&amp;"")="","Not Specified",Raw_Data!F419)</f>
        <v/>
      </c>
      <c r="D357">
        <f>Raw_Data!H419</f>
        <v/>
      </c>
      <c r="E357">
        <f>Raw_Data!E419</f>
        <v/>
      </c>
    </row>
    <row r="358">
      <c r="A358">
        <f>_xlfn.IFS(ISNUMBER(SEARCH("data analy",B423)),"Data Analyst",ISNUMBER(SEARCH("business analy",B423)),"Business Analyst",OR(ISNUMBER(SEARCH("developer",B423)),ISNUMBER(SEARCH("software engineer",B423)),ISNUMBER(SEARCH("programmer",B423))),"Software Developer",ISNUMBER(SEARCH("business development",B423)),"Business Development",ISNUMBER(SEARCH("sales",B423)),"Sales Executive",ISNUMBER(SEARCH("marketing",B423)),"Marketing Executive",OR(ISNUMBER(SEARCH("hr ",B423)),ISNUMBER(SEARCH("recruit",B423)),ISNUMBER(SEARCH("human resource",B423))),"HR / Recruiter",OR(ISNUMBER(SEARCH("account",B423)),ISNUMBER(SEARCH("finance",B423)),ISNUMBER(SEARCH("tax",B423)),ISNUMBER(SEARCH("audit",B423))),"Accountant / Finance",OR(ISNUMBER(SEARCH("customer service",B423)),ISNUMBER(SEARCH("customer support",B423)),ISNUMBER(SEARCH("customer care",B423)),ISNUMBER(SEARCH("voice process",B423)),ISNUMBER(SEARCH("bpo",B423))),"Customer Support",ISNUMBER(SEARCH("engineer",B423)),"Engineer (Technical)",ISNUMBER(SEARCH("manager",B423)),"Manager",OR(ISNUMBER(SEARCH("teacher",B423)),ISNUMBER(SEARCH("trainer",B423)),ISNUMBER(SEARCH("faculty",B423))),"Teacher / Trainer",OR(ISNUMBER(SEARCH("doctor",B423)),ISNUMBER(SEARCH("nurse",B423)),ISNUMBER(SEARCH("medical",B423)),ISNUMBER(SEARCH("pharma",B423)),ISNUMBER(SEARCH("clinical",B423))),"Healthcare",TRUE,"Other")</f>
        <v/>
      </c>
      <c r="B358">
        <f>IF(PROPER(TRIM(Raw_Data!D42))="Bangalore","Bengaluru",IF(PROPER(TRIM(Raw_Data!D42))="Gurgaon","Gurugram",IF(OR(PROPER(TRIM(Raw_Data!D42))="New Delhi",PROPER(TRIM(Raw_Data!D42))="Delhi"),"Delhi",PROPER(TRIM(Raw_Data!D42)))))</f>
        <v/>
      </c>
      <c r="C358">
        <f>IF(TRIM(Raw_Data!F42&amp;"")="","Not Specified",Raw_Data!F42)</f>
        <v/>
      </c>
      <c r="D358">
        <f>Raw_Data!H42</f>
        <v/>
      </c>
      <c r="E358">
        <f>Raw_Data!E42</f>
        <v/>
      </c>
    </row>
    <row r="359">
      <c r="A359">
        <f>_xlfn.IFS(ISNUMBER(SEARCH("data analy",B424)),"Data Analyst",ISNUMBER(SEARCH("business analy",B424)),"Business Analyst",OR(ISNUMBER(SEARCH("developer",B424)),ISNUMBER(SEARCH("software engineer",B424)),ISNUMBER(SEARCH("programmer",B424))),"Software Developer",ISNUMBER(SEARCH("business development",B424)),"Business Development",ISNUMBER(SEARCH("sales",B424)),"Sales Executive",ISNUMBER(SEARCH("marketing",B424)),"Marketing Executive",OR(ISNUMBER(SEARCH("hr ",B424)),ISNUMBER(SEARCH("recruit",B424)),ISNUMBER(SEARCH("human resource",B424))),"HR / Recruiter",OR(ISNUMBER(SEARCH("account",B424)),ISNUMBER(SEARCH("finance",B424)),ISNUMBER(SEARCH("tax",B424)),ISNUMBER(SEARCH("audit",B424))),"Accountant / Finance",OR(ISNUMBER(SEARCH("customer service",B424)),ISNUMBER(SEARCH("customer support",B424)),ISNUMBER(SEARCH("customer care",B424)),ISNUMBER(SEARCH("voice process",B424)),ISNUMBER(SEARCH("bpo",B424))),"Customer Support",ISNUMBER(SEARCH("engineer",B424)),"Engineer (Technical)",ISNUMBER(SEARCH("manager",B424)),"Manager",OR(ISNUMBER(SEARCH("teacher",B424)),ISNUMBER(SEARCH("trainer",B424)),ISNUMBER(SEARCH("faculty",B424))),"Teacher / Trainer",OR(ISNUMBER(SEARCH("doctor",B424)),ISNUMBER(SEARCH("nurse",B424)),ISNUMBER(SEARCH("medical",B424)),ISNUMBER(SEARCH("pharma",B424)),ISNUMBER(SEARCH("clinical",B424))),"Healthcare",TRUE,"Other")</f>
        <v/>
      </c>
      <c r="B359">
        <f>IF(PROPER(TRIM(Raw_Data!D420))="Bangalore","Bengaluru",IF(PROPER(TRIM(Raw_Data!D420))="Gurgaon","Gurugram",IF(OR(PROPER(TRIM(Raw_Data!D420))="New Delhi",PROPER(TRIM(Raw_Data!D420))="Delhi"),"Delhi",PROPER(TRIM(Raw_Data!D420)))))</f>
        <v/>
      </c>
      <c r="C359">
        <f>IF(TRIM(Raw_Data!F420&amp;"")="","Not Specified",Raw_Data!F420)</f>
        <v/>
      </c>
      <c r="D359">
        <f>Raw_Data!H420</f>
        <v/>
      </c>
      <c r="E359">
        <f>Raw_Data!E420</f>
        <v/>
      </c>
    </row>
    <row r="360">
      <c r="A360">
        <f>_xlfn.IFS(ISNUMBER(SEARCH("data analy",B425)),"Data Analyst",ISNUMBER(SEARCH("business analy",B425)),"Business Analyst",OR(ISNUMBER(SEARCH("developer",B425)),ISNUMBER(SEARCH("software engineer",B425)),ISNUMBER(SEARCH("programmer",B425))),"Software Developer",ISNUMBER(SEARCH("business development",B425)),"Business Development",ISNUMBER(SEARCH("sales",B425)),"Sales Executive",ISNUMBER(SEARCH("marketing",B425)),"Marketing Executive",OR(ISNUMBER(SEARCH("hr ",B425)),ISNUMBER(SEARCH("recruit",B425)),ISNUMBER(SEARCH("human resource",B425))),"HR / Recruiter",OR(ISNUMBER(SEARCH("account",B425)),ISNUMBER(SEARCH("finance",B425)),ISNUMBER(SEARCH("tax",B425)),ISNUMBER(SEARCH("audit",B425))),"Accountant / Finance",OR(ISNUMBER(SEARCH("customer service",B425)),ISNUMBER(SEARCH("customer support",B425)),ISNUMBER(SEARCH("customer care",B425)),ISNUMBER(SEARCH("voice process",B425)),ISNUMBER(SEARCH("bpo",B425))),"Customer Support",ISNUMBER(SEARCH("engineer",B425)),"Engineer (Technical)",ISNUMBER(SEARCH("manager",B425)),"Manager",OR(ISNUMBER(SEARCH("teacher",B425)),ISNUMBER(SEARCH("trainer",B425)),ISNUMBER(SEARCH("faculty",B425))),"Teacher / Trainer",OR(ISNUMBER(SEARCH("doctor",B425)),ISNUMBER(SEARCH("nurse",B425)),ISNUMBER(SEARCH("medical",B425)),ISNUMBER(SEARCH("pharma",B425)),ISNUMBER(SEARCH("clinical",B425))),"Healthcare",TRUE,"Other")</f>
        <v/>
      </c>
      <c r="B360">
        <f>IF(PROPER(TRIM(Raw_Data!D421))="Bangalore","Bengaluru",IF(PROPER(TRIM(Raw_Data!D421))="Gurgaon","Gurugram",IF(OR(PROPER(TRIM(Raw_Data!D421))="New Delhi",PROPER(TRIM(Raw_Data!D421))="Delhi"),"Delhi",PROPER(TRIM(Raw_Data!D421)))))</f>
        <v/>
      </c>
      <c r="C360">
        <f>IF(TRIM(Raw_Data!F421&amp;"")="","Not Specified",Raw_Data!F421)</f>
        <v/>
      </c>
      <c r="D360">
        <f>Raw_Data!H421</f>
        <v/>
      </c>
      <c r="E360">
        <f>Raw_Data!E421</f>
        <v/>
      </c>
    </row>
    <row r="361">
      <c r="A361">
        <f>_xlfn.IFS(ISNUMBER(SEARCH("data analy",B426)),"Data Analyst",ISNUMBER(SEARCH("business analy",B426)),"Business Analyst",OR(ISNUMBER(SEARCH("developer",B426)),ISNUMBER(SEARCH("software engineer",B426)),ISNUMBER(SEARCH("programmer",B426))),"Software Developer",ISNUMBER(SEARCH("business development",B426)),"Business Development",ISNUMBER(SEARCH("sales",B426)),"Sales Executive",ISNUMBER(SEARCH("marketing",B426)),"Marketing Executive",OR(ISNUMBER(SEARCH("hr ",B426)),ISNUMBER(SEARCH("recruit",B426)),ISNUMBER(SEARCH("human resource",B426))),"HR / Recruiter",OR(ISNUMBER(SEARCH("account",B426)),ISNUMBER(SEARCH("finance",B426)),ISNUMBER(SEARCH("tax",B426)),ISNUMBER(SEARCH("audit",B426))),"Accountant / Finance",OR(ISNUMBER(SEARCH("customer service",B426)),ISNUMBER(SEARCH("customer support",B426)),ISNUMBER(SEARCH("customer care",B426)),ISNUMBER(SEARCH("voice process",B426)),ISNUMBER(SEARCH("bpo",B426))),"Customer Support",ISNUMBER(SEARCH("engineer",B426)),"Engineer (Technical)",ISNUMBER(SEARCH("manager",B426)),"Manager",OR(ISNUMBER(SEARCH("teacher",B426)),ISNUMBER(SEARCH("trainer",B426)),ISNUMBER(SEARCH("faculty",B426))),"Teacher / Trainer",OR(ISNUMBER(SEARCH("doctor",B426)),ISNUMBER(SEARCH("nurse",B426)),ISNUMBER(SEARCH("medical",B426)),ISNUMBER(SEARCH("pharma",B426)),ISNUMBER(SEARCH("clinical",B426))),"Healthcare",TRUE,"Other")</f>
        <v/>
      </c>
      <c r="B361">
        <f>IF(PROPER(TRIM(Raw_Data!D422))="Bangalore","Bengaluru",IF(PROPER(TRIM(Raw_Data!D422))="Gurgaon","Gurugram",IF(OR(PROPER(TRIM(Raw_Data!D422))="New Delhi",PROPER(TRIM(Raw_Data!D422))="Delhi"),"Delhi",PROPER(TRIM(Raw_Data!D422)))))</f>
        <v/>
      </c>
      <c r="C361">
        <f>IF(TRIM(Raw_Data!F422&amp;"")="","Not Specified",Raw_Data!F422)</f>
        <v/>
      </c>
      <c r="D361">
        <f>Raw_Data!H422</f>
        <v/>
      </c>
      <c r="E361">
        <f>Raw_Data!E422</f>
        <v/>
      </c>
    </row>
    <row r="362">
      <c r="A362">
        <f>_xlfn.IFS(ISNUMBER(SEARCH("data analy",B427)),"Data Analyst",ISNUMBER(SEARCH("business analy",B427)),"Business Analyst",OR(ISNUMBER(SEARCH("developer",B427)),ISNUMBER(SEARCH("software engineer",B427)),ISNUMBER(SEARCH("programmer",B427))),"Software Developer",ISNUMBER(SEARCH("business development",B427)),"Business Development",ISNUMBER(SEARCH("sales",B427)),"Sales Executive",ISNUMBER(SEARCH("marketing",B427)),"Marketing Executive",OR(ISNUMBER(SEARCH("hr ",B427)),ISNUMBER(SEARCH("recruit",B427)),ISNUMBER(SEARCH("human resource",B427))),"HR / Recruiter",OR(ISNUMBER(SEARCH("account",B427)),ISNUMBER(SEARCH("finance",B427)),ISNUMBER(SEARCH("tax",B427)),ISNUMBER(SEARCH("audit",B427))),"Accountant / Finance",OR(ISNUMBER(SEARCH("customer service",B427)),ISNUMBER(SEARCH("customer support",B427)),ISNUMBER(SEARCH("customer care",B427)),ISNUMBER(SEARCH("voice process",B427)),ISNUMBER(SEARCH("bpo",B427))),"Customer Support",ISNUMBER(SEARCH("engineer",B427)),"Engineer (Technical)",ISNUMBER(SEARCH("manager",B427)),"Manager",OR(ISNUMBER(SEARCH("teacher",B427)),ISNUMBER(SEARCH("trainer",B427)),ISNUMBER(SEARCH("faculty",B427))),"Teacher / Trainer",OR(ISNUMBER(SEARCH("doctor",B427)),ISNUMBER(SEARCH("nurse",B427)),ISNUMBER(SEARCH("medical",B427)),ISNUMBER(SEARCH("pharma",B427)),ISNUMBER(SEARCH("clinical",B427))),"Healthcare",TRUE,"Other")</f>
        <v/>
      </c>
      <c r="B362">
        <f>IF(PROPER(TRIM(Raw_Data!D423))="Bangalore","Bengaluru",IF(PROPER(TRIM(Raw_Data!D423))="Gurgaon","Gurugram",IF(OR(PROPER(TRIM(Raw_Data!D423))="New Delhi",PROPER(TRIM(Raw_Data!D423))="Delhi"),"Delhi",PROPER(TRIM(Raw_Data!D423)))))</f>
        <v/>
      </c>
      <c r="C362">
        <f>IF(TRIM(Raw_Data!F423&amp;"")="","Not Specified",Raw_Data!F423)</f>
        <v/>
      </c>
      <c r="D362">
        <f>Raw_Data!H423</f>
        <v/>
      </c>
      <c r="E362">
        <f>Raw_Data!E423</f>
        <v/>
      </c>
    </row>
    <row r="363">
      <c r="A363">
        <f>_xlfn.IFS(ISNUMBER(SEARCH("data analy",B428)),"Data Analyst",ISNUMBER(SEARCH("business analy",B428)),"Business Analyst",OR(ISNUMBER(SEARCH("developer",B428)),ISNUMBER(SEARCH("software engineer",B428)),ISNUMBER(SEARCH("programmer",B428))),"Software Developer",ISNUMBER(SEARCH("business development",B428)),"Business Development",ISNUMBER(SEARCH("sales",B428)),"Sales Executive",ISNUMBER(SEARCH("marketing",B428)),"Marketing Executive",OR(ISNUMBER(SEARCH("hr ",B428)),ISNUMBER(SEARCH("recruit",B428)),ISNUMBER(SEARCH("human resource",B428))),"HR / Recruiter",OR(ISNUMBER(SEARCH("account",B428)),ISNUMBER(SEARCH("finance",B428)),ISNUMBER(SEARCH("tax",B428)),ISNUMBER(SEARCH("audit",B428))),"Accountant / Finance",OR(ISNUMBER(SEARCH("customer service",B428)),ISNUMBER(SEARCH("customer support",B428)),ISNUMBER(SEARCH("customer care",B428)),ISNUMBER(SEARCH("voice process",B428)),ISNUMBER(SEARCH("bpo",B428))),"Customer Support",ISNUMBER(SEARCH("engineer",B428)),"Engineer (Technical)",ISNUMBER(SEARCH("manager",B428)),"Manager",OR(ISNUMBER(SEARCH("teacher",B428)),ISNUMBER(SEARCH("trainer",B428)),ISNUMBER(SEARCH("faculty",B428))),"Teacher / Trainer",OR(ISNUMBER(SEARCH("doctor",B428)),ISNUMBER(SEARCH("nurse",B428)),ISNUMBER(SEARCH("medical",B428)),ISNUMBER(SEARCH("pharma",B428)),ISNUMBER(SEARCH("clinical",B428))),"Healthcare",TRUE,"Other")</f>
        <v/>
      </c>
      <c r="B363">
        <f>IF(PROPER(TRIM(Raw_Data!D424))="Bangalore","Bengaluru",IF(PROPER(TRIM(Raw_Data!D424))="Gurgaon","Gurugram",IF(OR(PROPER(TRIM(Raw_Data!D424))="New Delhi",PROPER(TRIM(Raw_Data!D424))="Delhi"),"Delhi",PROPER(TRIM(Raw_Data!D424)))))</f>
        <v/>
      </c>
      <c r="C363">
        <f>IF(TRIM(Raw_Data!F424&amp;"")="","Not Specified",Raw_Data!F424)</f>
        <v/>
      </c>
      <c r="D363">
        <f>Raw_Data!H424</f>
        <v/>
      </c>
      <c r="E363">
        <f>Raw_Data!E424</f>
        <v/>
      </c>
    </row>
    <row r="364">
      <c r="A364">
        <f>_xlfn.IFS(ISNUMBER(SEARCH("data analy",B429)),"Data Analyst",ISNUMBER(SEARCH("business analy",B429)),"Business Analyst",OR(ISNUMBER(SEARCH("developer",B429)),ISNUMBER(SEARCH("software engineer",B429)),ISNUMBER(SEARCH("programmer",B429))),"Software Developer",ISNUMBER(SEARCH("business development",B429)),"Business Development",ISNUMBER(SEARCH("sales",B429)),"Sales Executive",ISNUMBER(SEARCH("marketing",B429)),"Marketing Executive",OR(ISNUMBER(SEARCH("hr ",B429)),ISNUMBER(SEARCH("recruit",B429)),ISNUMBER(SEARCH("human resource",B429))),"HR / Recruiter",OR(ISNUMBER(SEARCH("account",B429)),ISNUMBER(SEARCH("finance",B429)),ISNUMBER(SEARCH("tax",B429)),ISNUMBER(SEARCH("audit",B429))),"Accountant / Finance",OR(ISNUMBER(SEARCH("customer service",B429)),ISNUMBER(SEARCH("customer support",B429)),ISNUMBER(SEARCH("customer care",B429)),ISNUMBER(SEARCH("voice process",B429)),ISNUMBER(SEARCH("bpo",B429))),"Customer Support",ISNUMBER(SEARCH("engineer",B429)),"Engineer (Technical)",ISNUMBER(SEARCH("manager",B429)),"Manager",OR(ISNUMBER(SEARCH("teacher",B429)),ISNUMBER(SEARCH("trainer",B429)),ISNUMBER(SEARCH("faculty",B429))),"Teacher / Trainer",OR(ISNUMBER(SEARCH("doctor",B429)),ISNUMBER(SEARCH("nurse",B429)),ISNUMBER(SEARCH("medical",B429)),ISNUMBER(SEARCH("pharma",B429)),ISNUMBER(SEARCH("clinical",B429))),"Healthcare",TRUE,"Other")</f>
        <v/>
      </c>
      <c r="B364">
        <f>IF(PROPER(TRIM(Raw_Data!D425))="Bangalore","Bengaluru",IF(PROPER(TRIM(Raw_Data!D425))="Gurgaon","Gurugram",IF(OR(PROPER(TRIM(Raw_Data!D425))="New Delhi",PROPER(TRIM(Raw_Data!D425))="Delhi"),"Delhi",PROPER(TRIM(Raw_Data!D425)))))</f>
        <v/>
      </c>
      <c r="C364">
        <f>IF(TRIM(Raw_Data!F425&amp;"")="","Not Specified",Raw_Data!F425)</f>
        <v/>
      </c>
      <c r="D364">
        <f>Raw_Data!H425</f>
        <v/>
      </c>
      <c r="E364">
        <f>Raw_Data!E425</f>
        <v/>
      </c>
    </row>
    <row r="365">
      <c r="A365">
        <f>_xlfn.IFS(ISNUMBER(SEARCH("data analy",B43)),"Data Analyst",ISNUMBER(SEARCH("business analy",B43)),"Business Analyst",OR(ISNUMBER(SEARCH("developer",B43)),ISNUMBER(SEARCH("software engineer",B43)),ISNUMBER(SEARCH("programmer",B43))),"Software Developer",ISNUMBER(SEARCH("business development",B43)),"Business Development",ISNUMBER(SEARCH("sales",B43)),"Sales Executive",ISNUMBER(SEARCH("marketing",B43)),"Marketing Executive",OR(ISNUMBER(SEARCH("hr ",B43)),ISNUMBER(SEARCH("recruit",B43)),ISNUMBER(SEARCH("human resource",B43))),"HR / Recruiter",OR(ISNUMBER(SEARCH("account",B43)),ISNUMBER(SEARCH("finance",B43)),ISNUMBER(SEARCH("tax",B43)),ISNUMBER(SEARCH("audit",B43))),"Accountant / Finance",OR(ISNUMBER(SEARCH("customer service",B43)),ISNUMBER(SEARCH("customer support",B43)),ISNUMBER(SEARCH("customer care",B43)),ISNUMBER(SEARCH("voice process",B43)),ISNUMBER(SEARCH("bpo",B43))),"Customer Support",ISNUMBER(SEARCH("engineer",B43)),"Engineer (Technical)",ISNUMBER(SEARCH("manager",B43)),"Manager",OR(ISNUMBER(SEARCH("teacher",B43)),ISNUMBER(SEARCH("trainer",B43)),ISNUMBER(SEARCH("faculty",B43))),"Teacher / Trainer",OR(ISNUMBER(SEARCH("doctor",B43)),ISNUMBER(SEARCH("nurse",B43)),ISNUMBER(SEARCH("medical",B43)),ISNUMBER(SEARCH("pharma",B43)),ISNUMBER(SEARCH("clinical",B43))),"Healthcare",TRUE,"Other")</f>
        <v/>
      </c>
      <c r="B365">
        <f>IF(PROPER(TRIM(Raw_Data!D426))="Bangalore","Bengaluru",IF(PROPER(TRIM(Raw_Data!D426))="Gurgaon","Gurugram",IF(OR(PROPER(TRIM(Raw_Data!D426))="New Delhi",PROPER(TRIM(Raw_Data!D426))="Delhi"),"Delhi",PROPER(TRIM(Raw_Data!D426)))))</f>
        <v/>
      </c>
      <c r="C365">
        <f>IF(TRIM(Raw_Data!F426&amp;"")="","Not Specified",Raw_Data!F426)</f>
        <v/>
      </c>
      <c r="D365">
        <f>Raw_Data!H426</f>
        <v/>
      </c>
      <c r="E365">
        <f>Raw_Data!E426</f>
        <v/>
      </c>
    </row>
    <row r="366">
      <c r="A366">
        <f>_xlfn.IFS(ISNUMBER(SEARCH("data analy",B430)),"Data Analyst",ISNUMBER(SEARCH("business analy",B430)),"Business Analyst",OR(ISNUMBER(SEARCH("developer",B430)),ISNUMBER(SEARCH("software engineer",B430)),ISNUMBER(SEARCH("programmer",B430))),"Software Developer",ISNUMBER(SEARCH("business development",B430)),"Business Development",ISNUMBER(SEARCH("sales",B430)),"Sales Executive",ISNUMBER(SEARCH("marketing",B430)),"Marketing Executive",OR(ISNUMBER(SEARCH("hr ",B430)),ISNUMBER(SEARCH("recruit",B430)),ISNUMBER(SEARCH("human resource",B430))),"HR / Recruiter",OR(ISNUMBER(SEARCH("account",B430)),ISNUMBER(SEARCH("finance",B430)),ISNUMBER(SEARCH("tax",B430)),ISNUMBER(SEARCH("audit",B430))),"Accountant / Finance",OR(ISNUMBER(SEARCH("customer service",B430)),ISNUMBER(SEARCH("customer support",B430)),ISNUMBER(SEARCH("customer care",B430)),ISNUMBER(SEARCH("voice process",B430)),ISNUMBER(SEARCH("bpo",B430))),"Customer Support",ISNUMBER(SEARCH("engineer",B430)),"Engineer (Technical)",ISNUMBER(SEARCH("manager",B430)),"Manager",OR(ISNUMBER(SEARCH("teacher",B430)),ISNUMBER(SEARCH("trainer",B430)),ISNUMBER(SEARCH("faculty",B430))),"Teacher / Trainer",OR(ISNUMBER(SEARCH("doctor",B430)),ISNUMBER(SEARCH("nurse",B430)),ISNUMBER(SEARCH("medical",B430)),ISNUMBER(SEARCH("pharma",B430)),ISNUMBER(SEARCH("clinical",B430))),"Healthcare",TRUE,"Other")</f>
        <v/>
      </c>
      <c r="B366">
        <f>IF(PROPER(TRIM(Raw_Data!D427))="Bangalore","Bengaluru",IF(PROPER(TRIM(Raw_Data!D427))="Gurgaon","Gurugram",IF(OR(PROPER(TRIM(Raw_Data!D427))="New Delhi",PROPER(TRIM(Raw_Data!D427))="Delhi"),"Delhi",PROPER(TRIM(Raw_Data!D427)))))</f>
        <v/>
      </c>
      <c r="C366">
        <f>IF(TRIM(Raw_Data!F427&amp;"")="","Not Specified",Raw_Data!F427)</f>
        <v/>
      </c>
      <c r="D366">
        <f>Raw_Data!H427</f>
        <v/>
      </c>
      <c r="E366">
        <f>Raw_Data!E427</f>
        <v/>
      </c>
    </row>
    <row r="367">
      <c r="A367">
        <f>_xlfn.IFS(ISNUMBER(SEARCH("data analy",B431)),"Data Analyst",ISNUMBER(SEARCH("business analy",B431)),"Business Analyst",OR(ISNUMBER(SEARCH("developer",B431)),ISNUMBER(SEARCH("software engineer",B431)),ISNUMBER(SEARCH("programmer",B431))),"Software Developer",ISNUMBER(SEARCH("business development",B431)),"Business Development",ISNUMBER(SEARCH("sales",B431)),"Sales Executive",ISNUMBER(SEARCH("marketing",B431)),"Marketing Executive",OR(ISNUMBER(SEARCH("hr ",B431)),ISNUMBER(SEARCH("recruit",B431)),ISNUMBER(SEARCH("human resource",B431))),"HR / Recruiter",OR(ISNUMBER(SEARCH("account",B431)),ISNUMBER(SEARCH("finance",B431)),ISNUMBER(SEARCH("tax",B431)),ISNUMBER(SEARCH("audit",B431))),"Accountant / Finance",OR(ISNUMBER(SEARCH("customer service",B431)),ISNUMBER(SEARCH("customer support",B431)),ISNUMBER(SEARCH("customer care",B431)),ISNUMBER(SEARCH("voice process",B431)),ISNUMBER(SEARCH("bpo",B431))),"Customer Support",ISNUMBER(SEARCH("engineer",B431)),"Engineer (Technical)",ISNUMBER(SEARCH("manager",B431)),"Manager",OR(ISNUMBER(SEARCH("teacher",B431)),ISNUMBER(SEARCH("trainer",B431)),ISNUMBER(SEARCH("faculty",B431))),"Teacher / Trainer",OR(ISNUMBER(SEARCH("doctor",B431)),ISNUMBER(SEARCH("nurse",B431)),ISNUMBER(SEARCH("medical",B431)),ISNUMBER(SEARCH("pharma",B431)),ISNUMBER(SEARCH("clinical",B431))),"Healthcare",TRUE,"Other")</f>
        <v/>
      </c>
      <c r="B367">
        <f>IF(PROPER(TRIM(Raw_Data!D428))="Bangalore","Bengaluru",IF(PROPER(TRIM(Raw_Data!D428))="Gurgaon","Gurugram",IF(OR(PROPER(TRIM(Raw_Data!D428))="New Delhi",PROPER(TRIM(Raw_Data!D428))="Delhi"),"Delhi",PROPER(TRIM(Raw_Data!D428)))))</f>
        <v/>
      </c>
      <c r="C367">
        <f>IF(TRIM(Raw_Data!F428&amp;"")="","Not Specified",Raw_Data!F428)</f>
        <v/>
      </c>
      <c r="D367">
        <f>Raw_Data!H428</f>
        <v/>
      </c>
      <c r="E367">
        <f>Raw_Data!E428</f>
        <v/>
      </c>
    </row>
    <row r="368">
      <c r="A368">
        <f>_xlfn.IFS(ISNUMBER(SEARCH("data analy",B432)),"Data Analyst",ISNUMBER(SEARCH("business analy",B432)),"Business Analyst",OR(ISNUMBER(SEARCH("developer",B432)),ISNUMBER(SEARCH("software engineer",B432)),ISNUMBER(SEARCH("programmer",B432))),"Software Developer",ISNUMBER(SEARCH("business development",B432)),"Business Development",ISNUMBER(SEARCH("sales",B432)),"Sales Executive",ISNUMBER(SEARCH("marketing",B432)),"Marketing Executive",OR(ISNUMBER(SEARCH("hr ",B432)),ISNUMBER(SEARCH("recruit",B432)),ISNUMBER(SEARCH("human resource",B432))),"HR / Recruiter",OR(ISNUMBER(SEARCH("account",B432)),ISNUMBER(SEARCH("finance",B432)),ISNUMBER(SEARCH("tax",B432)),ISNUMBER(SEARCH("audit",B432))),"Accountant / Finance",OR(ISNUMBER(SEARCH("customer service",B432)),ISNUMBER(SEARCH("customer support",B432)),ISNUMBER(SEARCH("customer care",B432)),ISNUMBER(SEARCH("voice process",B432)),ISNUMBER(SEARCH("bpo",B432))),"Customer Support",ISNUMBER(SEARCH("engineer",B432)),"Engineer (Technical)",ISNUMBER(SEARCH("manager",B432)),"Manager",OR(ISNUMBER(SEARCH("teacher",B432)),ISNUMBER(SEARCH("trainer",B432)),ISNUMBER(SEARCH("faculty",B432))),"Teacher / Trainer",OR(ISNUMBER(SEARCH("doctor",B432)),ISNUMBER(SEARCH("nurse",B432)),ISNUMBER(SEARCH("medical",B432)),ISNUMBER(SEARCH("pharma",B432)),ISNUMBER(SEARCH("clinical",B432))),"Healthcare",TRUE,"Other")</f>
        <v/>
      </c>
      <c r="B368">
        <f>IF(PROPER(TRIM(Raw_Data!D429))="Bangalore","Bengaluru",IF(PROPER(TRIM(Raw_Data!D429))="Gurgaon","Gurugram",IF(OR(PROPER(TRIM(Raw_Data!D429))="New Delhi",PROPER(TRIM(Raw_Data!D429))="Delhi"),"Delhi",PROPER(TRIM(Raw_Data!D429)))))</f>
        <v/>
      </c>
      <c r="C368">
        <f>IF(TRIM(Raw_Data!F429&amp;"")="","Not Specified",Raw_Data!F429)</f>
        <v/>
      </c>
      <c r="D368">
        <f>Raw_Data!H429</f>
        <v/>
      </c>
      <c r="E368">
        <f>Raw_Data!E429</f>
        <v/>
      </c>
    </row>
    <row r="369">
      <c r="A369">
        <f>_xlfn.IFS(ISNUMBER(SEARCH("data analy",B433)),"Data Analyst",ISNUMBER(SEARCH("business analy",B433)),"Business Analyst",OR(ISNUMBER(SEARCH("developer",B433)),ISNUMBER(SEARCH("software engineer",B433)),ISNUMBER(SEARCH("programmer",B433))),"Software Developer",ISNUMBER(SEARCH("business development",B433)),"Business Development",ISNUMBER(SEARCH("sales",B433)),"Sales Executive",ISNUMBER(SEARCH("marketing",B433)),"Marketing Executive",OR(ISNUMBER(SEARCH("hr ",B433)),ISNUMBER(SEARCH("recruit",B433)),ISNUMBER(SEARCH("human resource",B433))),"HR / Recruiter",OR(ISNUMBER(SEARCH("account",B433)),ISNUMBER(SEARCH("finance",B433)),ISNUMBER(SEARCH("tax",B433)),ISNUMBER(SEARCH("audit",B433))),"Accountant / Finance",OR(ISNUMBER(SEARCH("customer service",B433)),ISNUMBER(SEARCH("customer support",B433)),ISNUMBER(SEARCH("customer care",B433)),ISNUMBER(SEARCH("voice process",B433)),ISNUMBER(SEARCH("bpo",B433))),"Customer Support",ISNUMBER(SEARCH("engineer",B433)),"Engineer (Technical)",ISNUMBER(SEARCH("manager",B433)),"Manager",OR(ISNUMBER(SEARCH("teacher",B433)),ISNUMBER(SEARCH("trainer",B433)),ISNUMBER(SEARCH("faculty",B433))),"Teacher / Trainer",OR(ISNUMBER(SEARCH("doctor",B433)),ISNUMBER(SEARCH("nurse",B433)),ISNUMBER(SEARCH("medical",B433)),ISNUMBER(SEARCH("pharma",B433)),ISNUMBER(SEARCH("clinical",B433))),"Healthcare",TRUE,"Other")</f>
        <v/>
      </c>
      <c r="B369">
        <f>IF(PROPER(TRIM(Raw_Data!D43))="Bangalore","Bengaluru",IF(PROPER(TRIM(Raw_Data!D43))="Gurgaon","Gurugram",IF(OR(PROPER(TRIM(Raw_Data!D43))="New Delhi",PROPER(TRIM(Raw_Data!D43))="Delhi"),"Delhi",PROPER(TRIM(Raw_Data!D43)))))</f>
        <v/>
      </c>
      <c r="C369">
        <f>IF(TRIM(Raw_Data!F43&amp;"")="","Not Specified",Raw_Data!F43)</f>
        <v/>
      </c>
      <c r="D369">
        <f>Raw_Data!H43</f>
        <v/>
      </c>
      <c r="E369">
        <f>Raw_Data!E43</f>
        <v/>
      </c>
    </row>
    <row r="370">
      <c r="A370">
        <f>_xlfn.IFS(ISNUMBER(SEARCH("data analy",B434)),"Data Analyst",ISNUMBER(SEARCH("business analy",B434)),"Business Analyst",OR(ISNUMBER(SEARCH("developer",B434)),ISNUMBER(SEARCH("software engineer",B434)),ISNUMBER(SEARCH("programmer",B434))),"Software Developer",ISNUMBER(SEARCH("business development",B434)),"Business Development",ISNUMBER(SEARCH("sales",B434)),"Sales Executive",ISNUMBER(SEARCH("marketing",B434)),"Marketing Executive",OR(ISNUMBER(SEARCH("hr ",B434)),ISNUMBER(SEARCH("recruit",B434)),ISNUMBER(SEARCH("human resource",B434))),"HR / Recruiter",OR(ISNUMBER(SEARCH("account",B434)),ISNUMBER(SEARCH("finance",B434)),ISNUMBER(SEARCH("tax",B434)),ISNUMBER(SEARCH("audit",B434))),"Accountant / Finance",OR(ISNUMBER(SEARCH("customer service",B434)),ISNUMBER(SEARCH("customer support",B434)),ISNUMBER(SEARCH("customer care",B434)),ISNUMBER(SEARCH("voice process",B434)),ISNUMBER(SEARCH("bpo",B434))),"Customer Support",ISNUMBER(SEARCH("engineer",B434)),"Engineer (Technical)",ISNUMBER(SEARCH("manager",B434)),"Manager",OR(ISNUMBER(SEARCH("teacher",B434)),ISNUMBER(SEARCH("trainer",B434)),ISNUMBER(SEARCH("faculty",B434))),"Teacher / Trainer",OR(ISNUMBER(SEARCH("doctor",B434)),ISNUMBER(SEARCH("nurse",B434)),ISNUMBER(SEARCH("medical",B434)),ISNUMBER(SEARCH("pharma",B434)),ISNUMBER(SEARCH("clinical",B434))),"Healthcare",TRUE,"Other")</f>
        <v/>
      </c>
      <c r="B370">
        <f>IF(PROPER(TRIM(Raw_Data!D430))="Bangalore","Bengaluru",IF(PROPER(TRIM(Raw_Data!D430))="Gurgaon","Gurugram",IF(OR(PROPER(TRIM(Raw_Data!D430))="New Delhi",PROPER(TRIM(Raw_Data!D430))="Delhi"),"Delhi",PROPER(TRIM(Raw_Data!D430)))))</f>
        <v/>
      </c>
      <c r="C370">
        <f>IF(TRIM(Raw_Data!F430&amp;"")="","Not Specified",Raw_Data!F430)</f>
        <v/>
      </c>
      <c r="D370">
        <f>Raw_Data!H430</f>
        <v/>
      </c>
      <c r="E370">
        <f>Raw_Data!E430</f>
        <v/>
      </c>
    </row>
    <row r="371">
      <c r="A371">
        <f>_xlfn.IFS(ISNUMBER(SEARCH("data analy",B435)),"Data Analyst",ISNUMBER(SEARCH("business analy",B435)),"Business Analyst",OR(ISNUMBER(SEARCH("developer",B435)),ISNUMBER(SEARCH("software engineer",B435)),ISNUMBER(SEARCH("programmer",B435))),"Software Developer",ISNUMBER(SEARCH("business development",B435)),"Business Development",ISNUMBER(SEARCH("sales",B435)),"Sales Executive",ISNUMBER(SEARCH("marketing",B435)),"Marketing Executive",OR(ISNUMBER(SEARCH("hr ",B435)),ISNUMBER(SEARCH("recruit",B435)),ISNUMBER(SEARCH("human resource",B435))),"HR / Recruiter",OR(ISNUMBER(SEARCH("account",B435)),ISNUMBER(SEARCH("finance",B435)),ISNUMBER(SEARCH("tax",B435)),ISNUMBER(SEARCH("audit",B435))),"Accountant / Finance",OR(ISNUMBER(SEARCH("customer service",B435)),ISNUMBER(SEARCH("customer support",B435)),ISNUMBER(SEARCH("customer care",B435)),ISNUMBER(SEARCH("voice process",B435)),ISNUMBER(SEARCH("bpo",B435))),"Customer Support",ISNUMBER(SEARCH("engineer",B435)),"Engineer (Technical)",ISNUMBER(SEARCH("manager",B435)),"Manager",OR(ISNUMBER(SEARCH("teacher",B435)),ISNUMBER(SEARCH("trainer",B435)),ISNUMBER(SEARCH("faculty",B435))),"Teacher / Trainer",OR(ISNUMBER(SEARCH("doctor",B435)),ISNUMBER(SEARCH("nurse",B435)),ISNUMBER(SEARCH("medical",B435)),ISNUMBER(SEARCH("pharma",B435)),ISNUMBER(SEARCH("clinical",B435))),"Healthcare",TRUE,"Other")</f>
        <v/>
      </c>
      <c r="B371">
        <f>IF(PROPER(TRIM(Raw_Data!D431))="Bangalore","Bengaluru",IF(PROPER(TRIM(Raw_Data!D431))="Gurgaon","Gurugram",IF(OR(PROPER(TRIM(Raw_Data!D431))="New Delhi",PROPER(TRIM(Raw_Data!D431))="Delhi"),"Delhi",PROPER(TRIM(Raw_Data!D431)))))</f>
        <v/>
      </c>
      <c r="C371">
        <f>IF(TRIM(Raw_Data!F431&amp;"")="","Not Specified",Raw_Data!F431)</f>
        <v/>
      </c>
      <c r="D371">
        <f>Raw_Data!H431</f>
        <v/>
      </c>
      <c r="E371">
        <f>Raw_Data!E431</f>
        <v/>
      </c>
    </row>
    <row r="372">
      <c r="A372">
        <f>_xlfn.IFS(ISNUMBER(SEARCH("data analy",B436)),"Data Analyst",ISNUMBER(SEARCH("business analy",B436)),"Business Analyst",OR(ISNUMBER(SEARCH("developer",B436)),ISNUMBER(SEARCH("software engineer",B436)),ISNUMBER(SEARCH("programmer",B436))),"Software Developer",ISNUMBER(SEARCH("business development",B436)),"Business Development",ISNUMBER(SEARCH("sales",B436)),"Sales Executive",ISNUMBER(SEARCH("marketing",B436)),"Marketing Executive",OR(ISNUMBER(SEARCH("hr ",B436)),ISNUMBER(SEARCH("recruit",B436)),ISNUMBER(SEARCH("human resource",B436))),"HR / Recruiter",OR(ISNUMBER(SEARCH("account",B436)),ISNUMBER(SEARCH("finance",B436)),ISNUMBER(SEARCH("tax",B436)),ISNUMBER(SEARCH("audit",B436))),"Accountant / Finance",OR(ISNUMBER(SEARCH("customer service",B436)),ISNUMBER(SEARCH("customer support",B436)),ISNUMBER(SEARCH("customer care",B436)),ISNUMBER(SEARCH("voice process",B436)),ISNUMBER(SEARCH("bpo",B436))),"Customer Support",ISNUMBER(SEARCH("engineer",B436)),"Engineer (Technical)",ISNUMBER(SEARCH("manager",B436)),"Manager",OR(ISNUMBER(SEARCH("teacher",B436)),ISNUMBER(SEARCH("trainer",B436)),ISNUMBER(SEARCH("faculty",B436))),"Teacher / Trainer",OR(ISNUMBER(SEARCH("doctor",B436)),ISNUMBER(SEARCH("nurse",B436)),ISNUMBER(SEARCH("medical",B436)),ISNUMBER(SEARCH("pharma",B436)),ISNUMBER(SEARCH("clinical",B436))),"Healthcare",TRUE,"Other")</f>
        <v/>
      </c>
      <c r="B372">
        <f>IF(PROPER(TRIM(Raw_Data!D432))="Bangalore","Bengaluru",IF(PROPER(TRIM(Raw_Data!D432))="Gurgaon","Gurugram",IF(OR(PROPER(TRIM(Raw_Data!D432))="New Delhi",PROPER(TRIM(Raw_Data!D432))="Delhi"),"Delhi",PROPER(TRIM(Raw_Data!D432)))))</f>
        <v/>
      </c>
      <c r="C372">
        <f>IF(TRIM(Raw_Data!F432&amp;"")="","Not Specified",Raw_Data!F432)</f>
        <v/>
      </c>
      <c r="D372">
        <f>Raw_Data!H432</f>
        <v/>
      </c>
      <c r="E372">
        <f>Raw_Data!E432</f>
        <v/>
      </c>
    </row>
    <row r="373">
      <c r="A373">
        <f>_xlfn.IFS(ISNUMBER(SEARCH("data analy",B437)),"Data Analyst",ISNUMBER(SEARCH("business analy",B437)),"Business Analyst",OR(ISNUMBER(SEARCH("developer",B437)),ISNUMBER(SEARCH("software engineer",B437)),ISNUMBER(SEARCH("programmer",B437))),"Software Developer",ISNUMBER(SEARCH("business development",B437)),"Business Development",ISNUMBER(SEARCH("sales",B437)),"Sales Executive",ISNUMBER(SEARCH("marketing",B437)),"Marketing Executive",OR(ISNUMBER(SEARCH("hr ",B437)),ISNUMBER(SEARCH("recruit",B437)),ISNUMBER(SEARCH("human resource",B437))),"HR / Recruiter",OR(ISNUMBER(SEARCH("account",B437)),ISNUMBER(SEARCH("finance",B437)),ISNUMBER(SEARCH("tax",B437)),ISNUMBER(SEARCH("audit",B437))),"Accountant / Finance",OR(ISNUMBER(SEARCH("customer service",B437)),ISNUMBER(SEARCH("customer support",B437)),ISNUMBER(SEARCH("customer care",B437)),ISNUMBER(SEARCH("voice process",B437)),ISNUMBER(SEARCH("bpo",B437))),"Customer Support",ISNUMBER(SEARCH("engineer",B437)),"Engineer (Technical)",ISNUMBER(SEARCH("manager",B437)),"Manager",OR(ISNUMBER(SEARCH("teacher",B437)),ISNUMBER(SEARCH("trainer",B437)),ISNUMBER(SEARCH("faculty",B437))),"Teacher / Trainer",OR(ISNUMBER(SEARCH("doctor",B437)),ISNUMBER(SEARCH("nurse",B437)),ISNUMBER(SEARCH("medical",B437)),ISNUMBER(SEARCH("pharma",B437)),ISNUMBER(SEARCH("clinical",B437))),"Healthcare",TRUE,"Other")</f>
        <v/>
      </c>
      <c r="B373">
        <f>IF(PROPER(TRIM(Raw_Data!D433))="Bangalore","Bengaluru",IF(PROPER(TRIM(Raw_Data!D433))="Gurgaon","Gurugram",IF(OR(PROPER(TRIM(Raw_Data!D433))="New Delhi",PROPER(TRIM(Raw_Data!D433))="Delhi"),"Delhi",PROPER(TRIM(Raw_Data!D433)))))</f>
        <v/>
      </c>
      <c r="C373">
        <f>IF(TRIM(Raw_Data!F433&amp;"")="","Not Specified",Raw_Data!F433)</f>
        <v/>
      </c>
      <c r="D373">
        <f>Raw_Data!H433</f>
        <v/>
      </c>
      <c r="E373">
        <f>Raw_Data!E433</f>
        <v/>
      </c>
    </row>
    <row r="374">
      <c r="A374">
        <f>_xlfn.IFS(ISNUMBER(SEARCH("data analy",B438)),"Data Analyst",ISNUMBER(SEARCH("business analy",B438)),"Business Analyst",OR(ISNUMBER(SEARCH("developer",B438)),ISNUMBER(SEARCH("software engineer",B438)),ISNUMBER(SEARCH("programmer",B438))),"Software Developer",ISNUMBER(SEARCH("business development",B438)),"Business Development",ISNUMBER(SEARCH("sales",B438)),"Sales Executive",ISNUMBER(SEARCH("marketing",B438)),"Marketing Executive",OR(ISNUMBER(SEARCH("hr ",B438)),ISNUMBER(SEARCH("recruit",B438)),ISNUMBER(SEARCH("human resource",B438))),"HR / Recruiter",OR(ISNUMBER(SEARCH("account",B438)),ISNUMBER(SEARCH("finance",B438)),ISNUMBER(SEARCH("tax",B438)),ISNUMBER(SEARCH("audit",B438))),"Accountant / Finance",OR(ISNUMBER(SEARCH("customer service",B438)),ISNUMBER(SEARCH("customer support",B438)),ISNUMBER(SEARCH("customer care",B438)),ISNUMBER(SEARCH("voice process",B438)),ISNUMBER(SEARCH("bpo",B438))),"Customer Support",ISNUMBER(SEARCH("engineer",B438)),"Engineer (Technical)",ISNUMBER(SEARCH("manager",B438)),"Manager",OR(ISNUMBER(SEARCH("teacher",B438)),ISNUMBER(SEARCH("trainer",B438)),ISNUMBER(SEARCH("faculty",B438))),"Teacher / Trainer",OR(ISNUMBER(SEARCH("doctor",B438)),ISNUMBER(SEARCH("nurse",B438)),ISNUMBER(SEARCH("medical",B438)),ISNUMBER(SEARCH("pharma",B438)),ISNUMBER(SEARCH("clinical",B438))),"Healthcare",TRUE,"Other")</f>
        <v/>
      </c>
      <c r="B374">
        <f>IF(PROPER(TRIM(Raw_Data!D434))="Bangalore","Bengaluru",IF(PROPER(TRIM(Raw_Data!D434))="Gurgaon","Gurugram",IF(OR(PROPER(TRIM(Raw_Data!D434))="New Delhi",PROPER(TRIM(Raw_Data!D434))="Delhi"),"Delhi",PROPER(TRIM(Raw_Data!D434)))))</f>
        <v/>
      </c>
      <c r="C374">
        <f>IF(TRIM(Raw_Data!F434&amp;"")="","Not Specified",Raw_Data!F434)</f>
        <v/>
      </c>
      <c r="D374">
        <f>Raw_Data!H434</f>
        <v/>
      </c>
      <c r="E374">
        <f>Raw_Data!E434</f>
        <v/>
      </c>
    </row>
    <row r="375">
      <c r="A375">
        <f>_xlfn.IFS(ISNUMBER(SEARCH("data analy",B439)),"Data Analyst",ISNUMBER(SEARCH("business analy",B439)),"Business Analyst",OR(ISNUMBER(SEARCH("developer",B439)),ISNUMBER(SEARCH("software engineer",B439)),ISNUMBER(SEARCH("programmer",B439))),"Software Developer",ISNUMBER(SEARCH("business development",B439)),"Business Development",ISNUMBER(SEARCH("sales",B439)),"Sales Executive",ISNUMBER(SEARCH("marketing",B439)),"Marketing Executive",OR(ISNUMBER(SEARCH("hr ",B439)),ISNUMBER(SEARCH("recruit",B439)),ISNUMBER(SEARCH("human resource",B439))),"HR / Recruiter",OR(ISNUMBER(SEARCH("account",B439)),ISNUMBER(SEARCH("finance",B439)),ISNUMBER(SEARCH("tax",B439)),ISNUMBER(SEARCH("audit",B439))),"Accountant / Finance",OR(ISNUMBER(SEARCH("customer service",B439)),ISNUMBER(SEARCH("customer support",B439)),ISNUMBER(SEARCH("customer care",B439)),ISNUMBER(SEARCH("voice process",B439)),ISNUMBER(SEARCH("bpo",B439))),"Customer Support",ISNUMBER(SEARCH("engineer",B439)),"Engineer (Technical)",ISNUMBER(SEARCH("manager",B439)),"Manager",OR(ISNUMBER(SEARCH("teacher",B439)),ISNUMBER(SEARCH("trainer",B439)),ISNUMBER(SEARCH("faculty",B439))),"Teacher / Trainer",OR(ISNUMBER(SEARCH("doctor",B439)),ISNUMBER(SEARCH("nurse",B439)),ISNUMBER(SEARCH("medical",B439)),ISNUMBER(SEARCH("pharma",B439)),ISNUMBER(SEARCH("clinical",B439))),"Healthcare",TRUE,"Other")</f>
        <v/>
      </c>
      <c r="B375">
        <f>IF(PROPER(TRIM(Raw_Data!D435))="Bangalore","Bengaluru",IF(PROPER(TRIM(Raw_Data!D435))="Gurgaon","Gurugram",IF(OR(PROPER(TRIM(Raw_Data!D435))="New Delhi",PROPER(TRIM(Raw_Data!D435))="Delhi"),"Delhi",PROPER(TRIM(Raw_Data!D435)))))</f>
        <v/>
      </c>
      <c r="C375">
        <f>IF(TRIM(Raw_Data!F435&amp;"")="","Not Specified",Raw_Data!F435)</f>
        <v/>
      </c>
      <c r="D375">
        <f>Raw_Data!H435</f>
        <v/>
      </c>
      <c r="E375">
        <f>Raw_Data!E435</f>
        <v/>
      </c>
    </row>
    <row r="376">
      <c r="A376">
        <f>_xlfn.IFS(ISNUMBER(SEARCH("data analy",B44)),"Data Analyst",ISNUMBER(SEARCH("business analy",B44)),"Business Analyst",OR(ISNUMBER(SEARCH("developer",B44)),ISNUMBER(SEARCH("software engineer",B44)),ISNUMBER(SEARCH("programmer",B44))),"Software Developer",ISNUMBER(SEARCH("business development",B44)),"Business Development",ISNUMBER(SEARCH("sales",B44)),"Sales Executive",ISNUMBER(SEARCH("marketing",B44)),"Marketing Executive",OR(ISNUMBER(SEARCH("hr ",B44)),ISNUMBER(SEARCH("recruit",B44)),ISNUMBER(SEARCH("human resource",B44))),"HR / Recruiter",OR(ISNUMBER(SEARCH("account",B44)),ISNUMBER(SEARCH("finance",B44)),ISNUMBER(SEARCH("tax",B44)),ISNUMBER(SEARCH("audit",B44))),"Accountant / Finance",OR(ISNUMBER(SEARCH("customer service",B44)),ISNUMBER(SEARCH("customer support",B44)),ISNUMBER(SEARCH("customer care",B44)),ISNUMBER(SEARCH("voice process",B44)),ISNUMBER(SEARCH("bpo",B44))),"Customer Support",ISNUMBER(SEARCH("engineer",B44)),"Engineer (Technical)",ISNUMBER(SEARCH("manager",B44)),"Manager",OR(ISNUMBER(SEARCH("teacher",B44)),ISNUMBER(SEARCH("trainer",B44)),ISNUMBER(SEARCH("faculty",B44))),"Teacher / Trainer",OR(ISNUMBER(SEARCH("doctor",B44)),ISNUMBER(SEARCH("nurse",B44)),ISNUMBER(SEARCH("medical",B44)),ISNUMBER(SEARCH("pharma",B44)),ISNUMBER(SEARCH("clinical",B44))),"Healthcare",TRUE,"Other")</f>
        <v/>
      </c>
      <c r="B376">
        <f>IF(PROPER(TRIM(Raw_Data!D44))="Bangalore","Bengaluru",IF(PROPER(TRIM(Raw_Data!D44))="Gurgaon","Gurugram",IF(OR(PROPER(TRIM(Raw_Data!D44))="New Delhi",PROPER(TRIM(Raw_Data!D44))="Delhi"),"Delhi",PROPER(TRIM(Raw_Data!D44)))))</f>
        <v/>
      </c>
      <c r="C376">
        <f>IF(TRIM(Raw_Data!F44&amp;"")="","Not Specified",Raw_Data!F44)</f>
        <v/>
      </c>
      <c r="D376">
        <f>Raw_Data!H44</f>
        <v/>
      </c>
      <c r="E376">
        <f>Raw_Data!E44</f>
        <v/>
      </c>
    </row>
    <row r="377">
      <c r="A377">
        <f>_xlfn.IFS(ISNUMBER(SEARCH("data analy",B440)),"Data Analyst",ISNUMBER(SEARCH("business analy",B440)),"Business Analyst",OR(ISNUMBER(SEARCH("developer",B440)),ISNUMBER(SEARCH("software engineer",B440)),ISNUMBER(SEARCH("programmer",B440))),"Software Developer",ISNUMBER(SEARCH("business development",B440)),"Business Development",ISNUMBER(SEARCH("sales",B440)),"Sales Executive",ISNUMBER(SEARCH("marketing",B440)),"Marketing Executive",OR(ISNUMBER(SEARCH("hr ",B440)),ISNUMBER(SEARCH("recruit",B440)),ISNUMBER(SEARCH("human resource",B440))),"HR / Recruiter",OR(ISNUMBER(SEARCH("account",B440)),ISNUMBER(SEARCH("finance",B440)),ISNUMBER(SEARCH("tax",B440)),ISNUMBER(SEARCH("audit",B440))),"Accountant / Finance",OR(ISNUMBER(SEARCH("customer service",B440)),ISNUMBER(SEARCH("customer support",B440)),ISNUMBER(SEARCH("customer care",B440)),ISNUMBER(SEARCH("voice process",B440)),ISNUMBER(SEARCH("bpo",B440))),"Customer Support",ISNUMBER(SEARCH("engineer",B440)),"Engineer (Technical)",ISNUMBER(SEARCH("manager",B440)),"Manager",OR(ISNUMBER(SEARCH("teacher",B440)),ISNUMBER(SEARCH("trainer",B440)),ISNUMBER(SEARCH("faculty",B440))),"Teacher / Trainer",OR(ISNUMBER(SEARCH("doctor",B440)),ISNUMBER(SEARCH("nurse",B440)),ISNUMBER(SEARCH("medical",B440)),ISNUMBER(SEARCH("pharma",B440)),ISNUMBER(SEARCH("clinical",B440))),"Healthcare",TRUE,"Other")</f>
        <v/>
      </c>
      <c r="B377">
        <f>IF(PROPER(TRIM(Raw_Data!D45))="Bangalore","Bengaluru",IF(PROPER(TRIM(Raw_Data!D45))="Gurgaon","Gurugram",IF(OR(PROPER(TRIM(Raw_Data!D45))="New Delhi",PROPER(TRIM(Raw_Data!D45))="Delhi"),"Delhi",PROPER(TRIM(Raw_Data!D45)))))</f>
        <v/>
      </c>
      <c r="C377">
        <f>IF(TRIM(Raw_Data!F45&amp;"")="","Not Specified",Raw_Data!F45)</f>
        <v/>
      </c>
      <c r="D377">
        <f>Raw_Data!H45</f>
        <v/>
      </c>
      <c r="E377">
        <f>Raw_Data!E45</f>
        <v/>
      </c>
    </row>
    <row r="378">
      <c r="A378">
        <f>_xlfn.IFS(ISNUMBER(SEARCH("data analy",B441)),"Data Analyst",ISNUMBER(SEARCH("business analy",B441)),"Business Analyst",OR(ISNUMBER(SEARCH("developer",B441)),ISNUMBER(SEARCH("software engineer",B441)),ISNUMBER(SEARCH("programmer",B441))),"Software Developer",ISNUMBER(SEARCH("business development",B441)),"Business Development",ISNUMBER(SEARCH("sales",B441)),"Sales Executive",ISNUMBER(SEARCH("marketing",B441)),"Marketing Executive",OR(ISNUMBER(SEARCH("hr ",B441)),ISNUMBER(SEARCH("recruit",B441)),ISNUMBER(SEARCH("human resource",B441))),"HR / Recruiter",OR(ISNUMBER(SEARCH("account",B441)),ISNUMBER(SEARCH("finance",B441)),ISNUMBER(SEARCH("tax",B441)),ISNUMBER(SEARCH("audit",B441))),"Accountant / Finance",OR(ISNUMBER(SEARCH("customer service",B441)),ISNUMBER(SEARCH("customer support",B441)),ISNUMBER(SEARCH("customer care",B441)),ISNUMBER(SEARCH("voice process",B441)),ISNUMBER(SEARCH("bpo",B441))),"Customer Support",ISNUMBER(SEARCH("engineer",B441)),"Engineer (Technical)",ISNUMBER(SEARCH("manager",B441)),"Manager",OR(ISNUMBER(SEARCH("teacher",B441)),ISNUMBER(SEARCH("trainer",B441)),ISNUMBER(SEARCH("faculty",B441))),"Teacher / Trainer",OR(ISNUMBER(SEARCH("doctor",B441)),ISNUMBER(SEARCH("nurse",B441)),ISNUMBER(SEARCH("medical",B441)),ISNUMBER(SEARCH("pharma",B441)),ISNUMBER(SEARCH("clinical",B441))),"Healthcare",TRUE,"Other")</f>
        <v/>
      </c>
      <c r="B378">
        <f>IF(PROPER(TRIM(Raw_Data!D46))="Bangalore","Bengaluru",IF(PROPER(TRIM(Raw_Data!D46))="Gurgaon","Gurugram",IF(OR(PROPER(TRIM(Raw_Data!D46))="New Delhi",PROPER(TRIM(Raw_Data!D46))="Delhi"),"Delhi",PROPER(TRIM(Raw_Data!D46)))))</f>
        <v/>
      </c>
      <c r="C378">
        <f>IF(TRIM(Raw_Data!F46&amp;"")="","Not Specified",Raw_Data!F46)</f>
        <v/>
      </c>
      <c r="D378">
        <f>Raw_Data!H46</f>
        <v/>
      </c>
      <c r="E378">
        <f>Raw_Data!E46</f>
        <v/>
      </c>
    </row>
    <row r="379">
      <c r="A379">
        <f>_xlfn.IFS(ISNUMBER(SEARCH("data analy",B442)),"Data Analyst",ISNUMBER(SEARCH("business analy",B442)),"Business Analyst",OR(ISNUMBER(SEARCH("developer",B442)),ISNUMBER(SEARCH("software engineer",B442)),ISNUMBER(SEARCH("programmer",B442))),"Software Developer",ISNUMBER(SEARCH("business development",B442)),"Business Development",ISNUMBER(SEARCH("sales",B442)),"Sales Executive",ISNUMBER(SEARCH("marketing",B442)),"Marketing Executive",OR(ISNUMBER(SEARCH("hr ",B442)),ISNUMBER(SEARCH("recruit",B442)),ISNUMBER(SEARCH("human resource",B442))),"HR / Recruiter",OR(ISNUMBER(SEARCH("account",B442)),ISNUMBER(SEARCH("finance",B442)),ISNUMBER(SEARCH("tax",B442)),ISNUMBER(SEARCH("audit",B442))),"Accountant / Finance",OR(ISNUMBER(SEARCH("customer service",B442)),ISNUMBER(SEARCH("customer support",B442)),ISNUMBER(SEARCH("customer care",B442)),ISNUMBER(SEARCH("voice process",B442)),ISNUMBER(SEARCH("bpo",B442))),"Customer Support",ISNUMBER(SEARCH("engineer",B442)),"Engineer (Technical)",ISNUMBER(SEARCH("manager",B442)),"Manager",OR(ISNUMBER(SEARCH("teacher",B442)),ISNUMBER(SEARCH("trainer",B442)),ISNUMBER(SEARCH("faculty",B442))),"Teacher / Trainer",OR(ISNUMBER(SEARCH("doctor",B442)),ISNUMBER(SEARCH("nurse",B442)),ISNUMBER(SEARCH("medical",B442)),ISNUMBER(SEARCH("pharma",B442)),ISNUMBER(SEARCH("clinical",B442))),"Healthcare",TRUE,"Other")</f>
        <v/>
      </c>
      <c r="B379">
        <f>IF(PROPER(TRIM(Raw_Data!D47))="Bangalore","Bengaluru",IF(PROPER(TRIM(Raw_Data!D47))="Gurgaon","Gurugram",IF(OR(PROPER(TRIM(Raw_Data!D47))="New Delhi",PROPER(TRIM(Raw_Data!D47))="Delhi"),"Delhi",PROPER(TRIM(Raw_Data!D47)))))</f>
        <v/>
      </c>
      <c r="C379">
        <f>IF(TRIM(Raw_Data!F47&amp;"")="","Not Specified",Raw_Data!F47)</f>
        <v/>
      </c>
      <c r="D379">
        <f>Raw_Data!H47</f>
        <v/>
      </c>
      <c r="E379">
        <f>Raw_Data!E47</f>
        <v/>
      </c>
    </row>
    <row r="380">
      <c r="A380">
        <f>_xlfn.IFS(ISNUMBER(SEARCH("data analy",B443)),"Data Analyst",ISNUMBER(SEARCH("business analy",B443)),"Business Analyst",OR(ISNUMBER(SEARCH("developer",B443)),ISNUMBER(SEARCH("software engineer",B443)),ISNUMBER(SEARCH("programmer",B443))),"Software Developer",ISNUMBER(SEARCH("business development",B443)),"Business Development",ISNUMBER(SEARCH("sales",B443)),"Sales Executive",ISNUMBER(SEARCH("marketing",B443)),"Marketing Executive",OR(ISNUMBER(SEARCH("hr ",B443)),ISNUMBER(SEARCH("recruit",B443)),ISNUMBER(SEARCH("human resource",B443))),"HR / Recruiter",OR(ISNUMBER(SEARCH("account",B443)),ISNUMBER(SEARCH("finance",B443)),ISNUMBER(SEARCH("tax",B443)),ISNUMBER(SEARCH("audit",B443))),"Accountant / Finance",OR(ISNUMBER(SEARCH("customer service",B443)),ISNUMBER(SEARCH("customer support",B443)),ISNUMBER(SEARCH("customer care",B443)),ISNUMBER(SEARCH("voice process",B443)),ISNUMBER(SEARCH("bpo",B443))),"Customer Support",ISNUMBER(SEARCH("engineer",B443)),"Engineer (Technical)",ISNUMBER(SEARCH("manager",B443)),"Manager",OR(ISNUMBER(SEARCH("teacher",B443)),ISNUMBER(SEARCH("trainer",B443)),ISNUMBER(SEARCH("faculty",B443))),"Teacher / Trainer",OR(ISNUMBER(SEARCH("doctor",B443)),ISNUMBER(SEARCH("nurse",B443)),ISNUMBER(SEARCH("medical",B443)),ISNUMBER(SEARCH("pharma",B443)),ISNUMBER(SEARCH("clinical",B443))),"Healthcare",TRUE,"Other")</f>
        <v/>
      </c>
      <c r="B380">
        <f>IF(PROPER(TRIM(Raw_Data!D48))="Bangalore","Bengaluru",IF(PROPER(TRIM(Raw_Data!D48))="Gurgaon","Gurugram",IF(OR(PROPER(TRIM(Raw_Data!D48))="New Delhi",PROPER(TRIM(Raw_Data!D48))="Delhi"),"Delhi",PROPER(TRIM(Raw_Data!D48)))))</f>
        <v/>
      </c>
      <c r="C380">
        <f>IF(TRIM(Raw_Data!F48&amp;"")="","Not Specified",Raw_Data!F48)</f>
        <v/>
      </c>
      <c r="D380">
        <f>Raw_Data!H48</f>
        <v/>
      </c>
      <c r="E380">
        <f>Raw_Data!E48</f>
        <v/>
      </c>
    </row>
    <row r="381">
      <c r="A381">
        <f>_xlfn.IFS(ISNUMBER(SEARCH("data analy",B444)),"Data Analyst",ISNUMBER(SEARCH("business analy",B444)),"Business Analyst",OR(ISNUMBER(SEARCH("developer",B444)),ISNUMBER(SEARCH("software engineer",B444)),ISNUMBER(SEARCH("programmer",B444))),"Software Developer",ISNUMBER(SEARCH("business development",B444)),"Business Development",ISNUMBER(SEARCH("sales",B444)),"Sales Executive",ISNUMBER(SEARCH("marketing",B444)),"Marketing Executive",OR(ISNUMBER(SEARCH("hr ",B444)),ISNUMBER(SEARCH("recruit",B444)),ISNUMBER(SEARCH("human resource",B444))),"HR / Recruiter",OR(ISNUMBER(SEARCH("account",B444)),ISNUMBER(SEARCH("finance",B444)),ISNUMBER(SEARCH("tax",B444)),ISNUMBER(SEARCH("audit",B444))),"Accountant / Finance",OR(ISNUMBER(SEARCH("customer service",B444)),ISNUMBER(SEARCH("customer support",B444)),ISNUMBER(SEARCH("customer care",B444)),ISNUMBER(SEARCH("voice process",B444)),ISNUMBER(SEARCH("bpo",B444))),"Customer Support",ISNUMBER(SEARCH("engineer",B444)),"Engineer (Technical)",ISNUMBER(SEARCH("manager",B444)),"Manager",OR(ISNUMBER(SEARCH("teacher",B444)),ISNUMBER(SEARCH("trainer",B444)),ISNUMBER(SEARCH("faculty",B444))),"Teacher / Trainer",OR(ISNUMBER(SEARCH("doctor",B444)),ISNUMBER(SEARCH("nurse",B444)),ISNUMBER(SEARCH("medical",B444)),ISNUMBER(SEARCH("pharma",B444)),ISNUMBER(SEARCH("clinical",B444))),"Healthcare",TRUE,"Other")</f>
        <v/>
      </c>
      <c r="B381">
        <f>IF(PROPER(TRIM(Raw_Data!D49))="Bangalore","Bengaluru",IF(PROPER(TRIM(Raw_Data!D49))="Gurgaon","Gurugram",IF(OR(PROPER(TRIM(Raw_Data!D49))="New Delhi",PROPER(TRIM(Raw_Data!D49))="Delhi"),"Delhi",PROPER(TRIM(Raw_Data!D49)))))</f>
        <v/>
      </c>
      <c r="C381">
        <f>IF(TRIM(Raw_Data!F49&amp;"")="","Not Specified",Raw_Data!F49)</f>
        <v/>
      </c>
      <c r="D381">
        <f>Raw_Data!H49</f>
        <v/>
      </c>
      <c r="E381">
        <f>Raw_Data!E49</f>
        <v/>
      </c>
    </row>
    <row r="382">
      <c r="A382">
        <f>_xlfn.IFS(ISNUMBER(SEARCH("data analy",B45)),"Data Analyst",ISNUMBER(SEARCH("business analy",B45)),"Business Analyst",OR(ISNUMBER(SEARCH("developer",B45)),ISNUMBER(SEARCH("software engineer",B45)),ISNUMBER(SEARCH("programmer",B45))),"Software Developer",ISNUMBER(SEARCH("business development",B45)),"Business Development",ISNUMBER(SEARCH("sales",B45)),"Sales Executive",ISNUMBER(SEARCH("marketing",B45)),"Marketing Executive",OR(ISNUMBER(SEARCH("hr ",B45)),ISNUMBER(SEARCH("recruit",B45)),ISNUMBER(SEARCH("human resource",B45))),"HR / Recruiter",OR(ISNUMBER(SEARCH("account",B45)),ISNUMBER(SEARCH("finance",B45)),ISNUMBER(SEARCH("tax",B45)),ISNUMBER(SEARCH("audit",B45))),"Accountant / Finance",OR(ISNUMBER(SEARCH("customer service",B45)),ISNUMBER(SEARCH("customer support",B45)),ISNUMBER(SEARCH("customer care",B45)),ISNUMBER(SEARCH("voice process",B45)),ISNUMBER(SEARCH("bpo",B45))),"Customer Support",ISNUMBER(SEARCH("engineer",B45)),"Engineer (Technical)",ISNUMBER(SEARCH("manager",B45)),"Manager",OR(ISNUMBER(SEARCH("teacher",B45)),ISNUMBER(SEARCH("trainer",B45)),ISNUMBER(SEARCH("faculty",B45))),"Teacher / Trainer",OR(ISNUMBER(SEARCH("doctor",B45)),ISNUMBER(SEARCH("nurse",B45)),ISNUMBER(SEARCH("medical",B45)),ISNUMBER(SEARCH("pharma",B45)),ISNUMBER(SEARCH("clinical",B45))),"Healthcare",TRUE,"Other")</f>
        <v/>
      </c>
      <c r="B382">
        <f>IF(PROPER(TRIM(Raw_Data!D5))="Bangalore","Bengaluru",IF(PROPER(TRIM(Raw_Data!D5))="Gurgaon","Gurugram",IF(OR(PROPER(TRIM(Raw_Data!D5))="New Delhi",PROPER(TRIM(Raw_Data!D5))="Delhi"),"Delhi",PROPER(TRIM(Raw_Data!D5)))))</f>
        <v/>
      </c>
      <c r="C382">
        <f>IF(TRIM(Raw_Data!F5&amp;"")="","Not Specified",Raw_Data!F5)</f>
        <v/>
      </c>
      <c r="D382">
        <f>Raw_Data!H5</f>
        <v/>
      </c>
      <c r="E382">
        <f>Raw_Data!E5</f>
        <v/>
      </c>
    </row>
    <row r="383">
      <c r="A383">
        <f>_xlfn.IFS(ISNUMBER(SEARCH("data analy",B46)),"Data Analyst",ISNUMBER(SEARCH("business analy",B46)),"Business Analyst",OR(ISNUMBER(SEARCH("developer",B46)),ISNUMBER(SEARCH("software engineer",B46)),ISNUMBER(SEARCH("programmer",B46))),"Software Developer",ISNUMBER(SEARCH("business development",B46)),"Business Development",ISNUMBER(SEARCH("sales",B46)),"Sales Executive",ISNUMBER(SEARCH("marketing",B46)),"Marketing Executive",OR(ISNUMBER(SEARCH("hr ",B46)),ISNUMBER(SEARCH("recruit",B46)),ISNUMBER(SEARCH("human resource",B46))),"HR / Recruiter",OR(ISNUMBER(SEARCH("account",B46)),ISNUMBER(SEARCH("finance",B46)),ISNUMBER(SEARCH("tax",B46)),ISNUMBER(SEARCH("audit",B46))),"Accountant / Finance",OR(ISNUMBER(SEARCH("customer service",B46)),ISNUMBER(SEARCH("customer support",B46)),ISNUMBER(SEARCH("customer care",B46)),ISNUMBER(SEARCH("voice process",B46)),ISNUMBER(SEARCH("bpo",B46))),"Customer Support",ISNUMBER(SEARCH("engineer",B46)),"Engineer (Technical)",ISNUMBER(SEARCH("manager",B46)),"Manager",OR(ISNUMBER(SEARCH("teacher",B46)),ISNUMBER(SEARCH("trainer",B46)),ISNUMBER(SEARCH("faculty",B46))),"Teacher / Trainer",OR(ISNUMBER(SEARCH("doctor",B46)),ISNUMBER(SEARCH("nurse",B46)),ISNUMBER(SEARCH("medical",B46)),ISNUMBER(SEARCH("pharma",B46)),ISNUMBER(SEARCH("clinical",B46))),"Healthcare",TRUE,"Other")</f>
        <v/>
      </c>
      <c r="B383">
        <f>IF(PROPER(TRIM(Raw_Data!D50))="Bangalore","Bengaluru",IF(PROPER(TRIM(Raw_Data!D50))="Gurgaon","Gurugram",IF(OR(PROPER(TRIM(Raw_Data!D50))="New Delhi",PROPER(TRIM(Raw_Data!D50))="Delhi"),"Delhi",PROPER(TRIM(Raw_Data!D50)))))</f>
        <v/>
      </c>
      <c r="C383">
        <f>IF(TRIM(Raw_Data!F50&amp;"")="","Not Specified",Raw_Data!F50)</f>
        <v/>
      </c>
      <c r="D383">
        <f>Raw_Data!H50</f>
        <v/>
      </c>
      <c r="E383">
        <f>Raw_Data!E50</f>
        <v/>
      </c>
    </row>
    <row r="384">
      <c r="A384">
        <f>_xlfn.IFS(ISNUMBER(SEARCH("data analy",B47)),"Data Analyst",ISNUMBER(SEARCH("business analy",B47)),"Business Analyst",OR(ISNUMBER(SEARCH("developer",B47)),ISNUMBER(SEARCH("software engineer",B47)),ISNUMBER(SEARCH("programmer",B47))),"Software Developer",ISNUMBER(SEARCH("business development",B47)),"Business Development",ISNUMBER(SEARCH("sales",B47)),"Sales Executive",ISNUMBER(SEARCH("marketing",B47)),"Marketing Executive",OR(ISNUMBER(SEARCH("hr ",B47)),ISNUMBER(SEARCH("recruit",B47)),ISNUMBER(SEARCH("human resource",B47))),"HR / Recruiter",OR(ISNUMBER(SEARCH("account",B47)),ISNUMBER(SEARCH("finance",B47)),ISNUMBER(SEARCH("tax",B47)),ISNUMBER(SEARCH("audit",B47))),"Accountant / Finance",OR(ISNUMBER(SEARCH("customer service",B47)),ISNUMBER(SEARCH("customer support",B47)),ISNUMBER(SEARCH("customer care",B47)),ISNUMBER(SEARCH("voice process",B47)),ISNUMBER(SEARCH("bpo",B47))),"Customer Support",ISNUMBER(SEARCH("engineer",B47)),"Engineer (Technical)",ISNUMBER(SEARCH("manager",B47)),"Manager",OR(ISNUMBER(SEARCH("teacher",B47)),ISNUMBER(SEARCH("trainer",B47)),ISNUMBER(SEARCH("faculty",B47))),"Teacher / Trainer",OR(ISNUMBER(SEARCH("doctor",B47)),ISNUMBER(SEARCH("nurse",B47)),ISNUMBER(SEARCH("medical",B47)),ISNUMBER(SEARCH("pharma",B47)),ISNUMBER(SEARCH("clinical",B47))),"Healthcare",TRUE,"Other")</f>
        <v/>
      </c>
      <c r="B384">
        <f>IF(PROPER(TRIM(Raw_Data!D51))="Bangalore","Bengaluru",IF(PROPER(TRIM(Raw_Data!D51))="Gurgaon","Gurugram",IF(OR(PROPER(TRIM(Raw_Data!D51))="New Delhi",PROPER(TRIM(Raw_Data!D51))="Delhi"),"Delhi",PROPER(TRIM(Raw_Data!D51)))))</f>
        <v/>
      </c>
      <c r="C384">
        <f>IF(TRIM(Raw_Data!F51&amp;"")="","Not Specified",Raw_Data!F51)</f>
        <v/>
      </c>
      <c r="D384">
        <f>Raw_Data!H51</f>
        <v/>
      </c>
      <c r="E384">
        <f>Raw_Data!E51</f>
        <v/>
      </c>
    </row>
    <row r="385">
      <c r="A385">
        <f>_xlfn.IFS(ISNUMBER(SEARCH("data analy",B48)),"Data Analyst",ISNUMBER(SEARCH("business analy",B48)),"Business Analyst",OR(ISNUMBER(SEARCH("developer",B48)),ISNUMBER(SEARCH("software engineer",B48)),ISNUMBER(SEARCH("programmer",B48))),"Software Developer",ISNUMBER(SEARCH("business development",B48)),"Business Development",ISNUMBER(SEARCH("sales",B48)),"Sales Executive",ISNUMBER(SEARCH("marketing",B48)),"Marketing Executive",OR(ISNUMBER(SEARCH("hr ",B48)),ISNUMBER(SEARCH("recruit",B48)),ISNUMBER(SEARCH("human resource",B48))),"HR / Recruiter",OR(ISNUMBER(SEARCH("account",B48)),ISNUMBER(SEARCH("finance",B48)),ISNUMBER(SEARCH("tax",B48)),ISNUMBER(SEARCH("audit",B48))),"Accountant / Finance",OR(ISNUMBER(SEARCH("customer service",B48)),ISNUMBER(SEARCH("customer support",B48)),ISNUMBER(SEARCH("customer care",B48)),ISNUMBER(SEARCH("voice process",B48)),ISNUMBER(SEARCH("bpo",B48))),"Customer Support",ISNUMBER(SEARCH("engineer",B48)),"Engineer (Technical)",ISNUMBER(SEARCH("manager",B48)),"Manager",OR(ISNUMBER(SEARCH("teacher",B48)),ISNUMBER(SEARCH("trainer",B48)),ISNUMBER(SEARCH("faculty",B48))),"Teacher / Trainer",OR(ISNUMBER(SEARCH("doctor",B48)),ISNUMBER(SEARCH("nurse",B48)),ISNUMBER(SEARCH("medical",B48)),ISNUMBER(SEARCH("pharma",B48)),ISNUMBER(SEARCH("clinical",B48))),"Healthcare",TRUE,"Other")</f>
        <v/>
      </c>
      <c r="B385">
        <f>IF(PROPER(TRIM(Raw_Data!D52))="Bangalore","Bengaluru",IF(PROPER(TRIM(Raw_Data!D52))="Gurgaon","Gurugram",IF(OR(PROPER(TRIM(Raw_Data!D52))="New Delhi",PROPER(TRIM(Raw_Data!D52))="Delhi"),"Delhi",PROPER(TRIM(Raw_Data!D52)))))</f>
        <v/>
      </c>
      <c r="C385">
        <f>IF(TRIM(Raw_Data!F52&amp;"")="","Not Specified",Raw_Data!F52)</f>
        <v/>
      </c>
      <c r="D385">
        <f>Raw_Data!H52</f>
        <v/>
      </c>
      <c r="E385">
        <f>Raw_Data!E52</f>
        <v/>
      </c>
    </row>
    <row r="386">
      <c r="A386">
        <f>_xlfn.IFS(ISNUMBER(SEARCH("data analy",B49)),"Data Analyst",ISNUMBER(SEARCH("business analy",B49)),"Business Analyst",OR(ISNUMBER(SEARCH("developer",B49)),ISNUMBER(SEARCH("software engineer",B49)),ISNUMBER(SEARCH("programmer",B49))),"Software Developer",ISNUMBER(SEARCH("business development",B49)),"Business Development",ISNUMBER(SEARCH("sales",B49)),"Sales Executive",ISNUMBER(SEARCH("marketing",B49)),"Marketing Executive",OR(ISNUMBER(SEARCH("hr ",B49)),ISNUMBER(SEARCH("recruit",B49)),ISNUMBER(SEARCH("human resource",B49))),"HR / Recruiter",OR(ISNUMBER(SEARCH("account",B49)),ISNUMBER(SEARCH("finance",B49)),ISNUMBER(SEARCH("tax",B49)),ISNUMBER(SEARCH("audit",B49))),"Accountant / Finance",OR(ISNUMBER(SEARCH("customer service",B49)),ISNUMBER(SEARCH("customer support",B49)),ISNUMBER(SEARCH("customer care",B49)),ISNUMBER(SEARCH("voice process",B49)),ISNUMBER(SEARCH("bpo",B49))),"Customer Support",ISNUMBER(SEARCH("engineer",B49)),"Engineer (Technical)",ISNUMBER(SEARCH("manager",B49)),"Manager",OR(ISNUMBER(SEARCH("teacher",B49)),ISNUMBER(SEARCH("trainer",B49)),ISNUMBER(SEARCH("faculty",B49))),"Teacher / Trainer",OR(ISNUMBER(SEARCH("doctor",B49)),ISNUMBER(SEARCH("nurse",B49)),ISNUMBER(SEARCH("medical",B49)),ISNUMBER(SEARCH("pharma",B49)),ISNUMBER(SEARCH("clinical",B49))),"Healthcare",TRUE,"Other")</f>
        <v/>
      </c>
      <c r="B386">
        <f>IF(PROPER(TRIM(Raw_Data!D53))="Bangalore","Bengaluru",IF(PROPER(TRIM(Raw_Data!D53))="Gurgaon","Gurugram",IF(OR(PROPER(TRIM(Raw_Data!D53))="New Delhi",PROPER(TRIM(Raw_Data!D53))="Delhi"),"Delhi",PROPER(TRIM(Raw_Data!D53)))))</f>
        <v/>
      </c>
      <c r="C386">
        <f>IF(TRIM(Raw_Data!F53&amp;"")="","Not Specified",Raw_Data!F53)</f>
        <v/>
      </c>
      <c r="D386">
        <f>Raw_Data!H53</f>
        <v/>
      </c>
      <c r="E386">
        <f>Raw_Data!E53</f>
        <v/>
      </c>
    </row>
    <row r="387">
      <c r="A387">
        <f>_xlfn.IFS(ISNUMBER(SEARCH("data analy",B50)),"Data Analyst",ISNUMBER(SEARCH("business analy",B50)),"Business Analyst",OR(ISNUMBER(SEARCH("developer",B50)),ISNUMBER(SEARCH("software engineer",B50)),ISNUMBER(SEARCH("programmer",B50))),"Software Developer",ISNUMBER(SEARCH("business development",B50)),"Business Development",ISNUMBER(SEARCH("sales",B50)),"Sales Executive",ISNUMBER(SEARCH("marketing",B50)),"Marketing Executive",OR(ISNUMBER(SEARCH("hr ",B50)),ISNUMBER(SEARCH("recruit",B50)),ISNUMBER(SEARCH("human resource",B50))),"HR / Recruiter",OR(ISNUMBER(SEARCH("account",B50)),ISNUMBER(SEARCH("finance",B50)),ISNUMBER(SEARCH("tax",B50)),ISNUMBER(SEARCH("audit",B50))),"Accountant / Finance",OR(ISNUMBER(SEARCH("customer service",B50)),ISNUMBER(SEARCH("customer support",B50)),ISNUMBER(SEARCH("customer care",B50)),ISNUMBER(SEARCH("voice process",B50)),ISNUMBER(SEARCH("bpo",B50))),"Customer Support",ISNUMBER(SEARCH("engineer",B50)),"Engineer (Technical)",ISNUMBER(SEARCH("manager",B50)),"Manager",OR(ISNUMBER(SEARCH("teacher",B50)),ISNUMBER(SEARCH("trainer",B50)),ISNUMBER(SEARCH("faculty",B50))),"Teacher / Trainer",OR(ISNUMBER(SEARCH("doctor",B50)),ISNUMBER(SEARCH("nurse",B50)),ISNUMBER(SEARCH("medical",B50)),ISNUMBER(SEARCH("pharma",B50)),ISNUMBER(SEARCH("clinical",B50))),"Healthcare",TRUE,"Other")</f>
        <v/>
      </c>
      <c r="B387">
        <f>IF(PROPER(TRIM(Raw_Data!D54))="Bangalore","Bengaluru",IF(PROPER(TRIM(Raw_Data!D54))="Gurgaon","Gurugram",IF(OR(PROPER(TRIM(Raw_Data!D54))="New Delhi",PROPER(TRIM(Raw_Data!D54))="Delhi"),"Delhi",PROPER(TRIM(Raw_Data!D54)))))</f>
        <v/>
      </c>
      <c r="C387">
        <f>IF(TRIM(Raw_Data!F54&amp;"")="","Not Specified",Raw_Data!F54)</f>
        <v/>
      </c>
      <c r="D387">
        <f>Raw_Data!H54</f>
        <v/>
      </c>
      <c r="E387">
        <f>Raw_Data!E54</f>
        <v/>
      </c>
    </row>
    <row r="388">
      <c r="A388">
        <f>_xlfn.IFS(ISNUMBER(SEARCH("data analy",B51)),"Data Analyst",ISNUMBER(SEARCH("business analy",B51)),"Business Analyst",OR(ISNUMBER(SEARCH("developer",B51)),ISNUMBER(SEARCH("software engineer",B51)),ISNUMBER(SEARCH("programmer",B51))),"Software Developer",ISNUMBER(SEARCH("business development",B51)),"Business Development",ISNUMBER(SEARCH("sales",B51)),"Sales Executive",ISNUMBER(SEARCH("marketing",B51)),"Marketing Executive",OR(ISNUMBER(SEARCH("hr ",B51)),ISNUMBER(SEARCH("recruit",B51)),ISNUMBER(SEARCH("human resource",B51))),"HR / Recruiter",OR(ISNUMBER(SEARCH("account",B51)),ISNUMBER(SEARCH("finance",B51)),ISNUMBER(SEARCH("tax",B51)),ISNUMBER(SEARCH("audit",B51))),"Accountant / Finance",OR(ISNUMBER(SEARCH("customer service",B51)),ISNUMBER(SEARCH("customer support",B51)),ISNUMBER(SEARCH("customer care",B51)),ISNUMBER(SEARCH("voice process",B51)),ISNUMBER(SEARCH("bpo",B51))),"Customer Support",ISNUMBER(SEARCH("engineer",B51)),"Engineer (Technical)",ISNUMBER(SEARCH("manager",B51)),"Manager",OR(ISNUMBER(SEARCH("teacher",B51)),ISNUMBER(SEARCH("trainer",B51)),ISNUMBER(SEARCH("faculty",B51))),"Teacher / Trainer",OR(ISNUMBER(SEARCH("doctor",B51)),ISNUMBER(SEARCH("nurse",B51)),ISNUMBER(SEARCH("medical",B51)),ISNUMBER(SEARCH("pharma",B51)),ISNUMBER(SEARCH("clinical",B51))),"Healthcare",TRUE,"Other")</f>
        <v/>
      </c>
      <c r="B388">
        <f>IF(PROPER(TRIM(Raw_Data!D55))="Bangalore","Bengaluru",IF(PROPER(TRIM(Raw_Data!D55))="Gurgaon","Gurugram",IF(OR(PROPER(TRIM(Raw_Data!D55))="New Delhi",PROPER(TRIM(Raw_Data!D55))="Delhi"),"Delhi",PROPER(TRIM(Raw_Data!D55)))))</f>
        <v/>
      </c>
      <c r="C388">
        <f>IF(TRIM(Raw_Data!F55&amp;"")="","Not Specified",Raw_Data!F55)</f>
        <v/>
      </c>
      <c r="D388">
        <f>Raw_Data!H55</f>
        <v/>
      </c>
      <c r="E388">
        <f>Raw_Data!E55</f>
        <v/>
      </c>
    </row>
    <row r="389">
      <c r="A389">
        <f>_xlfn.IFS(ISNUMBER(SEARCH("data analy",B52)),"Data Analyst",ISNUMBER(SEARCH("business analy",B52)),"Business Analyst",OR(ISNUMBER(SEARCH("developer",B52)),ISNUMBER(SEARCH("software engineer",B52)),ISNUMBER(SEARCH("programmer",B52))),"Software Developer",ISNUMBER(SEARCH("business development",B52)),"Business Development",ISNUMBER(SEARCH("sales",B52)),"Sales Executive",ISNUMBER(SEARCH("marketing",B52)),"Marketing Executive",OR(ISNUMBER(SEARCH("hr ",B52)),ISNUMBER(SEARCH("recruit",B52)),ISNUMBER(SEARCH("human resource",B52))),"HR / Recruiter",OR(ISNUMBER(SEARCH("account",B52)),ISNUMBER(SEARCH("finance",B52)),ISNUMBER(SEARCH("tax",B52)),ISNUMBER(SEARCH("audit",B52))),"Accountant / Finance",OR(ISNUMBER(SEARCH("customer service",B52)),ISNUMBER(SEARCH("customer support",B52)),ISNUMBER(SEARCH("customer care",B52)),ISNUMBER(SEARCH("voice process",B52)),ISNUMBER(SEARCH("bpo",B52))),"Customer Support",ISNUMBER(SEARCH("engineer",B52)),"Engineer (Technical)",ISNUMBER(SEARCH("manager",B52)),"Manager",OR(ISNUMBER(SEARCH("teacher",B52)),ISNUMBER(SEARCH("trainer",B52)),ISNUMBER(SEARCH("faculty",B52))),"Teacher / Trainer",OR(ISNUMBER(SEARCH("doctor",B52)),ISNUMBER(SEARCH("nurse",B52)),ISNUMBER(SEARCH("medical",B52)),ISNUMBER(SEARCH("pharma",B52)),ISNUMBER(SEARCH("clinical",B52))),"Healthcare",TRUE,"Other")</f>
        <v/>
      </c>
      <c r="B389">
        <f>IF(PROPER(TRIM(Raw_Data!D56))="Bangalore","Bengaluru",IF(PROPER(TRIM(Raw_Data!D56))="Gurgaon","Gurugram",IF(OR(PROPER(TRIM(Raw_Data!D56))="New Delhi",PROPER(TRIM(Raw_Data!D56))="Delhi"),"Delhi",PROPER(TRIM(Raw_Data!D56)))))</f>
        <v/>
      </c>
      <c r="C389">
        <f>IF(TRIM(Raw_Data!F56&amp;"")="","Not Specified",Raw_Data!F56)</f>
        <v/>
      </c>
      <c r="D389">
        <f>Raw_Data!H56</f>
        <v/>
      </c>
      <c r="E389">
        <f>Raw_Data!E56</f>
        <v/>
      </c>
    </row>
    <row r="390">
      <c r="A390">
        <f>_xlfn.IFS(ISNUMBER(SEARCH("data analy",B53)),"Data Analyst",ISNUMBER(SEARCH("business analy",B53)),"Business Analyst",OR(ISNUMBER(SEARCH("developer",B53)),ISNUMBER(SEARCH("software engineer",B53)),ISNUMBER(SEARCH("programmer",B53))),"Software Developer",ISNUMBER(SEARCH("business development",B53)),"Business Development",ISNUMBER(SEARCH("sales",B53)),"Sales Executive",ISNUMBER(SEARCH("marketing",B53)),"Marketing Executive",OR(ISNUMBER(SEARCH("hr ",B53)),ISNUMBER(SEARCH("recruit",B53)),ISNUMBER(SEARCH("human resource",B53))),"HR / Recruiter",OR(ISNUMBER(SEARCH("account",B53)),ISNUMBER(SEARCH("finance",B53)),ISNUMBER(SEARCH("tax",B53)),ISNUMBER(SEARCH("audit",B53))),"Accountant / Finance",OR(ISNUMBER(SEARCH("customer service",B53)),ISNUMBER(SEARCH("customer support",B53)),ISNUMBER(SEARCH("customer care",B53)),ISNUMBER(SEARCH("voice process",B53)),ISNUMBER(SEARCH("bpo",B53))),"Customer Support",ISNUMBER(SEARCH("engineer",B53)),"Engineer (Technical)",ISNUMBER(SEARCH("manager",B53)),"Manager",OR(ISNUMBER(SEARCH("teacher",B53)),ISNUMBER(SEARCH("trainer",B53)),ISNUMBER(SEARCH("faculty",B53))),"Teacher / Trainer",OR(ISNUMBER(SEARCH("doctor",B53)),ISNUMBER(SEARCH("nurse",B53)),ISNUMBER(SEARCH("medical",B53)),ISNUMBER(SEARCH("pharma",B53)),ISNUMBER(SEARCH("clinical",B53))),"Healthcare",TRUE,"Other")</f>
        <v/>
      </c>
      <c r="B390">
        <f>IF(PROPER(TRIM(Raw_Data!D57))="Bangalore","Bengaluru",IF(PROPER(TRIM(Raw_Data!D57))="Gurgaon","Gurugram",IF(OR(PROPER(TRIM(Raw_Data!D57))="New Delhi",PROPER(TRIM(Raw_Data!D57))="Delhi"),"Delhi",PROPER(TRIM(Raw_Data!D57)))))</f>
        <v/>
      </c>
      <c r="C390">
        <f>IF(TRIM(Raw_Data!F57&amp;"")="","Not Specified",Raw_Data!F57)</f>
        <v/>
      </c>
      <c r="D390">
        <f>Raw_Data!H57</f>
        <v/>
      </c>
      <c r="E390">
        <f>Raw_Data!E57</f>
        <v/>
      </c>
    </row>
    <row r="391">
      <c r="A391">
        <f>_xlfn.IFS(ISNUMBER(SEARCH("data analy",B54)),"Data Analyst",ISNUMBER(SEARCH("business analy",B54)),"Business Analyst",OR(ISNUMBER(SEARCH("developer",B54)),ISNUMBER(SEARCH("software engineer",B54)),ISNUMBER(SEARCH("programmer",B54))),"Software Developer",ISNUMBER(SEARCH("business development",B54)),"Business Development",ISNUMBER(SEARCH("sales",B54)),"Sales Executive",ISNUMBER(SEARCH("marketing",B54)),"Marketing Executive",OR(ISNUMBER(SEARCH("hr ",B54)),ISNUMBER(SEARCH("recruit",B54)),ISNUMBER(SEARCH("human resource",B54))),"HR / Recruiter",OR(ISNUMBER(SEARCH("account",B54)),ISNUMBER(SEARCH("finance",B54)),ISNUMBER(SEARCH("tax",B54)),ISNUMBER(SEARCH("audit",B54))),"Accountant / Finance",OR(ISNUMBER(SEARCH("customer service",B54)),ISNUMBER(SEARCH("customer support",B54)),ISNUMBER(SEARCH("customer care",B54)),ISNUMBER(SEARCH("voice process",B54)),ISNUMBER(SEARCH("bpo",B54))),"Customer Support",ISNUMBER(SEARCH("engineer",B54)),"Engineer (Technical)",ISNUMBER(SEARCH("manager",B54)),"Manager",OR(ISNUMBER(SEARCH("teacher",B54)),ISNUMBER(SEARCH("trainer",B54)),ISNUMBER(SEARCH("faculty",B54))),"Teacher / Trainer",OR(ISNUMBER(SEARCH("doctor",B54)),ISNUMBER(SEARCH("nurse",B54)),ISNUMBER(SEARCH("medical",B54)),ISNUMBER(SEARCH("pharma",B54)),ISNUMBER(SEARCH("clinical",B54))),"Healthcare",TRUE,"Other")</f>
        <v/>
      </c>
      <c r="B391">
        <f>IF(PROPER(TRIM(Raw_Data!D58))="Bangalore","Bengaluru",IF(PROPER(TRIM(Raw_Data!D58))="Gurgaon","Gurugram",IF(OR(PROPER(TRIM(Raw_Data!D58))="New Delhi",PROPER(TRIM(Raw_Data!D58))="Delhi"),"Delhi",PROPER(TRIM(Raw_Data!D58)))))</f>
        <v/>
      </c>
      <c r="C391">
        <f>IF(TRIM(Raw_Data!F58&amp;"")="","Not Specified",Raw_Data!F58)</f>
        <v/>
      </c>
      <c r="D391">
        <f>Raw_Data!H58</f>
        <v/>
      </c>
      <c r="E391">
        <f>Raw_Data!E58</f>
        <v/>
      </c>
    </row>
    <row r="392">
      <c r="A392">
        <f>_xlfn.IFS(ISNUMBER(SEARCH("data analy",B55)),"Data Analyst",ISNUMBER(SEARCH("business analy",B55)),"Business Analyst",OR(ISNUMBER(SEARCH("developer",B55)),ISNUMBER(SEARCH("software engineer",B55)),ISNUMBER(SEARCH("programmer",B55))),"Software Developer",ISNUMBER(SEARCH("business development",B55)),"Business Development",ISNUMBER(SEARCH("sales",B55)),"Sales Executive",ISNUMBER(SEARCH("marketing",B55)),"Marketing Executive",OR(ISNUMBER(SEARCH("hr ",B55)),ISNUMBER(SEARCH("recruit",B55)),ISNUMBER(SEARCH("human resource",B55))),"HR / Recruiter",OR(ISNUMBER(SEARCH("account",B55)),ISNUMBER(SEARCH("finance",B55)),ISNUMBER(SEARCH("tax",B55)),ISNUMBER(SEARCH("audit",B55))),"Accountant / Finance",OR(ISNUMBER(SEARCH("customer service",B55)),ISNUMBER(SEARCH("customer support",B55)),ISNUMBER(SEARCH("customer care",B55)),ISNUMBER(SEARCH("voice process",B55)),ISNUMBER(SEARCH("bpo",B55))),"Customer Support",ISNUMBER(SEARCH("engineer",B55)),"Engineer (Technical)",ISNUMBER(SEARCH("manager",B55)),"Manager",OR(ISNUMBER(SEARCH("teacher",B55)),ISNUMBER(SEARCH("trainer",B55)),ISNUMBER(SEARCH("faculty",B55))),"Teacher / Trainer",OR(ISNUMBER(SEARCH("doctor",B55)),ISNUMBER(SEARCH("nurse",B55)),ISNUMBER(SEARCH("medical",B55)),ISNUMBER(SEARCH("pharma",B55)),ISNUMBER(SEARCH("clinical",B55))),"Healthcare",TRUE,"Other")</f>
        <v/>
      </c>
      <c r="B392">
        <f>IF(PROPER(TRIM(Raw_Data!D59))="Bangalore","Bengaluru",IF(PROPER(TRIM(Raw_Data!D59))="Gurgaon","Gurugram",IF(OR(PROPER(TRIM(Raw_Data!D59))="New Delhi",PROPER(TRIM(Raw_Data!D59))="Delhi"),"Delhi",PROPER(TRIM(Raw_Data!D59)))))</f>
        <v/>
      </c>
      <c r="C392">
        <f>IF(TRIM(Raw_Data!F59&amp;"")="","Not Specified",Raw_Data!F59)</f>
        <v/>
      </c>
      <c r="D392">
        <f>Raw_Data!H59</f>
        <v/>
      </c>
      <c r="E392">
        <f>Raw_Data!E59</f>
        <v/>
      </c>
    </row>
    <row r="393">
      <c r="A393">
        <f>_xlfn.IFS(ISNUMBER(SEARCH("data analy",B56)),"Data Analyst",ISNUMBER(SEARCH("business analy",B56)),"Business Analyst",OR(ISNUMBER(SEARCH("developer",B56)),ISNUMBER(SEARCH("software engineer",B56)),ISNUMBER(SEARCH("programmer",B56))),"Software Developer",ISNUMBER(SEARCH("business development",B56)),"Business Development",ISNUMBER(SEARCH("sales",B56)),"Sales Executive",ISNUMBER(SEARCH("marketing",B56)),"Marketing Executive",OR(ISNUMBER(SEARCH("hr ",B56)),ISNUMBER(SEARCH("recruit",B56)),ISNUMBER(SEARCH("human resource",B56))),"HR / Recruiter",OR(ISNUMBER(SEARCH("account",B56)),ISNUMBER(SEARCH("finance",B56)),ISNUMBER(SEARCH("tax",B56)),ISNUMBER(SEARCH("audit",B56))),"Accountant / Finance",OR(ISNUMBER(SEARCH("customer service",B56)),ISNUMBER(SEARCH("customer support",B56)),ISNUMBER(SEARCH("customer care",B56)),ISNUMBER(SEARCH("voice process",B56)),ISNUMBER(SEARCH("bpo",B56))),"Customer Support",ISNUMBER(SEARCH("engineer",B56)),"Engineer (Technical)",ISNUMBER(SEARCH("manager",B56)),"Manager",OR(ISNUMBER(SEARCH("teacher",B56)),ISNUMBER(SEARCH("trainer",B56)),ISNUMBER(SEARCH("faculty",B56))),"Teacher / Trainer",OR(ISNUMBER(SEARCH("doctor",B56)),ISNUMBER(SEARCH("nurse",B56)),ISNUMBER(SEARCH("medical",B56)),ISNUMBER(SEARCH("pharma",B56)),ISNUMBER(SEARCH("clinical",B56))),"Healthcare",TRUE,"Other")</f>
        <v/>
      </c>
      <c r="B393">
        <f>IF(PROPER(TRIM(Raw_Data!D6))="Bangalore","Bengaluru",IF(PROPER(TRIM(Raw_Data!D6))="Gurgaon","Gurugram",IF(OR(PROPER(TRIM(Raw_Data!D6))="New Delhi",PROPER(TRIM(Raw_Data!D6))="Delhi"),"Delhi",PROPER(TRIM(Raw_Data!D6)))))</f>
        <v/>
      </c>
      <c r="C393">
        <f>IF(TRIM(Raw_Data!F6&amp;"")="","Not Specified",Raw_Data!F6)</f>
        <v/>
      </c>
      <c r="D393">
        <f>Raw_Data!H6</f>
        <v/>
      </c>
      <c r="E393">
        <f>Raw_Data!E6</f>
        <v/>
      </c>
    </row>
    <row r="394">
      <c r="A394">
        <f>_xlfn.IFS(ISNUMBER(SEARCH("data analy",B57)),"Data Analyst",ISNUMBER(SEARCH("business analy",B57)),"Business Analyst",OR(ISNUMBER(SEARCH("developer",B57)),ISNUMBER(SEARCH("software engineer",B57)),ISNUMBER(SEARCH("programmer",B57))),"Software Developer",ISNUMBER(SEARCH("business development",B57)),"Business Development",ISNUMBER(SEARCH("sales",B57)),"Sales Executive",ISNUMBER(SEARCH("marketing",B57)),"Marketing Executive",OR(ISNUMBER(SEARCH("hr ",B57)),ISNUMBER(SEARCH("recruit",B57)),ISNUMBER(SEARCH("human resource",B57))),"HR / Recruiter",OR(ISNUMBER(SEARCH("account",B57)),ISNUMBER(SEARCH("finance",B57)),ISNUMBER(SEARCH("tax",B57)),ISNUMBER(SEARCH("audit",B57))),"Accountant / Finance",OR(ISNUMBER(SEARCH("customer service",B57)),ISNUMBER(SEARCH("customer support",B57)),ISNUMBER(SEARCH("customer care",B57)),ISNUMBER(SEARCH("voice process",B57)),ISNUMBER(SEARCH("bpo",B57))),"Customer Support",ISNUMBER(SEARCH("engineer",B57)),"Engineer (Technical)",ISNUMBER(SEARCH("manager",B57)),"Manager",OR(ISNUMBER(SEARCH("teacher",B57)),ISNUMBER(SEARCH("trainer",B57)),ISNUMBER(SEARCH("faculty",B57))),"Teacher / Trainer",OR(ISNUMBER(SEARCH("doctor",B57)),ISNUMBER(SEARCH("nurse",B57)),ISNUMBER(SEARCH("medical",B57)),ISNUMBER(SEARCH("pharma",B57)),ISNUMBER(SEARCH("clinical",B57))),"Healthcare",TRUE,"Other")</f>
        <v/>
      </c>
      <c r="B394">
        <f>IF(PROPER(TRIM(Raw_Data!D60))="Bangalore","Bengaluru",IF(PROPER(TRIM(Raw_Data!D60))="Gurgaon","Gurugram",IF(OR(PROPER(TRIM(Raw_Data!D60))="New Delhi",PROPER(TRIM(Raw_Data!D60))="Delhi"),"Delhi",PROPER(TRIM(Raw_Data!D60)))))</f>
        <v/>
      </c>
      <c r="C394">
        <f>IF(TRIM(Raw_Data!F60&amp;"")="","Not Specified",Raw_Data!F60)</f>
        <v/>
      </c>
      <c r="D394">
        <f>Raw_Data!H60</f>
        <v/>
      </c>
      <c r="E394">
        <f>Raw_Data!E60</f>
        <v/>
      </c>
    </row>
    <row r="395">
      <c r="A395">
        <f>_xlfn.IFS(ISNUMBER(SEARCH("data analy",B58)),"Data Analyst",ISNUMBER(SEARCH("business analy",B58)),"Business Analyst",OR(ISNUMBER(SEARCH("developer",B58)),ISNUMBER(SEARCH("software engineer",B58)),ISNUMBER(SEARCH("programmer",B58))),"Software Developer",ISNUMBER(SEARCH("business development",B58)),"Business Development",ISNUMBER(SEARCH("sales",B58)),"Sales Executive",ISNUMBER(SEARCH("marketing",B58)),"Marketing Executive",OR(ISNUMBER(SEARCH("hr ",B58)),ISNUMBER(SEARCH("recruit",B58)),ISNUMBER(SEARCH("human resource",B58))),"HR / Recruiter",OR(ISNUMBER(SEARCH("account",B58)),ISNUMBER(SEARCH("finance",B58)),ISNUMBER(SEARCH("tax",B58)),ISNUMBER(SEARCH("audit",B58))),"Accountant / Finance",OR(ISNUMBER(SEARCH("customer service",B58)),ISNUMBER(SEARCH("customer support",B58)),ISNUMBER(SEARCH("customer care",B58)),ISNUMBER(SEARCH("voice process",B58)),ISNUMBER(SEARCH("bpo",B58))),"Customer Support",ISNUMBER(SEARCH("engineer",B58)),"Engineer (Technical)",ISNUMBER(SEARCH("manager",B58)),"Manager",OR(ISNUMBER(SEARCH("teacher",B58)),ISNUMBER(SEARCH("trainer",B58)),ISNUMBER(SEARCH("faculty",B58))),"Teacher / Trainer",OR(ISNUMBER(SEARCH("doctor",B58)),ISNUMBER(SEARCH("nurse",B58)),ISNUMBER(SEARCH("medical",B58)),ISNUMBER(SEARCH("pharma",B58)),ISNUMBER(SEARCH("clinical",B58))),"Healthcare",TRUE,"Other")</f>
        <v/>
      </c>
      <c r="B395">
        <f>IF(PROPER(TRIM(Raw_Data!D61))="Bangalore","Bengaluru",IF(PROPER(TRIM(Raw_Data!D61))="Gurgaon","Gurugram",IF(OR(PROPER(TRIM(Raw_Data!D61))="New Delhi",PROPER(TRIM(Raw_Data!D61))="Delhi"),"Delhi",PROPER(TRIM(Raw_Data!D61)))))</f>
        <v/>
      </c>
      <c r="C395">
        <f>IF(TRIM(Raw_Data!F61&amp;"")="","Not Specified",Raw_Data!F61)</f>
        <v/>
      </c>
      <c r="D395">
        <f>Raw_Data!H61</f>
        <v/>
      </c>
      <c r="E395">
        <f>Raw_Data!E61</f>
        <v/>
      </c>
    </row>
    <row r="396">
      <c r="A396">
        <f>_xlfn.IFS(ISNUMBER(SEARCH("data analy",B59)),"Data Analyst",ISNUMBER(SEARCH("business analy",B59)),"Business Analyst",OR(ISNUMBER(SEARCH("developer",B59)),ISNUMBER(SEARCH("software engineer",B59)),ISNUMBER(SEARCH("programmer",B59))),"Software Developer",ISNUMBER(SEARCH("business development",B59)),"Business Development",ISNUMBER(SEARCH("sales",B59)),"Sales Executive",ISNUMBER(SEARCH("marketing",B59)),"Marketing Executive",OR(ISNUMBER(SEARCH("hr ",B59)),ISNUMBER(SEARCH("recruit",B59)),ISNUMBER(SEARCH("human resource",B59))),"HR / Recruiter",OR(ISNUMBER(SEARCH("account",B59)),ISNUMBER(SEARCH("finance",B59)),ISNUMBER(SEARCH("tax",B59)),ISNUMBER(SEARCH("audit",B59))),"Accountant / Finance",OR(ISNUMBER(SEARCH("customer service",B59)),ISNUMBER(SEARCH("customer support",B59)),ISNUMBER(SEARCH("customer care",B59)),ISNUMBER(SEARCH("voice process",B59)),ISNUMBER(SEARCH("bpo",B59))),"Customer Support",ISNUMBER(SEARCH("engineer",B59)),"Engineer (Technical)",ISNUMBER(SEARCH("manager",B59)),"Manager",OR(ISNUMBER(SEARCH("teacher",B59)),ISNUMBER(SEARCH("trainer",B59)),ISNUMBER(SEARCH("faculty",B59))),"Teacher / Trainer",OR(ISNUMBER(SEARCH("doctor",B59)),ISNUMBER(SEARCH("nurse",B59)),ISNUMBER(SEARCH("medical",B59)),ISNUMBER(SEARCH("pharma",B59)),ISNUMBER(SEARCH("clinical",B59))),"Healthcare",TRUE,"Other")</f>
        <v/>
      </c>
      <c r="B396">
        <f>IF(PROPER(TRIM(Raw_Data!D62))="Bangalore","Bengaluru",IF(PROPER(TRIM(Raw_Data!D62))="Gurgaon","Gurugram",IF(OR(PROPER(TRIM(Raw_Data!D62))="New Delhi",PROPER(TRIM(Raw_Data!D62))="Delhi"),"Delhi",PROPER(TRIM(Raw_Data!D62)))))</f>
        <v/>
      </c>
      <c r="C396">
        <f>IF(TRIM(Raw_Data!F62&amp;"")="","Not Specified",Raw_Data!F62)</f>
        <v/>
      </c>
      <c r="D396">
        <f>Raw_Data!H62</f>
        <v/>
      </c>
      <c r="E396">
        <f>Raw_Data!E62</f>
        <v/>
      </c>
    </row>
    <row r="397">
      <c r="A397">
        <f>_xlfn.IFS(ISNUMBER(SEARCH("data analy",B60)),"Data Analyst",ISNUMBER(SEARCH("business analy",B60)),"Business Analyst",OR(ISNUMBER(SEARCH("developer",B60)),ISNUMBER(SEARCH("software engineer",B60)),ISNUMBER(SEARCH("programmer",B60))),"Software Developer",ISNUMBER(SEARCH("business development",B60)),"Business Development",ISNUMBER(SEARCH("sales",B60)),"Sales Executive",ISNUMBER(SEARCH("marketing",B60)),"Marketing Executive",OR(ISNUMBER(SEARCH("hr ",B60)),ISNUMBER(SEARCH("recruit",B60)),ISNUMBER(SEARCH("human resource",B60))),"HR / Recruiter",OR(ISNUMBER(SEARCH("account",B60)),ISNUMBER(SEARCH("finance",B60)),ISNUMBER(SEARCH("tax",B60)),ISNUMBER(SEARCH("audit",B60))),"Accountant / Finance",OR(ISNUMBER(SEARCH("customer service",B60)),ISNUMBER(SEARCH("customer support",B60)),ISNUMBER(SEARCH("customer care",B60)),ISNUMBER(SEARCH("voice process",B60)),ISNUMBER(SEARCH("bpo",B60))),"Customer Support",ISNUMBER(SEARCH("engineer",B60)),"Engineer (Technical)",ISNUMBER(SEARCH("manager",B60)),"Manager",OR(ISNUMBER(SEARCH("teacher",B60)),ISNUMBER(SEARCH("trainer",B60)),ISNUMBER(SEARCH("faculty",B60))),"Teacher / Trainer",OR(ISNUMBER(SEARCH("doctor",B60)),ISNUMBER(SEARCH("nurse",B60)),ISNUMBER(SEARCH("medical",B60)),ISNUMBER(SEARCH("pharma",B60)),ISNUMBER(SEARCH("clinical",B60))),"Healthcare",TRUE,"Other")</f>
        <v/>
      </c>
      <c r="B397">
        <f>IF(PROPER(TRIM(Raw_Data!D63))="Bangalore","Bengaluru",IF(PROPER(TRIM(Raw_Data!D63))="Gurgaon","Gurugram",IF(OR(PROPER(TRIM(Raw_Data!D63))="New Delhi",PROPER(TRIM(Raw_Data!D63))="Delhi"),"Delhi",PROPER(TRIM(Raw_Data!D63)))))</f>
        <v/>
      </c>
      <c r="C397">
        <f>IF(TRIM(Raw_Data!F63&amp;"")="","Not Specified",Raw_Data!F63)</f>
        <v/>
      </c>
      <c r="D397">
        <f>Raw_Data!H63</f>
        <v/>
      </c>
      <c r="E397">
        <f>Raw_Data!E63</f>
        <v/>
      </c>
    </row>
    <row r="398">
      <c r="A398">
        <f>_xlfn.IFS(ISNUMBER(SEARCH("data analy",B61)),"Data Analyst",ISNUMBER(SEARCH("business analy",B61)),"Business Analyst",OR(ISNUMBER(SEARCH("developer",B61)),ISNUMBER(SEARCH("software engineer",B61)),ISNUMBER(SEARCH("programmer",B61))),"Software Developer",ISNUMBER(SEARCH("business development",B61)),"Business Development",ISNUMBER(SEARCH("sales",B61)),"Sales Executive",ISNUMBER(SEARCH("marketing",B61)),"Marketing Executive",OR(ISNUMBER(SEARCH("hr ",B61)),ISNUMBER(SEARCH("recruit",B61)),ISNUMBER(SEARCH("human resource",B61))),"HR / Recruiter",OR(ISNUMBER(SEARCH("account",B61)),ISNUMBER(SEARCH("finance",B61)),ISNUMBER(SEARCH("tax",B61)),ISNUMBER(SEARCH("audit",B61))),"Accountant / Finance",OR(ISNUMBER(SEARCH("customer service",B61)),ISNUMBER(SEARCH("customer support",B61)),ISNUMBER(SEARCH("customer care",B61)),ISNUMBER(SEARCH("voice process",B61)),ISNUMBER(SEARCH("bpo",B61))),"Customer Support",ISNUMBER(SEARCH("engineer",B61)),"Engineer (Technical)",ISNUMBER(SEARCH("manager",B61)),"Manager",OR(ISNUMBER(SEARCH("teacher",B61)),ISNUMBER(SEARCH("trainer",B61)),ISNUMBER(SEARCH("faculty",B61))),"Teacher / Trainer",OR(ISNUMBER(SEARCH("doctor",B61)),ISNUMBER(SEARCH("nurse",B61)),ISNUMBER(SEARCH("medical",B61)),ISNUMBER(SEARCH("pharma",B61)),ISNUMBER(SEARCH("clinical",B61))),"Healthcare",TRUE,"Other")</f>
        <v/>
      </c>
      <c r="B398">
        <f>IF(PROPER(TRIM(Raw_Data!D64))="Bangalore","Bengaluru",IF(PROPER(TRIM(Raw_Data!D64))="Gurgaon","Gurugram",IF(OR(PROPER(TRIM(Raw_Data!D64))="New Delhi",PROPER(TRIM(Raw_Data!D64))="Delhi"),"Delhi",PROPER(TRIM(Raw_Data!D64)))))</f>
        <v/>
      </c>
      <c r="C398">
        <f>IF(TRIM(Raw_Data!F64&amp;"")="","Not Specified",Raw_Data!F64)</f>
        <v/>
      </c>
      <c r="D398">
        <f>Raw_Data!H64</f>
        <v/>
      </c>
      <c r="E398">
        <f>Raw_Data!E64</f>
        <v/>
      </c>
    </row>
    <row r="399">
      <c r="A399">
        <f>_xlfn.IFS(ISNUMBER(SEARCH("data analy",B62)),"Data Analyst",ISNUMBER(SEARCH("business analy",B62)),"Business Analyst",OR(ISNUMBER(SEARCH("developer",B62)),ISNUMBER(SEARCH("software engineer",B62)),ISNUMBER(SEARCH("programmer",B62))),"Software Developer",ISNUMBER(SEARCH("business development",B62)),"Business Development",ISNUMBER(SEARCH("sales",B62)),"Sales Executive",ISNUMBER(SEARCH("marketing",B62)),"Marketing Executive",OR(ISNUMBER(SEARCH("hr ",B62)),ISNUMBER(SEARCH("recruit",B62)),ISNUMBER(SEARCH("human resource",B62))),"HR / Recruiter",OR(ISNUMBER(SEARCH("account",B62)),ISNUMBER(SEARCH("finance",B62)),ISNUMBER(SEARCH("tax",B62)),ISNUMBER(SEARCH("audit",B62))),"Accountant / Finance",OR(ISNUMBER(SEARCH("customer service",B62)),ISNUMBER(SEARCH("customer support",B62)),ISNUMBER(SEARCH("customer care",B62)),ISNUMBER(SEARCH("voice process",B62)),ISNUMBER(SEARCH("bpo",B62))),"Customer Support",ISNUMBER(SEARCH("engineer",B62)),"Engineer (Technical)",ISNUMBER(SEARCH("manager",B62)),"Manager",OR(ISNUMBER(SEARCH("teacher",B62)),ISNUMBER(SEARCH("trainer",B62)),ISNUMBER(SEARCH("faculty",B62))),"Teacher / Trainer",OR(ISNUMBER(SEARCH("doctor",B62)),ISNUMBER(SEARCH("nurse",B62)),ISNUMBER(SEARCH("medical",B62)),ISNUMBER(SEARCH("pharma",B62)),ISNUMBER(SEARCH("clinical",B62))),"Healthcare",TRUE,"Other")</f>
        <v/>
      </c>
      <c r="B399">
        <f>IF(PROPER(TRIM(Raw_Data!D65))="Bangalore","Bengaluru",IF(PROPER(TRIM(Raw_Data!D65))="Gurgaon","Gurugram",IF(OR(PROPER(TRIM(Raw_Data!D65))="New Delhi",PROPER(TRIM(Raw_Data!D65))="Delhi"),"Delhi",PROPER(TRIM(Raw_Data!D65)))))</f>
        <v/>
      </c>
      <c r="C399">
        <f>IF(TRIM(Raw_Data!F65&amp;"")="","Not Specified",Raw_Data!F65)</f>
        <v/>
      </c>
      <c r="D399">
        <f>Raw_Data!H65</f>
        <v/>
      </c>
      <c r="E399">
        <f>Raw_Data!E65</f>
        <v/>
      </c>
    </row>
    <row r="400">
      <c r="A400">
        <f>_xlfn.IFS(ISNUMBER(SEARCH("data analy",B63)),"Data Analyst",ISNUMBER(SEARCH("business analy",B63)),"Business Analyst",OR(ISNUMBER(SEARCH("developer",B63)),ISNUMBER(SEARCH("software engineer",B63)),ISNUMBER(SEARCH("programmer",B63))),"Software Developer",ISNUMBER(SEARCH("business development",B63)),"Business Development",ISNUMBER(SEARCH("sales",B63)),"Sales Executive",ISNUMBER(SEARCH("marketing",B63)),"Marketing Executive",OR(ISNUMBER(SEARCH("hr ",B63)),ISNUMBER(SEARCH("recruit",B63)),ISNUMBER(SEARCH("human resource",B63))),"HR / Recruiter",OR(ISNUMBER(SEARCH("account",B63)),ISNUMBER(SEARCH("finance",B63)),ISNUMBER(SEARCH("tax",B63)),ISNUMBER(SEARCH("audit",B63))),"Accountant / Finance",OR(ISNUMBER(SEARCH("customer service",B63)),ISNUMBER(SEARCH("customer support",B63)),ISNUMBER(SEARCH("customer care",B63)),ISNUMBER(SEARCH("voice process",B63)),ISNUMBER(SEARCH("bpo",B63))),"Customer Support",ISNUMBER(SEARCH("engineer",B63)),"Engineer (Technical)",ISNUMBER(SEARCH("manager",B63)),"Manager",OR(ISNUMBER(SEARCH("teacher",B63)),ISNUMBER(SEARCH("trainer",B63)),ISNUMBER(SEARCH("faculty",B63))),"Teacher / Trainer",OR(ISNUMBER(SEARCH("doctor",B63)),ISNUMBER(SEARCH("nurse",B63)),ISNUMBER(SEARCH("medical",B63)),ISNUMBER(SEARCH("pharma",B63)),ISNUMBER(SEARCH("clinical",B63))),"Healthcare",TRUE,"Other")</f>
        <v/>
      </c>
      <c r="B400">
        <f>IF(PROPER(TRIM(Raw_Data!D66))="Bangalore","Bengaluru",IF(PROPER(TRIM(Raw_Data!D66))="Gurgaon","Gurugram",IF(OR(PROPER(TRIM(Raw_Data!D66))="New Delhi",PROPER(TRIM(Raw_Data!D66))="Delhi"),"Delhi",PROPER(TRIM(Raw_Data!D66)))))</f>
        <v/>
      </c>
      <c r="C400">
        <f>IF(TRIM(Raw_Data!F66&amp;"")="","Not Specified",Raw_Data!F66)</f>
        <v/>
      </c>
      <c r="D400">
        <f>Raw_Data!H66</f>
        <v/>
      </c>
      <c r="E400">
        <f>Raw_Data!E66</f>
        <v/>
      </c>
    </row>
    <row r="401">
      <c r="A401">
        <f>_xlfn.IFS(ISNUMBER(SEARCH("data analy",B64)),"Data Analyst",ISNUMBER(SEARCH("business analy",B64)),"Business Analyst",OR(ISNUMBER(SEARCH("developer",B64)),ISNUMBER(SEARCH("software engineer",B64)),ISNUMBER(SEARCH("programmer",B64))),"Software Developer",ISNUMBER(SEARCH("business development",B64)),"Business Development",ISNUMBER(SEARCH("sales",B64)),"Sales Executive",ISNUMBER(SEARCH("marketing",B64)),"Marketing Executive",OR(ISNUMBER(SEARCH("hr ",B64)),ISNUMBER(SEARCH("recruit",B64)),ISNUMBER(SEARCH("human resource",B64))),"HR / Recruiter",OR(ISNUMBER(SEARCH("account",B64)),ISNUMBER(SEARCH("finance",B64)),ISNUMBER(SEARCH("tax",B64)),ISNUMBER(SEARCH("audit",B64))),"Accountant / Finance",OR(ISNUMBER(SEARCH("customer service",B64)),ISNUMBER(SEARCH("customer support",B64)),ISNUMBER(SEARCH("customer care",B64)),ISNUMBER(SEARCH("voice process",B64)),ISNUMBER(SEARCH("bpo",B64))),"Customer Support",ISNUMBER(SEARCH("engineer",B64)),"Engineer (Technical)",ISNUMBER(SEARCH("manager",B64)),"Manager",OR(ISNUMBER(SEARCH("teacher",B64)),ISNUMBER(SEARCH("trainer",B64)),ISNUMBER(SEARCH("faculty",B64))),"Teacher / Trainer",OR(ISNUMBER(SEARCH("doctor",B64)),ISNUMBER(SEARCH("nurse",B64)),ISNUMBER(SEARCH("medical",B64)),ISNUMBER(SEARCH("pharma",B64)),ISNUMBER(SEARCH("clinical",B64))),"Healthcare",TRUE,"Other")</f>
        <v/>
      </c>
      <c r="B401">
        <f>IF(PROPER(TRIM(Raw_Data!D67))="Bangalore","Bengaluru",IF(PROPER(TRIM(Raw_Data!D67))="Gurgaon","Gurugram",IF(OR(PROPER(TRIM(Raw_Data!D67))="New Delhi",PROPER(TRIM(Raw_Data!D67))="Delhi"),"Delhi",PROPER(TRIM(Raw_Data!D67)))))</f>
        <v/>
      </c>
      <c r="C401">
        <f>IF(TRIM(Raw_Data!F67&amp;"")="","Not Specified",Raw_Data!F67)</f>
        <v/>
      </c>
      <c r="D401">
        <f>Raw_Data!H67</f>
        <v/>
      </c>
      <c r="E401">
        <f>Raw_Data!E67</f>
        <v/>
      </c>
    </row>
    <row r="402">
      <c r="A402">
        <f>_xlfn.IFS(ISNUMBER(SEARCH("data analy",B65)),"Data Analyst",ISNUMBER(SEARCH("business analy",B65)),"Business Analyst",OR(ISNUMBER(SEARCH("developer",B65)),ISNUMBER(SEARCH("software engineer",B65)),ISNUMBER(SEARCH("programmer",B65))),"Software Developer",ISNUMBER(SEARCH("business development",B65)),"Business Development",ISNUMBER(SEARCH("sales",B65)),"Sales Executive",ISNUMBER(SEARCH("marketing",B65)),"Marketing Executive",OR(ISNUMBER(SEARCH("hr ",B65)),ISNUMBER(SEARCH("recruit",B65)),ISNUMBER(SEARCH("human resource",B65))),"HR / Recruiter",OR(ISNUMBER(SEARCH("account",B65)),ISNUMBER(SEARCH("finance",B65)),ISNUMBER(SEARCH("tax",B65)),ISNUMBER(SEARCH("audit",B65))),"Accountant / Finance",OR(ISNUMBER(SEARCH("customer service",B65)),ISNUMBER(SEARCH("customer support",B65)),ISNUMBER(SEARCH("customer care",B65)),ISNUMBER(SEARCH("voice process",B65)),ISNUMBER(SEARCH("bpo",B65))),"Customer Support",ISNUMBER(SEARCH("engineer",B65)),"Engineer (Technical)",ISNUMBER(SEARCH("manager",B65)),"Manager",OR(ISNUMBER(SEARCH("teacher",B65)),ISNUMBER(SEARCH("trainer",B65)),ISNUMBER(SEARCH("faculty",B65))),"Teacher / Trainer",OR(ISNUMBER(SEARCH("doctor",B65)),ISNUMBER(SEARCH("nurse",B65)),ISNUMBER(SEARCH("medical",B65)),ISNUMBER(SEARCH("pharma",B65)),ISNUMBER(SEARCH("clinical",B65))),"Healthcare",TRUE,"Other")</f>
        <v/>
      </c>
      <c r="B402">
        <f>IF(PROPER(TRIM(Raw_Data!D68))="Bangalore","Bengaluru",IF(PROPER(TRIM(Raw_Data!D68))="Gurgaon","Gurugram",IF(OR(PROPER(TRIM(Raw_Data!D68))="New Delhi",PROPER(TRIM(Raw_Data!D68))="Delhi"),"Delhi",PROPER(TRIM(Raw_Data!D68)))))</f>
        <v/>
      </c>
      <c r="C402">
        <f>IF(TRIM(Raw_Data!F68&amp;"")="","Not Specified",Raw_Data!F68)</f>
        <v/>
      </c>
      <c r="D402">
        <f>Raw_Data!H68</f>
        <v/>
      </c>
      <c r="E402">
        <f>Raw_Data!E68</f>
        <v/>
      </c>
    </row>
    <row r="403">
      <c r="A403">
        <f>_xlfn.IFS(ISNUMBER(SEARCH("data analy",B66)),"Data Analyst",ISNUMBER(SEARCH("business analy",B66)),"Business Analyst",OR(ISNUMBER(SEARCH("developer",B66)),ISNUMBER(SEARCH("software engineer",B66)),ISNUMBER(SEARCH("programmer",B66))),"Software Developer",ISNUMBER(SEARCH("business development",B66)),"Business Development",ISNUMBER(SEARCH("sales",B66)),"Sales Executive",ISNUMBER(SEARCH("marketing",B66)),"Marketing Executive",OR(ISNUMBER(SEARCH("hr ",B66)),ISNUMBER(SEARCH("recruit",B66)),ISNUMBER(SEARCH("human resource",B66))),"HR / Recruiter",OR(ISNUMBER(SEARCH("account",B66)),ISNUMBER(SEARCH("finance",B66)),ISNUMBER(SEARCH("tax",B66)),ISNUMBER(SEARCH("audit",B66))),"Accountant / Finance",OR(ISNUMBER(SEARCH("customer service",B66)),ISNUMBER(SEARCH("customer support",B66)),ISNUMBER(SEARCH("customer care",B66)),ISNUMBER(SEARCH("voice process",B66)),ISNUMBER(SEARCH("bpo",B66))),"Customer Support",ISNUMBER(SEARCH("engineer",B66)),"Engineer (Technical)",ISNUMBER(SEARCH("manager",B66)),"Manager",OR(ISNUMBER(SEARCH("teacher",B66)),ISNUMBER(SEARCH("trainer",B66)),ISNUMBER(SEARCH("faculty",B66))),"Teacher / Trainer",OR(ISNUMBER(SEARCH("doctor",B66)),ISNUMBER(SEARCH("nurse",B66)),ISNUMBER(SEARCH("medical",B66)),ISNUMBER(SEARCH("pharma",B66)),ISNUMBER(SEARCH("clinical",B66))),"Healthcare",TRUE,"Other")</f>
        <v/>
      </c>
      <c r="B403">
        <f>IF(PROPER(TRIM(Raw_Data!D69))="Bangalore","Bengaluru",IF(PROPER(TRIM(Raw_Data!D69))="Gurgaon","Gurugram",IF(OR(PROPER(TRIM(Raw_Data!D69))="New Delhi",PROPER(TRIM(Raw_Data!D69))="Delhi"),"Delhi",PROPER(TRIM(Raw_Data!D69)))))</f>
        <v/>
      </c>
      <c r="C403">
        <f>IF(TRIM(Raw_Data!F69&amp;"")="","Not Specified",Raw_Data!F69)</f>
        <v/>
      </c>
      <c r="D403">
        <f>Raw_Data!H69</f>
        <v/>
      </c>
      <c r="E403">
        <f>Raw_Data!E69</f>
        <v/>
      </c>
    </row>
    <row r="404">
      <c r="A404">
        <f>_xlfn.IFS(ISNUMBER(SEARCH("data analy",B67)),"Data Analyst",ISNUMBER(SEARCH("business analy",B67)),"Business Analyst",OR(ISNUMBER(SEARCH("developer",B67)),ISNUMBER(SEARCH("software engineer",B67)),ISNUMBER(SEARCH("programmer",B67))),"Software Developer",ISNUMBER(SEARCH("business development",B67)),"Business Development",ISNUMBER(SEARCH("sales",B67)),"Sales Executive",ISNUMBER(SEARCH("marketing",B67)),"Marketing Executive",OR(ISNUMBER(SEARCH("hr ",B67)),ISNUMBER(SEARCH("recruit",B67)),ISNUMBER(SEARCH("human resource",B67))),"HR / Recruiter",OR(ISNUMBER(SEARCH("account",B67)),ISNUMBER(SEARCH("finance",B67)),ISNUMBER(SEARCH("tax",B67)),ISNUMBER(SEARCH("audit",B67))),"Accountant / Finance",OR(ISNUMBER(SEARCH("customer service",B67)),ISNUMBER(SEARCH("customer support",B67)),ISNUMBER(SEARCH("customer care",B67)),ISNUMBER(SEARCH("voice process",B67)),ISNUMBER(SEARCH("bpo",B67))),"Customer Support",ISNUMBER(SEARCH("engineer",B67)),"Engineer (Technical)",ISNUMBER(SEARCH("manager",B67)),"Manager",OR(ISNUMBER(SEARCH("teacher",B67)),ISNUMBER(SEARCH("trainer",B67)),ISNUMBER(SEARCH("faculty",B67))),"Teacher / Trainer",OR(ISNUMBER(SEARCH("doctor",B67)),ISNUMBER(SEARCH("nurse",B67)),ISNUMBER(SEARCH("medical",B67)),ISNUMBER(SEARCH("pharma",B67)),ISNUMBER(SEARCH("clinical",B67))),"Healthcare",TRUE,"Other")</f>
        <v/>
      </c>
      <c r="B404">
        <f>IF(PROPER(TRIM(Raw_Data!D7))="Bangalore","Bengaluru",IF(PROPER(TRIM(Raw_Data!D7))="Gurgaon","Gurugram",IF(OR(PROPER(TRIM(Raw_Data!D7))="New Delhi",PROPER(TRIM(Raw_Data!D7))="Delhi"),"Delhi",PROPER(TRIM(Raw_Data!D7)))))</f>
        <v/>
      </c>
      <c r="C404">
        <f>IF(TRIM(Raw_Data!F7&amp;"")="","Not Specified",Raw_Data!F7)</f>
        <v/>
      </c>
      <c r="D404">
        <f>Raw_Data!H7</f>
        <v/>
      </c>
      <c r="E404">
        <f>Raw_Data!E7</f>
        <v/>
      </c>
    </row>
    <row r="405">
      <c r="A405">
        <f>_xlfn.IFS(ISNUMBER(SEARCH("data analy",B68)),"Data Analyst",ISNUMBER(SEARCH("business analy",B68)),"Business Analyst",OR(ISNUMBER(SEARCH("developer",B68)),ISNUMBER(SEARCH("software engineer",B68)),ISNUMBER(SEARCH("programmer",B68))),"Software Developer",ISNUMBER(SEARCH("business development",B68)),"Business Development",ISNUMBER(SEARCH("sales",B68)),"Sales Executive",ISNUMBER(SEARCH("marketing",B68)),"Marketing Executive",OR(ISNUMBER(SEARCH("hr ",B68)),ISNUMBER(SEARCH("recruit",B68)),ISNUMBER(SEARCH("human resource",B68))),"HR / Recruiter",OR(ISNUMBER(SEARCH("account",B68)),ISNUMBER(SEARCH("finance",B68)),ISNUMBER(SEARCH("tax",B68)),ISNUMBER(SEARCH("audit",B68))),"Accountant / Finance",OR(ISNUMBER(SEARCH("customer service",B68)),ISNUMBER(SEARCH("customer support",B68)),ISNUMBER(SEARCH("customer care",B68)),ISNUMBER(SEARCH("voice process",B68)),ISNUMBER(SEARCH("bpo",B68))),"Customer Support",ISNUMBER(SEARCH("engineer",B68)),"Engineer (Technical)",ISNUMBER(SEARCH("manager",B68)),"Manager",OR(ISNUMBER(SEARCH("teacher",B68)),ISNUMBER(SEARCH("trainer",B68)),ISNUMBER(SEARCH("faculty",B68))),"Teacher / Trainer",OR(ISNUMBER(SEARCH("doctor",B68)),ISNUMBER(SEARCH("nurse",B68)),ISNUMBER(SEARCH("medical",B68)),ISNUMBER(SEARCH("pharma",B68)),ISNUMBER(SEARCH("clinical",B68))),"Healthcare",TRUE,"Other")</f>
        <v/>
      </c>
      <c r="B405">
        <f>IF(PROPER(TRIM(Raw_Data!D70))="Bangalore","Bengaluru",IF(PROPER(TRIM(Raw_Data!D70))="Gurgaon","Gurugram",IF(OR(PROPER(TRIM(Raw_Data!D70))="New Delhi",PROPER(TRIM(Raw_Data!D70))="Delhi"),"Delhi",PROPER(TRIM(Raw_Data!D70)))))</f>
        <v/>
      </c>
      <c r="C405">
        <f>IF(TRIM(Raw_Data!F70&amp;"")="","Not Specified",Raw_Data!F70)</f>
        <v/>
      </c>
      <c r="D405">
        <f>Raw_Data!H70</f>
        <v/>
      </c>
      <c r="E405">
        <f>Raw_Data!E70</f>
        <v/>
      </c>
    </row>
    <row r="406">
      <c r="A406">
        <f>_xlfn.IFS(ISNUMBER(SEARCH("data analy",B69)),"Data Analyst",ISNUMBER(SEARCH("business analy",B69)),"Business Analyst",OR(ISNUMBER(SEARCH("developer",B69)),ISNUMBER(SEARCH("software engineer",B69)),ISNUMBER(SEARCH("programmer",B69))),"Software Developer",ISNUMBER(SEARCH("business development",B69)),"Business Development",ISNUMBER(SEARCH("sales",B69)),"Sales Executive",ISNUMBER(SEARCH("marketing",B69)),"Marketing Executive",OR(ISNUMBER(SEARCH("hr ",B69)),ISNUMBER(SEARCH("recruit",B69)),ISNUMBER(SEARCH("human resource",B69))),"HR / Recruiter",OR(ISNUMBER(SEARCH("account",B69)),ISNUMBER(SEARCH("finance",B69)),ISNUMBER(SEARCH("tax",B69)),ISNUMBER(SEARCH("audit",B69))),"Accountant / Finance",OR(ISNUMBER(SEARCH("customer service",B69)),ISNUMBER(SEARCH("customer support",B69)),ISNUMBER(SEARCH("customer care",B69)),ISNUMBER(SEARCH("voice process",B69)),ISNUMBER(SEARCH("bpo",B69))),"Customer Support",ISNUMBER(SEARCH("engineer",B69)),"Engineer (Technical)",ISNUMBER(SEARCH("manager",B69)),"Manager",OR(ISNUMBER(SEARCH("teacher",B69)),ISNUMBER(SEARCH("trainer",B69)),ISNUMBER(SEARCH("faculty",B69))),"Teacher / Trainer",OR(ISNUMBER(SEARCH("doctor",B69)),ISNUMBER(SEARCH("nurse",B69)),ISNUMBER(SEARCH("medical",B69)),ISNUMBER(SEARCH("pharma",B69)),ISNUMBER(SEARCH("clinical",B69))),"Healthcare",TRUE,"Other")</f>
        <v/>
      </c>
      <c r="B406">
        <f>IF(PROPER(TRIM(Raw_Data!D71))="Bangalore","Bengaluru",IF(PROPER(TRIM(Raw_Data!D71))="Gurgaon","Gurugram",IF(OR(PROPER(TRIM(Raw_Data!D71))="New Delhi",PROPER(TRIM(Raw_Data!D71))="Delhi"),"Delhi",PROPER(TRIM(Raw_Data!D71)))))</f>
        <v/>
      </c>
      <c r="C406">
        <f>IF(TRIM(Raw_Data!F71&amp;"")="","Not Specified",Raw_Data!F71)</f>
        <v/>
      </c>
      <c r="D406">
        <f>Raw_Data!H71</f>
        <v/>
      </c>
      <c r="E406">
        <f>Raw_Data!E71</f>
        <v/>
      </c>
    </row>
    <row r="407">
      <c r="A407">
        <f>_xlfn.IFS(ISNUMBER(SEARCH("data analy",B70)),"Data Analyst",ISNUMBER(SEARCH("business analy",B70)),"Business Analyst",OR(ISNUMBER(SEARCH("developer",B70)),ISNUMBER(SEARCH("software engineer",B70)),ISNUMBER(SEARCH("programmer",B70))),"Software Developer",ISNUMBER(SEARCH("business development",B70)),"Business Development",ISNUMBER(SEARCH("sales",B70)),"Sales Executive",ISNUMBER(SEARCH("marketing",B70)),"Marketing Executive",OR(ISNUMBER(SEARCH("hr ",B70)),ISNUMBER(SEARCH("recruit",B70)),ISNUMBER(SEARCH("human resource",B70))),"HR / Recruiter",OR(ISNUMBER(SEARCH("account",B70)),ISNUMBER(SEARCH("finance",B70)),ISNUMBER(SEARCH("tax",B70)),ISNUMBER(SEARCH("audit",B70))),"Accountant / Finance",OR(ISNUMBER(SEARCH("customer service",B70)),ISNUMBER(SEARCH("customer support",B70)),ISNUMBER(SEARCH("customer care",B70)),ISNUMBER(SEARCH("voice process",B70)),ISNUMBER(SEARCH("bpo",B70))),"Customer Support",ISNUMBER(SEARCH("engineer",B70)),"Engineer (Technical)",ISNUMBER(SEARCH("manager",B70)),"Manager",OR(ISNUMBER(SEARCH("teacher",B70)),ISNUMBER(SEARCH("trainer",B70)),ISNUMBER(SEARCH("faculty",B70))),"Teacher / Trainer",OR(ISNUMBER(SEARCH("doctor",B70)),ISNUMBER(SEARCH("nurse",B70)),ISNUMBER(SEARCH("medical",B70)),ISNUMBER(SEARCH("pharma",B70)),ISNUMBER(SEARCH("clinical",B70))),"Healthcare",TRUE,"Other")</f>
        <v/>
      </c>
      <c r="B407">
        <f>IF(PROPER(TRIM(Raw_Data!D72))="Bangalore","Bengaluru",IF(PROPER(TRIM(Raw_Data!D72))="Gurgaon","Gurugram",IF(OR(PROPER(TRIM(Raw_Data!D72))="New Delhi",PROPER(TRIM(Raw_Data!D72))="Delhi"),"Delhi",PROPER(TRIM(Raw_Data!D72)))))</f>
        <v/>
      </c>
      <c r="C407">
        <f>IF(TRIM(Raw_Data!F72&amp;"")="","Not Specified",Raw_Data!F72)</f>
        <v/>
      </c>
      <c r="D407">
        <f>Raw_Data!H72</f>
        <v/>
      </c>
      <c r="E407">
        <f>Raw_Data!E72</f>
        <v/>
      </c>
    </row>
    <row r="408">
      <c r="A408">
        <f>_xlfn.IFS(ISNUMBER(SEARCH("data analy",B71)),"Data Analyst",ISNUMBER(SEARCH("business analy",B71)),"Business Analyst",OR(ISNUMBER(SEARCH("developer",B71)),ISNUMBER(SEARCH("software engineer",B71)),ISNUMBER(SEARCH("programmer",B71))),"Software Developer",ISNUMBER(SEARCH("business development",B71)),"Business Development",ISNUMBER(SEARCH("sales",B71)),"Sales Executive",ISNUMBER(SEARCH("marketing",B71)),"Marketing Executive",OR(ISNUMBER(SEARCH("hr ",B71)),ISNUMBER(SEARCH("recruit",B71)),ISNUMBER(SEARCH("human resource",B71))),"HR / Recruiter",OR(ISNUMBER(SEARCH("account",B71)),ISNUMBER(SEARCH("finance",B71)),ISNUMBER(SEARCH("tax",B71)),ISNUMBER(SEARCH("audit",B71))),"Accountant / Finance",OR(ISNUMBER(SEARCH("customer service",B71)),ISNUMBER(SEARCH("customer support",B71)),ISNUMBER(SEARCH("customer care",B71)),ISNUMBER(SEARCH("voice process",B71)),ISNUMBER(SEARCH("bpo",B71))),"Customer Support",ISNUMBER(SEARCH("engineer",B71)),"Engineer (Technical)",ISNUMBER(SEARCH("manager",B71)),"Manager",OR(ISNUMBER(SEARCH("teacher",B71)),ISNUMBER(SEARCH("trainer",B71)),ISNUMBER(SEARCH("faculty",B71))),"Teacher / Trainer",OR(ISNUMBER(SEARCH("doctor",B71)),ISNUMBER(SEARCH("nurse",B71)),ISNUMBER(SEARCH("medical",B71)),ISNUMBER(SEARCH("pharma",B71)),ISNUMBER(SEARCH("clinical",B71))),"Healthcare",TRUE,"Other")</f>
        <v/>
      </c>
      <c r="B408">
        <f>IF(PROPER(TRIM(Raw_Data!D73))="Bangalore","Bengaluru",IF(PROPER(TRIM(Raw_Data!D73))="Gurgaon","Gurugram",IF(OR(PROPER(TRIM(Raw_Data!D73))="New Delhi",PROPER(TRIM(Raw_Data!D73))="Delhi"),"Delhi",PROPER(TRIM(Raw_Data!D73)))))</f>
        <v/>
      </c>
      <c r="C408">
        <f>IF(TRIM(Raw_Data!F73&amp;"")="","Not Specified",Raw_Data!F73)</f>
        <v/>
      </c>
      <c r="D408">
        <f>Raw_Data!H73</f>
        <v/>
      </c>
      <c r="E408">
        <f>Raw_Data!E73</f>
        <v/>
      </c>
    </row>
    <row r="409">
      <c r="A409">
        <f>_xlfn.IFS(ISNUMBER(SEARCH("data analy",B72)),"Data Analyst",ISNUMBER(SEARCH("business analy",B72)),"Business Analyst",OR(ISNUMBER(SEARCH("developer",B72)),ISNUMBER(SEARCH("software engineer",B72)),ISNUMBER(SEARCH("programmer",B72))),"Software Developer",ISNUMBER(SEARCH("business development",B72)),"Business Development",ISNUMBER(SEARCH("sales",B72)),"Sales Executive",ISNUMBER(SEARCH("marketing",B72)),"Marketing Executive",OR(ISNUMBER(SEARCH("hr ",B72)),ISNUMBER(SEARCH("recruit",B72)),ISNUMBER(SEARCH("human resource",B72))),"HR / Recruiter",OR(ISNUMBER(SEARCH("account",B72)),ISNUMBER(SEARCH("finance",B72)),ISNUMBER(SEARCH("tax",B72)),ISNUMBER(SEARCH("audit",B72))),"Accountant / Finance",OR(ISNUMBER(SEARCH("customer service",B72)),ISNUMBER(SEARCH("customer support",B72)),ISNUMBER(SEARCH("customer care",B72)),ISNUMBER(SEARCH("voice process",B72)),ISNUMBER(SEARCH("bpo",B72))),"Customer Support",ISNUMBER(SEARCH("engineer",B72)),"Engineer (Technical)",ISNUMBER(SEARCH("manager",B72)),"Manager",OR(ISNUMBER(SEARCH("teacher",B72)),ISNUMBER(SEARCH("trainer",B72)),ISNUMBER(SEARCH("faculty",B72))),"Teacher / Trainer",OR(ISNUMBER(SEARCH("doctor",B72)),ISNUMBER(SEARCH("nurse",B72)),ISNUMBER(SEARCH("medical",B72)),ISNUMBER(SEARCH("pharma",B72)),ISNUMBER(SEARCH("clinical",B72))),"Healthcare",TRUE,"Other")</f>
        <v/>
      </c>
      <c r="B409">
        <f>IF(PROPER(TRIM(Raw_Data!D74))="Bangalore","Bengaluru",IF(PROPER(TRIM(Raw_Data!D74))="Gurgaon","Gurugram",IF(OR(PROPER(TRIM(Raw_Data!D74))="New Delhi",PROPER(TRIM(Raw_Data!D74))="Delhi"),"Delhi",PROPER(TRIM(Raw_Data!D74)))))</f>
        <v/>
      </c>
      <c r="C409">
        <f>IF(TRIM(Raw_Data!F74&amp;"")="","Not Specified",Raw_Data!F74)</f>
        <v/>
      </c>
      <c r="D409">
        <f>Raw_Data!H74</f>
        <v/>
      </c>
      <c r="E409">
        <f>Raw_Data!E74</f>
        <v/>
      </c>
    </row>
    <row r="410">
      <c r="A410">
        <f>_xlfn.IFS(ISNUMBER(SEARCH("data analy",B73)),"Data Analyst",ISNUMBER(SEARCH("business analy",B73)),"Business Analyst",OR(ISNUMBER(SEARCH("developer",B73)),ISNUMBER(SEARCH("software engineer",B73)),ISNUMBER(SEARCH("programmer",B73))),"Software Developer",ISNUMBER(SEARCH("business development",B73)),"Business Development",ISNUMBER(SEARCH("sales",B73)),"Sales Executive",ISNUMBER(SEARCH("marketing",B73)),"Marketing Executive",OR(ISNUMBER(SEARCH("hr ",B73)),ISNUMBER(SEARCH("recruit",B73)),ISNUMBER(SEARCH("human resource",B73))),"HR / Recruiter",OR(ISNUMBER(SEARCH("account",B73)),ISNUMBER(SEARCH("finance",B73)),ISNUMBER(SEARCH("tax",B73)),ISNUMBER(SEARCH("audit",B73))),"Accountant / Finance",OR(ISNUMBER(SEARCH("customer service",B73)),ISNUMBER(SEARCH("customer support",B73)),ISNUMBER(SEARCH("customer care",B73)),ISNUMBER(SEARCH("voice process",B73)),ISNUMBER(SEARCH("bpo",B73))),"Customer Support",ISNUMBER(SEARCH("engineer",B73)),"Engineer (Technical)",ISNUMBER(SEARCH("manager",B73)),"Manager",OR(ISNUMBER(SEARCH("teacher",B73)),ISNUMBER(SEARCH("trainer",B73)),ISNUMBER(SEARCH("faculty",B73))),"Teacher / Trainer",OR(ISNUMBER(SEARCH("doctor",B73)),ISNUMBER(SEARCH("nurse",B73)),ISNUMBER(SEARCH("medical",B73)),ISNUMBER(SEARCH("pharma",B73)),ISNUMBER(SEARCH("clinical",B73))),"Healthcare",TRUE,"Other")</f>
        <v/>
      </c>
      <c r="B410">
        <f>IF(PROPER(TRIM(Raw_Data!D75))="Bangalore","Bengaluru",IF(PROPER(TRIM(Raw_Data!D75))="Gurgaon","Gurugram",IF(OR(PROPER(TRIM(Raw_Data!D75))="New Delhi",PROPER(TRIM(Raw_Data!D75))="Delhi"),"Delhi",PROPER(TRIM(Raw_Data!D75)))))</f>
        <v/>
      </c>
      <c r="C410">
        <f>IF(TRIM(Raw_Data!F75&amp;"")="","Not Specified",Raw_Data!F75)</f>
        <v/>
      </c>
      <c r="D410">
        <f>Raw_Data!H75</f>
        <v/>
      </c>
      <c r="E410">
        <f>Raw_Data!E75</f>
        <v/>
      </c>
    </row>
    <row r="411">
      <c r="A411">
        <f>_xlfn.IFS(ISNUMBER(SEARCH("data analy",B74)),"Data Analyst",ISNUMBER(SEARCH("business analy",B74)),"Business Analyst",OR(ISNUMBER(SEARCH("developer",B74)),ISNUMBER(SEARCH("software engineer",B74)),ISNUMBER(SEARCH("programmer",B74))),"Software Developer",ISNUMBER(SEARCH("business development",B74)),"Business Development",ISNUMBER(SEARCH("sales",B74)),"Sales Executive",ISNUMBER(SEARCH("marketing",B74)),"Marketing Executive",OR(ISNUMBER(SEARCH("hr ",B74)),ISNUMBER(SEARCH("recruit",B74)),ISNUMBER(SEARCH("human resource",B74))),"HR / Recruiter",OR(ISNUMBER(SEARCH("account",B74)),ISNUMBER(SEARCH("finance",B74)),ISNUMBER(SEARCH("tax",B74)),ISNUMBER(SEARCH("audit",B74))),"Accountant / Finance",OR(ISNUMBER(SEARCH("customer service",B74)),ISNUMBER(SEARCH("customer support",B74)),ISNUMBER(SEARCH("customer care",B74)),ISNUMBER(SEARCH("voice process",B74)),ISNUMBER(SEARCH("bpo",B74))),"Customer Support",ISNUMBER(SEARCH("engineer",B74)),"Engineer (Technical)",ISNUMBER(SEARCH("manager",B74)),"Manager",OR(ISNUMBER(SEARCH("teacher",B74)),ISNUMBER(SEARCH("trainer",B74)),ISNUMBER(SEARCH("faculty",B74))),"Teacher / Trainer",OR(ISNUMBER(SEARCH("doctor",B74)),ISNUMBER(SEARCH("nurse",B74)),ISNUMBER(SEARCH("medical",B74)),ISNUMBER(SEARCH("pharma",B74)),ISNUMBER(SEARCH("clinical",B74))),"Healthcare",TRUE,"Other")</f>
        <v/>
      </c>
      <c r="B411">
        <f>IF(PROPER(TRIM(Raw_Data!D76))="Bangalore","Bengaluru",IF(PROPER(TRIM(Raw_Data!D76))="Gurgaon","Gurugram",IF(OR(PROPER(TRIM(Raw_Data!D76))="New Delhi",PROPER(TRIM(Raw_Data!D76))="Delhi"),"Delhi",PROPER(TRIM(Raw_Data!D76)))))</f>
        <v/>
      </c>
      <c r="C411">
        <f>IF(TRIM(Raw_Data!F76&amp;"")="","Not Specified",Raw_Data!F76)</f>
        <v/>
      </c>
      <c r="D411">
        <f>Raw_Data!H76</f>
        <v/>
      </c>
      <c r="E411">
        <f>Raw_Data!E76</f>
        <v/>
      </c>
    </row>
    <row r="412">
      <c r="A412">
        <f>_xlfn.IFS(ISNUMBER(SEARCH("data analy",B75)),"Data Analyst",ISNUMBER(SEARCH("business analy",B75)),"Business Analyst",OR(ISNUMBER(SEARCH("developer",B75)),ISNUMBER(SEARCH("software engineer",B75)),ISNUMBER(SEARCH("programmer",B75))),"Software Developer",ISNUMBER(SEARCH("business development",B75)),"Business Development",ISNUMBER(SEARCH("sales",B75)),"Sales Executive",ISNUMBER(SEARCH("marketing",B75)),"Marketing Executive",OR(ISNUMBER(SEARCH("hr ",B75)),ISNUMBER(SEARCH("recruit",B75)),ISNUMBER(SEARCH("human resource",B75))),"HR / Recruiter",OR(ISNUMBER(SEARCH("account",B75)),ISNUMBER(SEARCH("finance",B75)),ISNUMBER(SEARCH("tax",B75)),ISNUMBER(SEARCH("audit",B75))),"Accountant / Finance",OR(ISNUMBER(SEARCH("customer service",B75)),ISNUMBER(SEARCH("customer support",B75)),ISNUMBER(SEARCH("customer care",B75)),ISNUMBER(SEARCH("voice process",B75)),ISNUMBER(SEARCH("bpo",B75))),"Customer Support",ISNUMBER(SEARCH("engineer",B75)),"Engineer (Technical)",ISNUMBER(SEARCH("manager",B75)),"Manager",OR(ISNUMBER(SEARCH("teacher",B75)),ISNUMBER(SEARCH("trainer",B75)),ISNUMBER(SEARCH("faculty",B75))),"Teacher / Trainer",OR(ISNUMBER(SEARCH("doctor",B75)),ISNUMBER(SEARCH("nurse",B75)),ISNUMBER(SEARCH("medical",B75)),ISNUMBER(SEARCH("pharma",B75)),ISNUMBER(SEARCH("clinical",B75))),"Healthcare",TRUE,"Other")</f>
        <v/>
      </c>
      <c r="B412">
        <f>IF(PROPER(TRIM(Raw_Data!D77))="Bangalore","Bengaluru",IF(PROPER(TRIM(Raw_Data!D77))="Gurgaon","Gurugram",IF(OR(PROPER(TRIM(Raw_Data!D77))="New Delhi",PROPER(TRIM(Raw_Data!D77))="Delhi"),"Delhi",PROPER(TRIM(Raw_Data!D77)))))</f>
        <v/>
      </c>
      <c r="C412">
        <f>IF(TRIM(Raw_Data!F77&amp;"")="","Not Specified",Raw_Data!F77)</f>
        <v/>
      </c>
      <c r="D412">
        <f>Raw_Data!H77</f>
        <v/>
      </c>
      <c r="E412">
        <f>Raw_Data!E77</f>
        <v/>
      </c>
    </row>
    <row r="413">
      <c r="A413">
        <f>_xlfn.IFS(ISNUMBER(SEARCH("data analy",B76)),"Data Analyst",ISNUMBER(SEARCH("business analy",B76)),"Business Analyst",OR(ISNUMBER(SEARCH("developer",B76)),ISNUMBER(SEARCH("software engineer",B76)),ISNUMBER(SEARCH("programmer",B76))),"Software Developer",ISNUMBER(SEARCH("business development",B76)),"Business Development",ISNUMBER(SEARCH("sales",B76)),"Sales Executive",ISNUMBER(SEARCH("marketing",B76)),"Marketing Executive",OR(ISNUMBER(SEARCH("hr ",B76)),ISNUMBER(SEARCH("recruit",B76)),ISNUMBER(SEARCH("human resource",B76))),"HR / Recruiter",OR(ISNUMBER(SEARCH("account",B76)),ISNUMBER(SEARCH("finance",B76)),ISNUMBER(SEARCH("tax",B76)),ISNUMBER(SEARCH("audit",B76))),"Accountant / Finance",OR(ISNUMBER(SEARCH("customer service",B76)),ISNUMBER(SEARCH("customer support",B76)),ISNUMBER(SEARCH("customer care",B76)),ISNUMBER(SEARCH("voice process",B76)),ISNUMBER(SEARCH("bpo",B76))),"Customer Support",ISNUMBER(SEARCH("engineer",B76)),"Engineer (Technical)",ISNUMBER(SEARCH("manager",B76)),"Manager",OR(ISNUMBER(SEARCH("teacher",B76)),ISNUMBER(SEARCH("trainer",B76)),ISNUMBER(SEARCH("faculty",B76))),"Teacher / Trainer",OR(ISNUMBER(SEARCH("doctor",B76)),ISNUMBER(SEARCH("nurse",B76)),ISNUMBER(SEARCH("medical",B76)),ISNUMBER(SEARCH("pharma",B76)),ISNUMBER(SEARCH("clinical",B76))),"Healthcare",TRUE,"Other")</f>
        <v/>
      </c>
      <c r="B413">
        <f>IF(PROPER(TRIM(Raw_Data!D78))="Bangalore","Bengaluru",IF(PROPER(TRIM(Raw_Data!D78))="Gurgaon","Gurugram",IF(OR(PROPER(TRIM(Raw_Data!D78))="New Delhi",PROPER(TRIM(Raw_Data!D78))="Delhi"),"Delhi",PROPER(TRIM(Raw_Data!D78)))))</f>
        <v/>
      </c>
      <c r="C413">
        <f>IF(TRIM(Raw_Data!F78&amp;"")="","Not Specified",Raw_Data!F78)</f>
        <v/>
      </c>
      <c r="D413">
        <f>Raw_Data!H78</f>
        <v/>
      </c>
      <c r="E413">
        <f>Raw_Data!E78</f>
        <v/>
      </c>
    </row>
    <row r="414">
      <c r="A414">
        <f>_xlfn.IFS(ISNUMBER(SEARCH("data analy",B77)),"Data Analyst",ISNUMBER(SEARCH("business analy",B77)),"Business Analyst",OR(ISNUMBER(SEARCH("developer",B77)),ISNUMBER(SEARCH("software engineer",B77)),ISNUMBER(SEARCH("programmer",B77))),"Software Developer",ISNUMBER(SEARCH("business development",B77)),"Business Development",ISNUMBER(SEARCH("sales",B77)),"Sales Executive",ISNUMBER(SEARCH("marketing",B77)),"Marketing Executive",OR(ISNUMBER(SEARCH("hr ",B77)),ISNUMBER(SEARCH("recruit",B77)),ISNUMBER(SEARCH("human resource",B77))),"HR / Recruiter",OR(ISNUMBER(SEARCH("account",B77)),ISNUMBER(SEARCH("finance",B77)),ISNUMBER(SEARCH("tax",B77)),ISNUMBER(SEARCH("audit",B77))),"Accountant / Finance",OR(ISNUMBER(SEARCH("customer service",B77)),ISNUMBER(SEARCH("customer support",B77)),ISNUMBER(SEARCH("customer care",B77)),ISNUMBER(SEARCH("voice process",B77)),ISNUMBER(SEARCH("bpo",B77))),"Customer Support",ISNUMBER(SEARCH("engineer",B77)),"Engineer (Technical)",ISNUMBER(SEARCH("manager",B77)),"Manager",OR(ISNUMBER(SEARCH("teacher",B77)),ISNUMBER(SEARCH("trainer",B77)),ISNUMBER(SEARCH("faculty",B77))),"Teacher / Trainer",OR(ISNUMBER(SEARCH("doctor",B77)),ISNUMBER(SEARCH("nurse",B77)),ISNUMBER(SEARCH("medical",B77)),ISNUMBER(SEARCH("pharma",B77)),ISNUMBER(SEARCH("clinical",B77))),"Healthcare",TRUE,"Other")</f>
        <v/>
      </c>
      <c r="B414">
        <f>IF(PROPER(TRIM(Raw_Data!D79))="Bangalore","Bengaluru",IF(PROPER(TRIM(Raw_Data!D79))="Gurgaon","Gurugram",IF(OR(PROPER(TRIM(Raw_Data!D79))="New Delhi",PROPER(TRIM(Raw_Data!D79))="Delhi"),"Delhi",PROPER(TRIM(Raw_Data!D79)))))</f>
        <v/>
      </c>
      <c r="C414">
        <f>IF(TRIM(Raw_Data!F79&amp;"")="","Not Specified",Raw_Data!F79)</f>
        <v/>
      </c>
      <c r="D414">
        <f>Raw_Data!H79</f>
        <v/>
      </c>
      <c r="E414">
        <f>Raw_Data!E79</f>
        <v/>
      </c>
    </row>
    <row r="415">
      <c r="A415">
        <f>_xlfn.IFS(ISNUMBER(SEARCH("data analy",B78)),"Data Analyst",ISNUMBER(SEARCH("business analy",B78)),"Business Analyst",OR(ISNUMBER(SEARCH("developer",B78)),ISNUMBER(SEARCH("software engineer",B78)),ISNUMBER(SEARCH("programmer",B78))),"Software Developer",ISNUMBER(SEARCH("business development",B78)),"Business Development",ISNUMBER(SEARCH("sales",B78)),"Sales Executive",ISNUMBER(SEARCH("marketing",B78)),"Marketing Executive",OR(ISNUMBER(SEARCH("hr ",B78)),ISNUMBER(SEARCH("recruit",B78)),ISNUMBER(SEARCH("human resource",B78))),"HR / Recruiter",OR(ISNUMBER(SEARCH("account",B78)),ISNUMBER(SEARCH("finance",B78)),ISNUMBER(SEARCH("tax",B78)),ISNUMBER(SEARCH("audit",B78))),"Accountant / Finance",OR(ISNUMBER(SEARCH("customer service",B78)),ISNUMBER(SEARCH("customer support",B78)),ISNUMBER(SEARCH("customer care",B78)),ISNUMBER(SEARCH("voice process",B78)),ISNUMBER(SEARCH("bpo",B78))),"Customer Support",ISNUMBER(SEARCH("engineer",B78)),"Engineer (Technical)",ISNUMBER(SEARCH("manager",B78)),"Manager",OR(ISNUMBER(SEARCH("teacher",B78)),ISNUMBER(SEARCH("trainer",B78)),ISNUMBER(SEARCH("faculty",B78))),"Teacher / Trainer",OR(ISNUMBER(SEARCH("doctor",B78)),ISNUMBER(SEARCH("nurse",B78)),ISNUMBER(SEARCH("medical",B78)),ISNUMBER(SEARCH("pharma",B78)),ISNUMBER(SEARCH("clinical",B78))),"Healthcare",TRUE,"Other")</f>
        <v/>
      </c>
      <c r="B415">
        <f>IF(PROPER(TRIM(Raw_Data!D8))="Bangalore","Bengaluru",IF(PROPER(TRIM(Raw_Data!D8))="Gurgaon","Gurugram",IF(OR(PROPER(TRIM(Raw_Data!D8))="New Delhi",PROPER(TRIM(Raw_Data!D8))="Delhi"),"Delhi",PROPER(TRIM(Raw_Data!D8)))))</f>
        <v/>
      </c>
      <c r="C415">
        <f>IF(TRIM(Raw_Data!F8&amp;"")="","Not Specified",Raw_Data!F8)</f>
        <v/>
      </c>
      <c r="D415">
        <f>Raw_Data!H8</f>
        <v/>
      </c>
      <c r="E415">
        <f>Raw_Data!E8</f>
        <v/>
      </c>
    </row>
    <row r="416">
      <c r="A416">
        <f>_xlfn.IFS(ISNUMBER(SEARCH("data analy",B79)),"Data Analyst",ISNUMBER(SEARCH("business analy",B79)),"Business Analyst",OR(ISNUMBER(SEARCH("developer",B79)),ISNUMBER(SEARCH("software engineer",B79)),ISNUMBER(SEARCH("programmer",B79))),"Software Developer",ISNUMBER(SEARCH("business development",B79)),"Business Development",ISNUMBER(SEARCH("sales",B79)),"Sales Executive",ISNUMBER(SEARCH("marketing",B79)),"Marketing Executive",OR(ISNUMBER(SEARCH("hr ",B79)),ISNUMBER(SEARCH("recruit",B79)),ISNUMBER(SEARCH("human resource",B79))),"HR / Recruiter",OR(ISNUMBER(SEARCH("account",B79)),ISNUMBER(SEARCH("finance",B79)),ISNUMBER(SEARCH("tax",B79)),ISNUMBER(SEARCH("audit",B79))),"Accountant / Finance",OR(ISNUMBER(SEARCH("customer service",B79)),ISNUMBER(SEARCH("customer support",B79)),ISNUMBER(SEARCH("customer care",B79)),ISNUMBER(SEARCH("voice process",B79)),ISNUMBER(SEARCH("bpo",B79))),"Customer Support",ISNUMBER(SEARCH("engineer",B79)),"Engineer (Technical)",ISNUMBER(SEARCH("manager",B79)),"Manager",OR(ISNUMBER(SEARCH("teacher",B79)),ISNUMBER(SEARCH("trainer",B79)),ISNUMBER(SEARCH("faculty",B79))),"Teacher / Trainer",OR(ISNUMBER(SEARCH("doctor",B79)),ISNUMBER(SEARCH("nurse",B79)),ISNUMBER(SEARCH("medical",B79)),ISNUMBER(SEARCH("pharma",B79)),ISNUMBER(SEARCH("clinical",B79))),"Healthcare",TRUE,"Other")</f>
        <v/>
      </c>
      <c r="B416">
        <f>IF(PROPER(TRIM(Raw_Data!D80))="Bangalore","Bengaluru",IF(PROPER(TRIM(Raw_Data!D80))="Gurgaon","Gurugram",IF(OR(PROPER(TRIM(Raw_Data!D80))="New Delhi",PROPER(TRIM(Raw_Data!D80))="Delhi"),"Delhi",PROPER(TRIM(Raw_Data!D80)))))</f>
        <v/>
      </c>
      <c r="C416">
        <f>IF(TRIM(Raw_Data!F80&amp;"")="","Not Specified",Raw_Data!F80)</f>
        <v/>
      </c>
      <c r="D416">
        <f>Raw_Data!H80</f>
        <v/>
      </c>
      <c r="E416">
        <f>Raw_Data!E80</f>
        <v/>
      </c>
    </row>
    <row r="417">
      <c r="A417">
        <f>_xlfn.IFS(ISNUMBER(SEARCH("data analy",B80)),"Data Analyst",ISNUMBER(SEARCH("business analy",B80)),"Business Analyst",OR(ISNUMBER(SEARCH("developer",B80)),ISNUMBER(SEARCH("software engineer",B80)),ISNUMBER(SEARCH("programmer",B80))),"Software Developer",ISNUMBER(SEARCH("business development",B80)),"Business Development",ISNUMBER(SEARCH("sales",B80)),"Sales Executive",ISNUMBER(SEARCH("marketing",B80)),"Marketing Executive",OR(ISNUMBER(SEARCH("hr ",B80)),ISNUMBER(SEARCH("recruit",B80)),ISNUMBER(SEARCH("human resource",B80))),"HR / Recruiter",OR(ISNUMBER(SEARCH("account",B80)),ISNUMBER(SEARCH("finance",B80)),ISNUMBER(SEARCH("tax",B80)),ISNUMBER(SEARCH("audit",B80))),"Accountant / Finance",OR(ISNUMBER(SEARCH("customer service",B80)),ISNUMBER(SEARCH("customer support",B80)),ISNUMBER(SEARCH("customer care",B80)),ISNUMBER(SEARCH("voice process",B80)),ISNUMBER(SEARCH("bpo",B80))),"Customer Support",ISNUMBER(SEARCH("engineer",B80)),"Engineer (Technical)",ISNUMBER(SEARCH("manager",B80)),"Manager",OR(ISNUMBER(SEARCH("teacher",B80)),ISNUMBER(SEARCH("trainer",B80)),ISNUMBER(SEARCH("faculty",B80))),"Teacher / Trainer",OR(ISNUMBER(SEARCH("doctor",B80)),ISNUMBER(SEARCH("nurse",B80)),ISNUMBER(SEARCH("medical",B80)),ISNUMBER(SEARCH("pharma",B80)),ISNUMBER(SEARCH("clinical",B80))),"Healthcare",TRUE,"Other")</f>
        <v/>
      </c>
      <c r="B417">
        <f>IF(PROPER(TRIM(Raw_Data!D81))="Bangalore","Bengaluru",IF(PROPER(TRIM(Raw_Data!D81))="Gurgaon","Gurugram",IF(OR(PROPER(TRIM(Raw_Data!D81))="New Delhi",PROPER(TRIM(Raw_Data!D81))="Delhi"),"Delhi",PROPER(TRIM(Raw_Data!D81)))))</f>
        <v/>
      </c>
      <c r="C417">
        <f>IF(TRIM(Raw_Data!F81&amp;"")="","Not Specified",Raw_Data!F81)</f>
        <v/>
      </c>
      <c r="D417">
        <f>Raw_Data!H81</f>
        <v/>
      </c>
      <c r="E417">
        <f>Raw_Data!E81</f>
        <v/>
      </c>
    </row>
    <row r="418">
      <c r="A418">
        <f>_xlfn.IFS(ISNUMBER(SEARCH("data analy",B81)),"Data Analyst",ISNUMBER(SEARCH("business analy",B81)),"Business Analyst",OR(ISNUMBER(SEARCH("developer",B81)),ISNUMBER(SEARCH("software engineer",B81)),ISNUMBER(SEARCH("programmer",B81))),"Software Developer",ISNUMBER(SEARCH("business development",B81)),"Business Development",ISNUMBER(SEARCH("sales",B81)),"Sales Executive",ISNUMBER(SEARCH("marketing",B81)),"Marketing Executive",OR(ISNUMBER(SEARCH("hr ",B81)),ISNUMBER(SEARCH("recruit",B81)),ISNUMBER(SEARCH("human resource",B81))),"HR / Recruiter",OR(ISNUMBER(SEARCH("account",B81)),ISNUMBER(SEARCH("finance",B81)),ISNUMBER(SEARCH("tax",B81)),ISNUMBER(SEARCH("audit",B81))),"Accountant / Finance",OR(ISNUMBER(SEARCH("customer service",B81)),ISNUMBER(SEARCH("customer support",B81)),ISNUMBER(SEARCH("customer care",B81)),ISNUMBER(SEARCH("voice process",B81)),ISNUMBER(SEARCH("bpo",B81))),"Customer Support",ISNUMBER(SEARCH("engineer",B81)),"Engineer (Technical)",ISNUMBER(SEARCH("manager",B81)),"Manager",OR(ISNUMBER(SEARCH("teacher",B81)),ISNUMBER(SEARCH("trainer",B81)),ISNUMBER(SEARCH("faculty",B81))),"Teacher / Trainer",OR(ISNUMBER(SEARCH("doctor",B81)),ISNUMBER(SEARCH("nurse",B81)),ISNUMBER(SEARCH("medical",B81)),ISNUMBER(SEARCH("pharma",B81)),ISNUMBER(SEARCH("clinical",B81))),"Healthcare",TRUE,"Other")</f>
        <v/>
      </c>
      <c r="B418">
        <f>IF(PROPER(TRIM(Raw_Data!D82))="Bangalore","Bengaluru",IF(PROPER(TRIM(Raw_Data!D82))="Gurgaon","Gurugram",IF(OR(PROPER(TRIM(Raw_Data!D82))="New Delhi",PROPER(TRIM(Raw_Data!D82))="Delhi"),"Delhi",PROPER(TRIM(Raw_Data!D82)))))</f>
        <v/>
      </c>
      <c r="C418">
        <f>IF(TRIM(Raw_Data!F82&amp;"")="","Not Specified",Raw_Data!F82)</f>
        <v/>
      </c>
      <c r="D418">
        <f>Raw_Data!H82</f>
        <v/>
      </c>
      <c r="E418">
        <f>Raw_Data!E82</f>
        <v/>
      </c>
    </row>
    <row r="419">
      <c r="A419">
        <f>_xlfn.IFS(ISNUMBER(SEARCH("data analy",B82)),"Data Analyst",ISNUMBER(SEARCH("business analy",B82)),"Business Analyst",OR(ISNUMBER(SEARCH("developer",B82)),ISNUMBER(SEARCH("software engineer",B82)),ISNUMBER(SEARCH("programmer",B82))),"Software Developer",ISNUMBER(SEARCH("business development",B82)),"Business Development",ISNUMBER(SEARCH("sales",B82)),"Sales Executive",ISNUMBER(SEARCH("marketing",B82)),"Marketing Executive",OR(ISNUMBER(SEARCH("hr ",B82)),ISNUMBER(SEARCH("recruit",B82)),ISNUMBER(SEARCH("human resource",B82))),"HR / Recruiter",OR(ISNUMBER(SEARCH("account",B82)),ISNUMBER(SEARCH("finance",B82)),ISNUMBER(SEARCH("tax",B82)),ISNUMBER(SEARCH("audit",B82))),"Accountant / Finance",OR(ISNUMBER(SEARCH("customer service",B82)),ISNUMBER(SEARCH("customer support",B82)),ISNUMBER(SEARCH("customer care",B82)),ISNUMBER(SEARCH("voice process",B82)),ISNUMBER(SEARCH("bpo",B82))),"Customer Support",ISNUMBER(SEARCH("engineer",B82)),"Engineer (Technical)",ISNUMBER(SEARCH("manager",B82)),"Manager",OR(ISNUMBER(SEARCH("teacher",B82)),ISNUMBER(SEARCH("trainer",B82)),ISNUMBER(SEARCH("faculty",B82))),"Teacher / Trainer",OR(ISNUMBER(SEARCH("doctor",B82)),ISNUMBER(SEARCH("nurse",B82)),ISNUMBER(SEARCH("medical",B82)),ISNUMBER(SEARCH("pharma",B82)),ISNUMBER(SEARCH("clinical",B82))),"Healthcare",TRUE,"Other")</f>
        <v/>
      </c>
      <c r="B419">
        <f>IF(PROPER(TRIM(Raw_Data!D83))="Bangalore","Bengaluru",IF(PROPER(TRIM(Raw_Data!D83))="Gurgaon","Gurugram",IF(OR(PROPER(TRIM(Raw_Data!D83))="New Delhi",PROPER(TRIM(Raw_Data!D83))="Delhi"),"Delhi",PROPER(TRIM(Raw_Data!D83)))))</f>
        <v/>
      </c>
      <c r="C419">
        <f>IF(TRIM(Raw_Data!F83&amp;"")="","Not Specified",Raw_Data!F83)</f>
        <v/>
      </c>
      <c r="D419">
        <f>Raw_Data!H83</f>
        <v/>
      </c>
      <c r="E419">
        <f>Raw_Data!E83</f>
        <v/>
      </c>
    </row>
    <row r="420">
      <c r="A420">
        <f>_xlfn.IFS(ISNUMBER(SEARCH("data analy",B83)),"Data Analyst",ISNUMBER(SEARCH("business analy",B83)),"Business Analyst",OR(ISNUMBER(SEARCH("developer",B83)),ISNUMBER(SEARCH("software engineer",B83)),ISNUMBER(SEARCH("programmer",B83))),"Software Developer",ISNUMBER(SEARCH("business development",B83)),"Business Development",ISNUMBER(SEARCH("sales",B83)),"Sales Executive",ISNUMBER(SEARCH("marketing",B83)),"Marketing Executive",OR(ISNUMBER(SEARCH("hr ",B83)),ISNUMBER(SEARCH("recruit",B83)),ISNUMBER(SEARCH("human resource",B83))),"HR / Recruiter",OR(ISNUMBER(SEARCH("account",B83)),ISNUMBER(SEARCH("finance",B83)),ISNUMBER(SEARCH("tax",B83)),ISNUMBER(SEARCH("audit",B83))),"Accountant / Finance",OR(ISNUMBER(SEARCH("customer service",B83)),ISNUMBER(SEARCH("customer support",B83)),ISNUMBER(SEARCH("customer care",B83)),ISNUMBER(SEARCH("voice process",B83)),ISNUMBER(SEARCH("bpo",B83))),"Customer Support",ISNUMBER(SEARCH("engineer",B83)),"Engineer (Technical)",ISNUMBER(SEARCH("manager",B83)),"Manager",OR(ISNUMBER(SEARCH("teacher",B83)),ISNUMBER(SEARCH("trainer",B83)),ISNUMBER(SEARCH("faculty",B83))),"Teacher / Trainer",OR(ISNUMBER(SEARCH("doctor",B83)),ISNUMBER(SEARCH("nurse",B83)),ISNUMBER(SEARCH("medical",B83)),ISNUMBER(SEARCH("pharma",B83)),ISNUMBER(SEARCH("clinical",B83))),"Healthcare",TRUE,"Other")</f>
        <v/>
      </c>
      <c r="B420">
        <f>IF(PROPER(TRIM(Raw_Data!D84))="Bangalore","Bengaluru",IF(PROPER(TRIM(Raw_Data!D84))="Gurgaon","Gurugram",IF(OR(PROPER(TRIM(Raw_Data!D84))="New Delhi",PROPER(TRIM(Raw_Data!D84))="Delhi"),"Delhi",PROPER(TRIM(Raw_Data!D84)))))</f>
        <v/>
      </c>
      <c r="C420">
        <f>IF(TRIM(Raw_Data!F84&amp;"")="","Not Specified",Raw_Data!F84)</f>
        <v/>
      </c>
      <c r="D420">
        <f>Raw_Data!H84</f>
        <v/>
      </c>
      <c r="E420">
        <f>Raw_Data!E84</f>
        <v/>
      </c>
    </row>
    <row r="421">
      <c r="A421">
        <f>_xlfn.IFS(ISNUMBER(SEARCH("data analy",B84)),"Data Analyst",ISNUMBER(SEARCH("business analy",B84)),"Business Analyst",OR(ISNUMBER(SEARCH("developer",B84)),ISNUMBER(SEARCH("software engineer",B84)),ISNUMBER(SEARCH("programmer",B84))),"Software Developer",ISNUMBER(SEARCH("business development",B84)),"Business Development",ISNUMBER(SEARCH("sales",B84)),"Sales Executive",ISNUMBER(SEARCH("marketing",B84)),"Marketing Executive",OR(ISNUMBER(SEARCH("hr ",B84)),ISNUMBER(SEARCH("recruit",B84)),ISNUMBER(SEARCH("human resource",B84))),"HR / Recruiter",OR(ISNUMBER(SEARCH("account",B84)),ISNUMBER(SEARCH("finance",B84)),ISNUMBER(SEARCH("tax",B84)),ISNUMBER(SEARCH("audit",B84))),"Accountant / Finance",OR(ISNUMBER(SEARCH("customer service",B84)),ISNUMBER(SEARCH("customer support",B84)),ISNUMBER(SEARCH("customer care",B84)),ISNUMBER(SEARCH("voice process",B84)),ISNUMBER(SEARCH("bpo",B84))),"Customer Support",ISNUMBER(SEARCH("engineer",B84)),"Engineer (Technical)",ISNUMBER(SEARCH("manager",B84)),"Manager",OR(ISNUMBER(SEARCH("teacher",B84)),ISNUMBER(SEARCH("trainer",B84)),ISNUMBER(SEARCH("faculty",B84))),"Teacher / Trainer",OR(ISNUMBER(SEARCH("doctor",B84)),ISNUMBER(SEARCH("nurse",B84)),ISNUMBER(SEARCH("medical",B84)),ISNUMBER(SEARCH("pharma",B84)),ISNUMBER(SEARCH("clinical",B84))),"Healthcare",TRUE,"Other")</f>
        <v/>
      </c>
      <c r="B421">
        <f>IF(PROPER(TRIM(Raw_Data!D85))="Bangalore","Bengaluru",IF(PROPER(TRIM(Raw_Data!D85))="Gurgaon","Gurugram",IF(OR(PROPER(TRIM(Raw_Data!D85))="New Delhi",PROPER(TRIM(Raw_Data!D85))="Delhi"),"Delhi",PROPER(TRIM(Raw_Data!D85)))))</f>
        <v/>
      </c>
      <c r="C421">
        <f>IF(TRIM(Raw_Data!F85&amp;"")="","Not Specified",Raw_Data!F85)</f>
        <v/>
      </c>
      <c r="D421">
        <f>Raw_Data!H85</f>
        <v/>
      </c>
      <c r="E421">
        <f>Raw_Data!E85</f>
        <v/>
      </c>
    </row>
    <row r="422">
      <c r="A422">
        <f>_xlfn.IFS(ISNUMBER(SEARCH("data analy",B85)),"Data Analyst",ISNUMBER(SEARCH("business analy",B85)),"Business Analyst",OR(ISNUMBER(SEARCH("developer",B85)),ISNUMBER(SEARCH("software engineer",B85)),ISNUMBER(SEARCH("programmer",B85))),"Software Developer",ISNUMBER(SEARCH("business development",B85)),"Business Development",ISNUMBER(SEARCH("sales",B85)),"Sales Executive",ISNUMBER(SEARCH("marketing",B85)),"Marketing Executive",OR(ISNUMBER(SEARCH("hr ",B85)),ISNUMBER(SEARCH("recruit",B85)),ISNUMBER(SEARCH("human resource",B85))),"HR / Recruiter",OR(ISNUMBER(SEARCH("account",B85)),ISNUMBER(SEARCH("finance",B85)),ISNUMBER(SEARCH("tax",B85)),ISNUMBER(SEARCH("audit",B85))),"Accountant / Finance",OR(ISNUMBER(SEARCH("customer service",B85)),ISNUMBER(SEARCH("customer support",B85)),ISNUMBER(SEARCH("customer care",B85)),ISNUMBER(SEARCH("voice process",B85)),ISNUMBER(SEARCH("bpo",B85))),"Customer Support",ISNUMBER(SEARCH("engineer",B85)),"Engineer (Technical)",ISNUMBER(SEARCH("manager",B85)),"Manager",OR(ISNUMBER(SEARCH("teacher",B85)),ISNUMBER(SEARCH("trainer",B85)),ISNUMBER(SEARCH("faculty",B85))),"Teacher / Trainer",OR(ISNUMBER(SEARCH("doctor",B85)),ISNUMBER(SEARCH("nurse",B85)),ISNUMBER(SEARCH("medical",B85)),ISNUMBER(SEARCH("pharma",B85)),ISNUMBER(SEARCH("clinical",B85))),"Healthcare",TRUE,"Other")</f>
        <v/>
      </c>
      <c r="B422">
        <f>IF(PROPER(TRIM(Raw_Data!D86))="Bangalore","Bengaluru",IF(PROPER(TRIM(Raw_Data!D86))="Gurgaon","Gurugram",IF(OR(PROPER(TRIM(Raw_Data!D86))="New Delhi",PROPER(TRIM(Raw_Data!D86))="Delhi"),"Delhi",PROPER(TRIM(Raw_Data!D86)))))</f>
        <v/>
      </c>
      <c r="C422">
        <f>IF(TRIM(Raw_Data!F86&amp;"")="","Not Specified",Raw_Data!F86)</f>
        <v/>
      </c>
      <c r="D422">
        <f>Raw_Data!H86</f>
        <v/>
      </c>
      <c r="E422">
        <f>Raw_Data!E86</f>
        <v/>
      </c>
    </row>
    <row r="423">
      <c r="A423">
        <f>_xlfn.IFS(ISNUMBER(SEARCH("data analy",B86)),"Data Analyst",ISNUMBER(SEARCH("business analy",B86)),"Business Analyst",OR(ISNUMBER(SEARCH("developer",B86)),ISNUMBER(SEARCH("software engineer",B86)),ISNUMBER(SEARCH("programmer",B86))),"Software Developer",ISNUMBER(SEARCH("business development",B86)),"Business Development",ISNUMBER(SEARCH("sales",B86)),"Sales Executive",ISNUMBER(SEARCH("marketing",B86)),"Marketing Executive",OR(ISNUMBER(SEARCH("hr ",B86)),ISNUMBER(SEARCH("recruit",B86)),ISNUMBER(SEARCH("human resource",B86))),"HR / Recruiter",OR(ISNUMBER(SEARCH("account",B86)),ISNUMBER(SEARCH("finance",B86)),ISNUMBER(SEARCH("tax",B86)),ISNUMBER(SEARCH("audit",B86))),"Accountant / Finance",OR(ISNUMBER(SEARCH("customer service",B86)),ISNUMBER(SEARCH("customer support",B86)),ISNUMBER(SEARCH("customer care",B86)),ISNUMBER(SEARCH("voice process",B86)),ISNUMBER(SEARCH("bpo",B86))),"Customer Support",ISNUMBER(SEARCH("engineer",B86)),"Engineer (Technical)",ISNUMBER(SEARCH("manager",B86)),"Manager",OR(ISNUMBER(SEARCH("teacher",B86)),ISNUMBER(SEARCH("trainer",B86)),ISNUMBER(SEARCH("faculty",B86))),"Teacher / Trainer",OR(ISNUMBER(SEARCH("doctor",B86)),ISNUMBER(SEARCH("nurse",B86)),ISNUMBER(SEARCH("medical",B86)),ISNUMBER(SEARCH("pharma",B86)),ISNUMBER(SEARCH("clinical",B86))),"Healthcare",TRUE,"Other")</f>
        <v/>
      </c>
      <c r="B423">
        <f>IF(PROPER(TRIM(Raw_Data!D87))="Bangalore","Bengaluru",IF(PROPER(TRIM(Raw_Data!D87))="Gurgaon","Gurugram",IF(OR(PROPER(TRIM(Raw_Data!D87))="New Delhi",PROPER(TRIM(Raw_Data!D87))="Delhi"),"Delhi",PROPER(TRIM(Raw_Data!D87)))))</f>
        <v/>
      </c>
      <c r="C423">
        <f>IF(TRIM(Raw_Data!F87&amp;"")="","Not Specified",Raw_Data!F87)</f>
        <v/>
      </c>
      <c r="D423">
        <f>Raw_Data!H87</f>
        <v/>
      </c>
      <c r="E423">
        <f>Raw_Data!E87</f>
        <v/>
      </c>
    </row>
    <row r="424">
      <c r="A424">
        <f>_xlfn.IFS(ISNUMBER(SEARCH("data analy",B87)),"Data Analyst",ISNUMBER(SEARCH("business analy",B87)),"Business Analyst",OR(ISNUMBER(SEARCH("developer",B87)),ISNUMBER(SEARCH("software engineer",B87)),ISNUMBER(SEARCH("programmer",B87))),"Software Developer",ISNUMBER(SEARCH("business development",B87)),"Business Development",ISNUMBER(SEARCH("sales",B87)),"Sales Executive",ISNUMBER(SEARCH("marketing",B87)),"Marketing Executive",OR(ISNUMBER(SEARCH("hr ",B87)),ISNUMBER(SEARCH("recruit",B87)),ISNUMBER(SEARCH("human resource",B87))),"HR / Recruiter",OR(ISNUMBER(SEARCH("account",B87)),ISNUMBER(SEARCH("finance",B87)),ISNUMBER(SEARCH("tax",B87)),ISNUMBER(SEARCH("audit",B87))),"Accountant / Finance",OR(ISNUMBER(SEARCH("customer service",B87)),ISNUMBER(SEARCH("customer support",B87)),ISNUMBER(SEARCH("customer care",B87)),ISNUMBER(SEARCH("voice process",B87)),ISNUMBER(SEARCH("bpo",B87))),"Customer Support",ISNUMBER(SEARCH("engineer",B87)),"Engineer (Technical)",ISNUMBER(SEARCH("manager",B87)),"Manager",OR(ISNUMBER(SEARCH("teacher",B87)),ISNUMBER(SEARCH("trainer",B87)),ISNUMBER(SEARCH("faculty",B87))),"Teacher / Trainer",OR(ISNUMBER(SEARCH("doctor",B87)),ISNUMBER(SEARCH("nurse",B87)),ISNUMBER(SEARCH("medical",B87)),ISNUMBER(SEARCH("pharma",B87)),ISNUMBER(SEARCH("clinical",B87))),"Healthcare",TRUE,"Other")</f>
        <v/>
      </c>
      <c r="B424">
        <f>IF(PROPER(TRIM(Raw_Data!D88))="Bangalore","Bengaluru",IF(PROPER(TRIM(Raw_Data!D88))="Gurgaon","Gurugram",IF(OR(PROPER(TRIM(Raw_Data!D88))="New Delhi",PROPER(TRIM(Raw_Data!D88))="Delhi"),"Delhi",PROPER(TRIM(Raw_Data!D88)))))</f>
        <v/>
      </c>
      <c r="C424">
        <f>IF(TRIM(Raw_Data!F88&amp;"")="","Not Specified",Raw_Data!F88)</f>
        <v/>
      </c>
      <c r="D424">
        <f>Raw_Data!H88</f>
        <v/>
      </c>
      <c r="E424">
        <f>Raw_Data!E88</f>
        <v/>
      </c>
    </row>
    <row r="425">
      <c r="A425">
        <f>_xlfn.IFS(ISNUMBER(SEARCH("data analy",B88)),"Data Analyst",ISNUMBER(SEARCH("business analy",B88)),"Business Analyst",OR(ISNUMBER(SEARCH("developer",B88)),ISNUMBER(SEARCH("software engineer",B88)),ISNUMBER(SEARCH("programmer",B88))),"Software Developer",ISNUMBER(SEARCH("business development",B88)),"Business Development",ISNUMBER(SEARCH("sales",B88)),"Sales Executive",ISNUMBER(SEARCH("marketing",B88)),"Marketing Executive",OR(ISNUMBER(SEARCH("hr ",B88)),ISNUMBER(SEARCH("recruit",B88)),ISNUMBER(SEARCH("human resource",B88))),"HR / Recruiter",OR(ISNUMBER(SEARCH("account",B88)),ISNUMBER(SEARCH("finance",B88)),ISNUMBER(SEARCH("tax",B88)),ISNUMBER(SEARCH("audit",B88))),"Accountant / Finance",OR(ISNUMBER(SEARCH("customer service",B88)),ISNUMBER(SEARCH("customer support",B88)),ISNUMBER(SEARCH("customer care",B88)),ISNUMBER(SEARCH("voice process",B88)),ISNUMBER(SEARCH("bpo",B88))),"Customer Support",ISNUMBER(SEARCH("engineer",B88)),"Engineer (Technical)",ISNUMBER(SEARCH("manager",B88)),"Manager",OR(ISNUMBER(SEARCH("teacher",B88)),ISNUMBER(SEARCH("trainer",B88)),ISNUMBER(SEARCH("faculty",B88))),"Teacher / Trainer",OR(ISNUMBER(SEARCH("doctor",B88)),ISNUMBER(SEARCH("nurse",B88)),ISNUMBER(SEARCH("medical",B88)),ISNUMBER(SEARCH("pharma",B88)),ISNUMBER(SEARCH("clinical",B88))),"Healthcare",TRUE,"Other")</f>
        <v/>
      </c>
      <c r="B425">
        <f>IF(PROPER(TRIM(Raw_Data!D89))="Bangalore","Bengaluru",IF(PROPER(TRIM(Raw_Data!D89))="Gurgaon","Gurugram",IF(OR(PROPER(TRIM(Raw_Data!D89))="New Delhi",PROPER(TRIM(Raw_Data!D89))="Delhi"),"Delhi",PROPER(TRIM(Raw_Data!D89)))))</f>
        <v/>
      </c>
      <c r="C425">
        <f>IF(TRIM(Raw_Data!F89&amp;"")="","Not Specified",Raw_Data!F89)</f>
        <v/>
      </c>
      <c r="D425">
        <f>Raw_Data!H89</f>
        <v/>
      </c>
      <c r="E425">
        <f>Raw_Data!E89</f>
        <v/>
      </c>
    </row>
    <row r="426">
      <c r="A426">
        <f>_xlfn.IFS(ISNUMBER(SEARCH("data analy",B89)),"Data Analyst",ISNUMBER(SEARCH("business analy",B89)),"Business Analyst",OR(ISNUMBER(SEARCH("developer",B89)),ISNUMBER(SEARCH("software engineer",B89)),ISNUMBER(SEARCH("programmer",B89))),"Software Developer",ISNUMBER(SEARCH("business development",B89)),"Business Development",ISNUMBER(SEARCH("sales",B89)),"Sales Executive",ISNUMBER(SEARCH("marketing",B89)),"Marketing Executive",OR(ISNUMBER(SEARCH("hr ",B89)),ISNUMBER(SEARCH("recruit",B89)),ISNUMBER(SEARCH("human resource",B89))),"HR / Recruiter",OR(ISNUMBER(SEARCH("account",B89)),ISNUMBER(SEARCH("finance",B89)),ISNUMBER(SEARCH("tax",B89)),ISNUMBER(SEARCH("audit",B89))),"Accountant / Finance",OR(ISNUMBER(SEARCH("customer service",B89)),ISNUMBER(SEARCH("customer support",B89)),ISNUMBER(SEARCH("customer care",B89)),ISNUMBER(SEARCH("voice process",B89)),ISNUMBER(SEARCH("bpo",B89))),"Customer Support",ISNUMBER(SEARCH("engineer",B89)),"Engineer (Technical)",ISNUMBER(SEARCH("manager",B89)),"Manager",OR(ISNUMBER(SEARCH("teacher",B89)),ISNUMBER(SEARCH("trainer",B89)),ISNUMBER(SEARCH("faculty",B89))),"Teacher / Trainer",OR(ISNUMBER(SEARCH("doctor",B89)),ISNUMBER(SEARCH("nurse",B89)),ISNUMBER(SEARCH("medical",B89)),ISNUMBER(SEARCH("pharma",B89)),ISNUMBER(SEARCH("clinical",B89))),"Healthcare",TRUE,"Other")</f>
        <v/>
      </c>
      <c r="B426">
        <f>IF(PROPER(TRIM(Raw_Data!D9))="Bangalore","Bengaluru",IF(PROPER(TRIM(Raw_Data!D9))="Gurgaon","Gurugram",IF(OR(PROPER(TRIM(Raw_Data!D9))="New Delhi",PROPER(TRIM(Raw_Data!D9))="Delhi"),"Delhi",PROPER(TRIM(Raw_Data!D9)))))</f>
        <v/>
      </c>
      <c r="C426">
        <f>IF(TRIM(Raw_Data!F9&amp;"")="","Not Specified",Raw_Data!F9)</f>
        <v/>
      </c>
      <c r="D426">
        <f>Raw_Data!H9</f>
        <v/>
      </c>
      <c r="E426">
        <f>Raw_Data!E9</f>
        <v/>
      </c>
    </row>
    <row r="427">
      <c r="A427">
        <f>_xlfn.IFS(ISNUMBER(SEARCH("data analy",B90)),"Data Analyst",ISNUMBER(SEARCH("business analy",B90)),"Business Analyst",OR(ISNUMBER(SEARCH("developer",B90)),ISNUMBER(SEARCH("software engineer",B90)),ISNUMBER(SEARCH("programmer",B90))),"Software Developer",ISNUMBER(SEARCH("business development",B90)),"Business Development",ISNUMBER(SEARCH("sales",B90)),"Sales Executive",ISNUMBER(SEARCH("marketing",B90)),"Marketing Executive",OR(ISNUMBER(SEARCH("hr ",B90)),ISNUMBER(SEARCH("recruit",B90)),ISNUMBER(SEARCH("human resource",B90))),"HR / Recruiter",OR(ISNUMBER(SEARCH("account",B90)),ISNUMBER(SEARCH("finance",B90)),ISNUMBER(SEARCH("tax",B90)),ISNUMBER(SEARCH("audit",B90))),"Accountant / Finance",OR(ISNUMBER(SEARCH("customer service",B90)),ISNUMBER(SEARCH("customer support",B90)),ISNUMBER(SEARCH("customer care",B90)),ISNUMBER(SEARCH("voice process",B90)),ISNUMBER(SEARCH("bpo",B90))),"Customer Support",ISNUMBER(SEARCH("engineer",B90)),"Engineer (Technical)",ISNUMBER(SEARCH("manager",B90)),"Manager",OR(ISNUMBER(SEARCH("teacher",B90)),ISNUMBER(SEARCH("trainer",B90)),ISNUMBER(SEARCH("faculty",B90))),"Teacher / Trainer",OR(ISNUMBER(SEARCH("doctor",B90)),ISNUMBER(SEARCH("nurse",B90)),ISNUMBER(SEARCH("medical",B90)),ISNUMBER(SEARCH("pharma",B90)),ISNUMBER(SEARCH("clinical",B90))),"Healthcare",TRUE,"Other")</f>
        <v/>
      </c>
      <c r="B427">
        <f>IF(PROPER(TRIM(Raw_Data!D90))="Bangalore","Bengaluru",IF(PROPER(TRIM(Raw_Data!D90))="Gurgaon","Gurugram",IF(OR(PROPER(TRIM(Raw_Data!D90))="New Delhi",PROPER(TRIM(Raw_Data!D90))="Delhi"),"Delhi",PROPER(TRIM(Raw_Data!D90)))))</f>
        <v/>
      </c>
      <c r="C427">
        <f>IF(TRIM(Raw_Data!F90&amp;"")="","Not Specified",Raw_Data!F90)</f>
        <v/>
      </c>
      <c r="D427">
        <f>Raw_Data!H90</f>
        <v/>
      </c>
      <c r="E427">
        <f>Raw_Data!E90</f>
        <v/>
      </c>
    </row>
    <row r="428">
      <c r="A428">
        <f>_xlfn.IFS(ISNUMBER(SEARCH("data analy",B91)),"Data Analyst",ISNUMBER(SEARCH("business analy",B91)),"Business Analyst",OR(ISNUMBER(SEARCH("developer",B91)),ISNUMBER(SEARCH("software engineer",B91)),ISNUMBER(SEARCH("programmer",B91))),"Software Developer",ISNUMBER(SEARCH("business development",B91)),"Business Development",ISNUMBER(SEARCH("sales",B91)),"Sales Executive",ISNUMBER(SEARCH("marketing",B91)),"Marketing Executive",OR(ISNUMBER(SEARCH("hr ",B91)),ISNUMBER(SEARCH("recruit",B91)),ISNUMBER(SEARCH("human resource",B91))),"HR / Recruiter",OR(ISNUMBER(SEARCH("account",B91)),ISNUMBER(SEARCH("finance",B91)),ISNUMBER(SEARCH("tax",B91)),ISNUMBER(SEARCH("audit",B91))),"Accountant / Finance",OR(ISNUMBER(SEARCH("customer service",B91)),ISNUMBER(SEARCH("customer support",B91)),ISNUMBER(SEARCH("customer care",B91)),ISNUMBER(SEARCH("voice process",B91)),ISNUMBER(SEARCH("bpo",B91))),"Customer Support",ISNUMBER(SEARCH("engineer",B91)),"Engineer (Technical)",ISNUMBER(SEARCH("manager",B91)),"Manager",OR(ISNUMBER(SEARCH("teacher",B91)),ISNUMBER(SEARCH("trainer",B91)),ISNUMBER(SEARCH("faculty",B91))),"Teacher / Trainer",OR(ISNUMBER(SEARCH("doctor",B91)),ISNUMBER(SEARCH("nurse",B91)),ISNUMBER(SEARCH("medical",B91)),ISNUMBER(SEARCH("pharma",B91)),ISNUMBER(SEARCH("clinical",B91))),"Healthcare",TRUE,"Other")</f>
        <v/>
      </c>
      <c r="B428">
        <f>IF(PROPER(TRIM(Raw_Data!D91))="Bangalore","Bengaluru",IF(PROPER(TRIM(Raw_Data!D91))="Gurgaon","Gurugram",IF(OR(PROPER(TRIM(Raw_Data!D91))="New Delhi",PROPER(TRIM(Raw_Data!D91))="Delhi"),"Delhi",PROPER(TRIM(Raw_Data!D91)))))</f>
        <v/>
      </c>
      <c r="C428">
        <f>IF(TRIM(Raw_Data!F91&amp;"")="","Not Specified",Raw_Data!F91)</f>
        <v/>
      </c>
      <c r="D428">
        <f>Raw_Data!H91</f>
        <v/>
      </c>
      <c r="E428">
        <f>Raw_Data!E91</f>
        <v/>
      </c>
    </row>
    <row r="429">
      <c r="A429">
        <f>_xlfn.IFS(ISNUMBER(SEARCH("data analy",B92)),"Data Analyst",ISNUMBER(SEARCH("business analy",B92)),"Business Analyst",OR(ISNUMBER(SEARCH("developer",B92)),ISNUMBER(SEARCH("software engineer",B92)),ISNUMBER(SEARCH("programmer",B92))),"Software Developer",ISNUMBER(SEARCH("business development",B92)),"Business Development",ISNUMBER(SEARCH("sales",B92)),"Sales Executive",ISNUMBER(SEARCH("marketing",B92)),"Marketing Executive",OR(ISNUMBER(SEARCH("hr ",B92)),ISNUMBER(SEARCH("recruit",B92)),ISNUMBER(SEARCH("human resource",B92))),"HR / Recruiter",OR(ISNUMBER(SEARCH("account",B92)),ISNUMBER(SEARCH("finance",B92)),ISNUMBER(SEARCH("tax",B92)),ISNUMBER(SEARCH("audit",B92))),"Accountant / Finance",OR(ISNUMBER(SEARCH("customer service",B92)),ISNUMBER(SEARCH("customer support",B92)),ISNUMBER(SEARCH("customer care",B92)),ISNUMBER(SEARCH("voice process",B92)),ISNUMBER(SEARCH("bpo",B92))),"Customer Support",ISNUMBER(SEARCH("engineer",B92)),"Engineer (Technical)",ISNUMBER(SEARCH("manager",B92)),"Manager",OR(ISNUMBER(SEARCH("teacher",B92)),ISNUMBER(SEARCH("trainer",B92)),ISNUMBER(SEARCH("faculty",B92))),"Teacher / Trainer",OR(ISNUMBER(SEARCH("doctor",B92)),ISNUMBER(SEARCH("nurse",B92)),ISNUMBER(SEARCH("medical",B92)),ISNUMBER(SEARCH("pharma",B92)),ISNUMBER(SEARCH("clinical",B92))),"Healthcare",TRUE,"Other")</f>
        <v/>
      </c>
      <c r="B429">
        <f>IF(PROPER(TRIM(Raw_Data!D92))="Bangalore","Bengaluru",IF(PROPER(TRIM(Raw_Data!D92))="Gurgaon","Gurugram",IF(OR(PROPER(TRIM(Raw_Data!D92))="New Delhi",PROPER(TRIM(Raw_Data!D92))="Delhi"),"Delhi",PROPER(TRIM(Raw_Data!D92)))))</f>
        <v/>
      </c>
      <c r="C429">
        <f>IF(TRIM(Raw_Data!F92&amp;"")="","Not Specified",Raw_Data!F92)</f>
        <v/>
      </c>
      <c r="D429">
        <f>Raw_Data!H92</f>
        <v/>
      </c>
      <c r="E429">
        <f>Raw_Data!E92</f>
        <v/>
      </c>
    </row>
    <row r="430">
      <c r="A430">
        <f>_xlfn.IFS(ISNUMBER(SEARCH("data analy",B93)),"Data Analyst",ISNUMBER(SEARCH("business analy",B93)),"Business Analyst",OR(ISNUMBER(SEARCH("developer",B93)),ISNUMBER(SEARCH("software engineer",B93)),ISNUMBER(SEARCH("programmer",B93))),"Software Developer",ISNUMBER(SEARCH("business development",B93)),"Business Development",ISNUMBER(SEARCH("sales",B93)),"Sales Executive",ISNUMBER(SEARCH("marketing",B93)),"Marketing Executive",OR(ISNUMBER(SEARCH("hr ",B93)),ISNUMBER(SEARCH("recruit",B93)),ISNUMBER(SEARCH("human resource",B93))),"HR / Recruiter",OR(ISNUMBER(SEARCH("account",B93)),ISNUMBER(SEARCH("finance",B93)),ISNUMBER(SEARCH("tax",B93)),ISNUMBER(SEARCH("audit",B93))),"Accountant / Finance",OR(ISNUMBER(SEARCH("customer service",B93)),ISNUMBER(SEARCH("customer support",B93)),ISNUMBER(SEARCH("customer care",B93)),ISNUMBER(SEARCH("voice process",B93)),ISNUMBER(SEARCH("bpo",B93))),"Customer Support",ISNUMBER(SEARCH("engineer",B93)),"Engineer (Technical)",ISNUMBER(SEARCH("manager",B93)),"Manager",OR(ISNUMBER(SEARCH("teacher",B93)),ISNUMBER(SEARCH("trainer",B93)),ISNUMBER(SEARCH("faculty",B93))),"Teacher / Trainer",OR(ISNUMBER(SEARCH("doctor",B93)),ISNUMBER(SEARCH("nurse",B93)),ISNUMBER(SEARCH("medical",B93)),ISNUMBER(SEARCH("pharma",B93)),ISNUMBER(SEARCH("clinical",B93))),"Healthcare",TRUE,"Other")</f>
        <v/>
      </c>
      <c r="B430">
        <f>IF(PROPER(TRIM(Raw_Data!D93))="Bangalore","Bengaluru",IF(PROPER(TRIM(Raw_Data!D93))="Gurgaon","Gurugram",IF(OR(PROPER(TRIM(Raw_Data!D93))="New Delhi",PROPER(TRIM(Raw_Data!D93))="Delhi"),"Delhi",PROPER(TRIM(Raw_Data!D93)))))</f>
        <v/>
      </c>
      <c r="C430">
        <f>IF(TRIM(Raw_Data!F93&amp;"")="","Not Specified",Raw_Data!F93)</f>
        <v/>
      </c>
      <c r="D430">
        <f>Raw_Data!H93</f>
        <v/>
      </c>
      <c r="E430">
        <f>Raw_Data!E93</f>
        <v/>
      </c>
    </row>
    <row r="431">
      <c r="A431">
        <f>_xlfn.IFS(ISNUMBER(SEARCH("data analy",B94)),"Data Analyst",ISNUMBER(SEARCH("business analy",B94)),"Business Analyst",OR(ISNUMBER(SEARCH("developer",B94)),ISNUMBER(SEARCH("software engineer",B94)),ISNUMBER(SEARCH("programmer",B94))),"Software Developer",ISNUMBER(SEARCH("business development",B94)),"Business Development",ISNUMBER(SEARCH("sales",B94)),"Sales Executive",ISNUMBER(SEARCH("marketing",B94)),"Marketing Executive",OR(ISNUMBER(SEARCH("hr ",B94)),ISNUMBER(SEARCH("recruit",B94)),ISNUMBER(SEARCH("human resource",B94))),"HR / Recruiter",OR(ISNUMBER(SEARCH("account",B94)),ISNUMBER(SEARCH("finance",B94)),ISNUMBER(SEARCH("tax",B94)),ISNUMBER(SEARCH("audit",B94))),"Accountant / Finance",OR(ISNUMBER(SEARCH("customer service",B94)),ISNUMBER(SEARCH("customer support",B94)),ISNUMBER(SEARCH("customer care",B94)),ISNUMBER(SEARCH("voice process",B94)),ISNUMBER(SEARCH("bpo",B94))),"Customer Support",ISNUMBER(SEARCH("engineer",B94)),"Engineer (Technical)",ISNUMBER(SEARCH("manager",B94)),"Manager",OR(ISNUMBER(SEARCH("teacher",B94)),ISNUMBER(SEARCH("trainer",B94)),ISNUMBER(SEARCH("faculty",B94))),"Teacher / Trainer",OR(ISNUMBER(SEARCH("doctor",B94)),ISNUMBER(SEARCH("nurse",B94)),ISNUMBER(SEARCH("medical",B94)),ISNUMBER(SEARCH("pharma",B94)),ISNUMBER(SEARCH("clinical",B94))),"Healthcare",TRUE,"Other")</f>
        <v/>
      </c>
      <c r="B431">
        <f>IF(PROPER(TRIM(Raw_Data!D94))="Bangalore","Bengaluru",IF(PROPER(TRIM(Raw_Data!D94))="Gurgaon","Gurugram",IF(OR(PROPER(TRIM(Raw_Data!D94))="New Delhi",PROPER(TRIM(Raw_Data!D94))="Delhi"),"Delhi",PROPER(TRIM(Raw_Data!D94)))))</f>
        <v/>
      </c>
      <c r="C431">
        <f>IF(TRIM(Raw_Data!F94&amp;"")="","Not Specified",Raw_Data!F94)</f>
        <v/>
      </c>
      <c r="D431">
        <f>Raw_Data!H94</f>
        <v/>
      </c>
      <c r="E431">
        <f>Raw_Data!E94</f>
        <v/>
      </c>
    </row>
    <row r="432">
      <c r="A432">
        <f>_xlfn.IFS(ISNUMBER(SEARCH("data analy",B95)),"Data Analyst",ISNUMBER(SEARCH("business analy",B95)),"Business Analyst",OR(ISNUMBER(SEARCH("developer",B95)),ISNUMBER(SEARCH("software engineer",B95)),ISNUMBER(SEARCH("programmer",B95))),"Software Developer",ISNUMBER(SEARCH("business development",B95)),"Business Development",ISNUMBER(SEARCH("sales",B95)),"Sales Executive",ISNUMBER(SEARCH("marketing",B95)),"Marketing Executive",OR(ISNUMBER(SEARCH("hr ",B95)),ISNUMBER(SEARCH("recruit",B95)),ISNUMBER(SEARCH("human resource",B95))),"HR / Recruiter",OR(ISNUMBER(SEARCH("account",B95)),ISNUMBER(SEARCH("finance",B95)),ISNUMBER(SEARCH("tax",B95)),ISNUMBER(SEARCH("audit",B95))),"Accountant / Finance",OR(ISNUMBER(SEARCH("customer service",B95)),ISNUMBER(SEARCH("customer support",B95)),ISNUMBER(SEARCH("customer care",B95)),ISNUMBER(SEARCH("voice process",B95)),ISNUMBER(SEARCH("bpo",B95))),"Customer Support",ISNUMBER(SEARCH("engineer",B95)),"Engineer (Technical)",ISNUMBER(SEARCH("manager",B95)),"Manager",OR(ISNUMBER(SEARCH("teacher",B95)),ISNUMBER(SEARCH("trainer",B95)),ISNUMBER(SEARCH("faculty",B95))),"Teacher / Trainer",OR(ISNUMBER(SEARCH("doctor",B95)),ISNUMBER(SEARCH("nurse",B95)),ISNUMBER(SEARCH("medical",B95)),ISNUMBER(SEARCH("pharma",B95)),ISNUMBER(SEARCH("clinical",B95))),"Healthcare",TRUE,"Other")</f>
        <v/>
      </c>
      <c r="B432">
        <f>IF(PROPER(TRIM(Raw_Data!D95))="Bangalore","Bengaluru",IF(PROPER(TRIM(Raw_Data!D95))="Gurgaon","Gurugram",IF(OR(PROPER(TRIM(Raw_Data!D95))="New Delhi",PROPER(TRIM(Raw_Data!D95))="Delhi"),"Delhi",PROPER(TRIM(Raw_Data!D95)))))</f>
        <v/>
      </c>
      <c r="C432">
        <f>IF(TRIM(Raw_Data!F95&amp;"")="","Not Specified",Raw_Data!F95)</f>
        <v/>
      </c>
      <c r="D432">
        <f>Raw_Data!H95</f>
        <v/>
      </c>
      <c r="E432">
        <f>Raw_Data!E95</f>
        <v/>
      </c>
    </row>
    <row r="433">
      <c r="A433">
        <f>_xlfn.IFS(ISNUMBER(SEARCH("data analy",B96)),"Data Analyst",ISNUMBER(SEARCH("business analy",B96)),"Business Analyst",OR(ISNUMBER(SEARCH("developer",B96)),ISNUMBER(SEARCH("software engineer",B96)),ISNUMBER(SEARCH("programmer",B96))),"Software Developer",ISNUMBER(SEARCH("business development",B96)),"Business Development",ISNUMBER(SEARCH("sales",B96)),"Sales Executive",ISNUMBER(SEARCH("marketing",B96)),"Marketing Executive",OR(ISNUMBER(SEARCH("hr ",B96)),ISNUMBER(SEARCH("recruit",B96)),ISNUMBER(SEARCH("human resource",B96))),"HR / Recruiter",OR(ISNUMBER(SEARCH("account",B96)),ISNUMBER(SEARCH("finance",B96)),ISNUMBER(SEARCH("tax",B96)),ISNUMBER(SEARCH("audit",B96))),"Accountant / Finance",OR(ISNUMBER(SEARCH("customer service",B96)),ISNUMBER(SEARCH("customer support",B96)),ISNUMBER(SEARCH("customer care",B96)),ISNUMBER(SEARCH("voice process",B96)),ISNUMBER(SEARCH("bpo",B96))),"Customer Support",ISNUMBER(SEARCH("engineer",B96)),"Engineer (Technical)",ISNUMBER(SEARCH("manager",B96)),"Manager",OR(ISNUMBER(SEARCH("teacher",B96)),ISNUMBER(SEARCH("trainer",B96)),ISNUMBER(SEARCH("faculty",B96))),"Teacher / Trainer",OR(ISNUMBER(SEARCH("doctor",B96)),ISNUMBER(SEARCH("nurse",B96)),ISNUMBER(SEARCH("medical",B96)),ISNUMBER(SEARCH("pharma",B96)),ISNUMBER(SEARCH("clinical",B96))),"Healthcare",TRUE,"Other")</f>
        <v/>
      </c>
      <c r="B433">
        <f>IF(PROPER(TRIM(Raw_Data!D96))="Bangalore","Bengaluru",IF(PROPER(TRIM(Raw_Data!D96))="Gurgaon","Gurugram",IF(OR(PROPER(TRIM(Raw_Data!D96))="New Delhi",PROPER(TRIM(Raw_Data!D96))="Delhi"),"Delhi",PROPER(TRIM(Raw_Data!D96)))))</f>
        <v/>
      </c>
      <c r="C433">
        <f>IF(TRIM(Raw_Data!F96&amp;"")="","Not Specified",Raw_Data!F96)</f>
        <v/>
      </c>
      <c r="D433">
        <f>Raw_Data!H96</f>
        <v/>
      </c>
      <c r="E433">
        <f>Raw_Data!E96</f>
        <v/>
      </c>
    </row>
    <row r="434">
      <c r="A434">
        <f>_xlfn.IFS(ISNUMBER(SEARCH("data analy",B97)),"Data Analyst",ISNUMBER(SEARCH("business analy",B97)),"Business Analyst",OR(ISNUMBER(SEARCH("developer",B97)),ISNUMBER(SEARCH("software engineer",B97)),ISNUMBER(SEARCH("programmer",B97))),"Software Developer",ISNUMBER(SEARCH("business development",B97)),"Business Development",ISNUMBER(SEARCH("sales",B97)),"Sales Executive",ISNUMBER(SEARCH("marketing",B97)),"Marketing Executive",OR(ISNUMBER(SEARCH("hr ",B97)),ISNUMBER(SEARCH("recruit",B97)),ISNUMBER(SEARCH("human resource",B97))),"HR / Recruiter",OR(ISNUMBER(SEARCH("account",B97)),ISNUMBER(SEARCH("finance",B97)),ISNUMBER(SEARCH("tax",B97)),ISNUMBER(SEARCH("audit",B97))),"Accountant / Finance",OR(ISNUMBER(SEARCH("customer service",B97)),ISNUMBER(SEARCH("customer support",B97)),ISNUMBER(SEARCH("customer care",B97)),ISNUMBER(SEARCH("voice process",B97)),ISNUMBER(SEARCH("bpo",B97))),"Customer Support",ISNUMBER(SEARCH("engineer",B97)),"Engineer (Technical)",ISNUMBER(SEARCH("manager",B97)),"Manager",OR(ISNUMBER(SEARCH("teacher",B97)),ISNUMBER(SEARCH("trainer",B97)),ISNUMBER(SEARCH("faculty",B97))),"Teacher / Trainer",OR(ISNUMBER(SEARCH("doctor",B97)),ISNUMBER(SEARCH("nurse",B97)),ISNUMBER(SEARCH("medical",B97)),ISNUMBER(SEARCH("pharma",B97)),ISNUMBER(SEARCH("clinical",B97))),"Healthcare",TRUE,"Other")</f>
        <v/>
      </c>
      <c r="B434">
        <f>IF(PROPER(TRIM(Raw_Data!D97))="Bangalore","Bengaluru",IF(PROPER(TRIM(Raw_Data!D97))="Gurgaon","Gurugram",IF(OR(PROPER(TRIM(Raw_Data!D97))="New Delhi",PROPER(TRIM(Raw_Data!D97))="Delhi"),"Delhi",PROPER(TRIM(Raw_Data!D97)))))</f>
        <v/>
      </c>
      <c r="C434">
        <f>IF(TRIM(Raw_Data!F97&amp;"")="","Not Specified",Raw_Data!F97)</f>
        <v/>
      </c>
      <c r="D434">
        <f>Raw_Data!H97</f>
        <v/>
      </c>
      <c r="E434">
        <f>Raw_Data!E97</f>
        <v/>
      </c>
    </row>
    <row r="435">
      <c r="A435">
        <f>_xlfn.IFS(ISNUMBER(SEARCH("data analy",B98)),"Data Analyst",ISNUMBER(SEARCH("business analy",B98)),"Business Analyst",OR(ISNUMBER(SEARCH("developer",B98)),ISNUMBER(SEARCH("software engineer",B98)),ISNUMBER(SEARCH("programmer",B98))),"Software Developer",ISNUMBER(SEARCH("business development",B98)),"Business Development",ISNUMBER(SEARCH("sales",B98)),"Sales Executive",ISNUMBER(SEARCH("marketing",B98)),"Marketing Executive",OR(ISNUMBER(SEARCH("hr ",B98)),ISNUMBER(SEARCH("recruit",B98)),ISNUMBER(SEARCH("human resource",B98))),"HR / Recruiter",OR(ISNUMBER(SEARCH("account",B98)),ISNUMBER(SEARCH("finance",B98)),ISNUMBER(SEARCH("tax",B98)),ISNUMBER(SEARCH("audit",B98))),"Accountant / Finance",OR(ISNUMBER(SEARCH("customer service",B98)),ISNUMBER(SEARCH("customer support",B98)),ISNUMBER(SEARCH("customer care",B98)),ISNUMBER(SEARCH("voice process",B98)),ISNUMBER(SEARCH("bpo",B98))),"Customer Support",ISNUMBER(SEARCH("engineer",B98)),"Engineer (Technical)",ISNUMBER(SEARCH("manager",B98)),"Manager",OR(ISNUMBER(SEARCH("teacher",B98)),ISNUMBER(SEARCH("trainer",B98)),ISNUMBER(SEARCH("faculty",B98))),"Teacher / Trainer",OR(ISNUMBER(SEARCH("doctor",B98)),ISNUMBER(SEARCH("nurse",B98)),ISNUMBER(SEARCH("medical",B98)),ISNUMBER(SEARCH("pharma",B98)),ISNUMBER(SEARCH("clinical",B98))),"Healthcare",TRUE,"Other")</f>
        <v/>
      </c>
      <c r="B435">
        <f>IF(PROPER(TRIM(Raw_Data!D98))="Bangalore","Bengaluru",IF(PROPER(TRIM(Raw_Data!D98))="Gurgaon","Gurugram",IF(OR(PROPER(TRIM(Raw_Data!D98))="New Delhi",PROPER(TRIM(Raw_Data!D98))="Delhi"),"Delhi",PROPER(TRIM(Raw_Data!D98)))))</f>
        <v/>
      </c>
      <c r="C435">
        <f>IF(TRIM(Raw_Data!F98&amp;"")="","Not Specified",Raw_Data!F98)</f>
        <v/>
      </c>
      <c r="D435">
        <f>Raw_Data!H98</f>
        <v/>
      </c>
      <c r="E435">
        <f>Raw_Data!E98</f>
        <v/>
      </c>
    </row>
    <row r="436">
      <c r="A436">
        <f>_xlfn.IFS(ISNUMBER(SEARCH("data analy",B99)),"Data Analyst",ISNUMBER(SEARCH("business analy",B99)),"Business Analyst",OR(ISNUMBER(SEARCH("developer",B99)),ISNUMBER(SEARCH("software engineer",B99)),ISNUMBER(SEARCH("programmer",B99))),"Software Developer",ISNUMBER(SEARCH("business development",B99)),"Business Development",ISNUMBER(SEARCH("sales",B99)),"Sales Executive",ISNUMBER(SEARCH("marketing",B99)),"Marketing Executive",OR(ISNUMBER(SEARCH("hr ",B99)),ISNUMBER(SEARCH("recruit",B99)),ISNUMBER(SEARCH("human resource",B99))),"HR / Recruiter",OR(ISNUMBER(SEARCH("account",B99)),ISNUMBER(SEARCH("finance",B99)),ISNUMBER(SEARCH("tax",B99)),ISNUMBER(SEARCH("audit",B99))),"Accountant / Finance",OR(ISNUMBER(SEARCH("customer service",B99)),ISNUMBER(SEARCH("customer support",B99)),ISNUMBER(SEARCH("customer care",B99)),ISNUMBER(SEARCH("voice process",B99)),ISNUMBER(SEARCH("bpo",B99))),"Customer Support",ISNUMBER(SEARCH("engineer",B99)),"Engineer (Technical)",ISNUMBER(SEARCH("manager",B99)),"Manager",OR(ISNUMBER(SEARCH("teacher",B99)),ISNUMBER(SEARCH("trainer",B99)),ISNUMBER(SEARCH("faculty",B99))),"Teacher / Trainer",OR(ISNUMBER(SEARCH("doctor",B99)),ISNUMBER(SEARCH("nurse",B99)),ISNUMBER(SEARCH("medical",B99)),ISNUMBER(SEARCH("pharma",B99)),ISNUMBER(SEARCH("clinical",B99))),"Healthcare",TRUE,"Other")</f>
        <v/>
      </c>
      <c r="B436">
        <f>IF(PROPER(TRIM(Raw_Data!D99))="Bangalore","Bengaluru",IF(PROPER(TRIM(Raw_Data!D99))="Gurgaon","Gurugram",IF(OR(PROPER(TRIM(Raw_Data!D99))="New Delhi",PROPER(TRIM(Raw_Data!D99))="Delhi"),"Delhi",PROPER(TRIM(Raw_Data!D99)))))</f>
        <v/>
      </c>
      <c r="C436">
        <f>IF(TRIM(Raw_Data!F99&amp;"")="","Not Specified",Raw_Data!F99)</f>
        <v/>
      </c>
      <c r="D436">
        <f>Raw_Data!H99</f>
        <v/>
      </c>
      <c r="E436">
        <f>Raw_Data!E99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2026-08-08T07:19:00Z</dcterms:created>
  <dcterms:modified xmlns:dcterms="http://purl.org/dc/terms/" xmlns:xsi="http://www.w3.org/2001/XMLSchema-instance" xsi:type="dcterms:W3CDTF">2026-08-08T07:42:54Z</dcterms:modified>
  <cp:lastModifiedBy>hp</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ABF27C014E774B9EBED737448F2695E3_12</vt:lpwstr>
  </property>
  <property name="KSOProductBuildVer" fmtid="{D5CDD505-2E9C-101B-9397-08002B2CF9AE}" pid="3">
    <vt:lpwstr xmlns:vt="http://schemas.openxmlformats.org/officeDocument/2006/docPropsVTypes">1033-12.1.0.28032</vt:lpwstr>
  </property>
  <property name="CalculationRule" fmtid="{D5CDD505-2E9C-101B-9397-08002B2CF9AE}" pid="4">
    <vt:i4 xmlns:vt="http://schemas.openxmlformats.org/officeDocument/2006/docPropsVTypes">0</vt:i4>
  </property>
</Properties>
</file>